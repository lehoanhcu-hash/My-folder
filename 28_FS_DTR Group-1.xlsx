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Báo cáo Consolidate\Dữ liệu Thọ Share\"/>
    </mc:Choice>
  </mc:AlternateContent>
  <xr:revisionPtr revIDLastSave="0" documentId="13_ncr:1_{12379978-07E5-4D91-B57D-169BDEF8EDB0}" xr6:coauthVersionLast="47" xr6:coauthVersionMax="47" xr10:uidLastSave="{00000000-0000-0000-0000-000000000000}"/>
  <bookViews>
    <workbookView xWindow="-110" yWindow="-110" windowWidth="19420" windowHeight="10300" xr2:uid="{D973BC01-A481-4C42-8F06-3E9A46052ED5}"/>
  </bookViews>
  <sheets>
    <sheet name="PL DTRG" sheetId="1" r:id="rId1"/>
    <sheet name="PL DTR" sheetId="2" r:id="rId2"/>
    <sheet name="PL TRAM" sheetId="3" r:id="rId3"/>
    <sheet name="Dai loc" sheetId="4" r:id="rId4"/>
    <sheet name="KN" sheetId="6" r:id="rId5"/>
    <sheet name="DLam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4" i="5" l="1"/>
  <c r="H24" i="5"/>
  <c r="G24" i="5"/>
  <c r="F24" i="5"/>
  <c r="E24" i="5"/>
  <c r="I24" i="6"/>
  <c r="H24" i="6"/>
  <c r="G24" i="6"/>
  <c r="F24" i="6"/>
  <c r="E24" i="6"/>
  <c r="I24" i="4"/>
  <c r="H24" i="4"/>
  <c r="G24" i="4"/>
  <c r="F24" i="4"/>
  <c r="E24" i="4"/>
  <c r="I24" i="3"/>
  <c r="H24" i="3"/>
  <c r="G24" i="3"/>
  <c r="F24" i="3"/>
  <c r="E24" i="3"/>
  <c r="D24" i="3"/>
  <c r="J24" i="3"/>
  <c r="K24" i="3"/>
  <c r="L24" i="3"/>
  <c r="M24" i="3"/>
  <c r="N24" i="3"/>
  <c r="O24" i="3"/>
  <c r="P24" i="3"/>
  <c r="Q24" i="3"/>
  <c r="R24" i="3"/>
  <c r="S24" i="3"/>
  <c r="T24" i="3"/>
  <c r="BV24" i="3"/>
  <c r="BW24" i="3"/>
  <c r="BX24" i="3"/>
  <c r="BY24" i="3"/>
  <c r="BZ24" i="3"/>
  <c r="CA24" i="3"/>
  <c r="CB24" i="3"/>
  <c r="CC24" i="3"/>
  <c r="I24" i="1"/>
  <c r="H24" i="1"/>
  <c r="G24" i="1"/>
  <c r="F24" i="1"/>
  <c r="E24" i="1"/>
  <c r="I24" i="2"/>
  <c r="H24" i="2"/>
  <c r="G24" i="2"/>
  <c r="F24" i="2"/>
  <c r="E24" i="2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BV4" i="3"/>
  <c r="BV5" i="3"/>
  <c r="BV6" i="3"/>
  <c r="BV7" i="3"/>
  <c r="BV8" i="3"/>
  <c r="BV9" i="3"/>
  <c r="BV10" i="3"/>
  <c r="BV11" i="3"/>
  <c r="BV12" i="3"/>
  <c r="BV13" i="3"/>
  <c r="BV14" i="3"/>
  <c r="BV15" i="3"/>
  <c r="BV16" i="3"/>
  <c r="BV17" i="3"/>
  <c r="BV18" i="3"/>
  <c r="BV19" i="3"/>
  <c r="BV20" i="3"/>
  <c r="BV21" i="3"/>
  <c r="BV22" i="3"/>
  <c r="BV23" i="3"/>
  <c r="BW4" i="3"/>
  <c r="BW5" i="3"/>
  <c r="BW6" i="3"/>
  <c r="BW7" i="3"/>
  <c r="BW8" i="3"/>
  <c r="BW9" i="3"/>
  <c r="BW10" i="3"/>
  <c r="BW11" i="3"/>
  <c r="BW12" i="3"/>
  <c r="BW13" i="3"/>
  <c r="BW14" i="3"/>
  <c r="BW15" i="3"/>
  <c r="BW16" i="3"/>
  <c r="BW17" i="3"/>
  <c r="BW18" i="3"/>
  <c r="BW19" i="3"/>
  <c r="BW20" i="3"/>
  <c r="BW21" i="3"/>
  <c r="BW22" i="3"/>
  <c r="BW23" i="3"/>
  <c r="BX4" i="3"/>
  <c r="BX5" i="3"/>
  <c r="BX6" i="3"/>
  <c r="BX7" i="3"/>
  <c r="BX8" i="3"/>
  <c r="BX9" i="3"/>
  <c r="BX10" i="3"/>
  <c r="BX11" i="3"/>
  <c r="BX12" i="3"/>
  <c r="BX13" i="3"/>
  <c r="BX14" i="3"/>
  <c r="BX15" i="3"/>
  <c r="BX16" i="3"/>
  <c r="BX17" i="3"/>
  <c r="BX18" i="3"/>
  <c r="BX19" i="3"/>
  <c r="BX20" i="3"/>
  <c r="BX21" i="3"/>
  <c r="BX22" i="3"/>
  <c r="BX23" i="3"/>
  <c r="BY4" i="3"/>
  <c r="BY5" i="3"/>
  <c r="BY6" i="3"/>
  <c r="BY7" i="3"/>
  <c r="BY8" i="3"/>
  <c r="BY9" i="3"/>
  <c r="BY10" i="3"/>
  <c r="BY11" i="3"/>
  <c r="BY12" i="3"/>
  <c r="BY13" i="3"/>
  <c r="BY14" i="3"/>
  <c r="BY15" i="3"/>
  <c r="BY16" i="3"/>
  <c r="BY17" i="3"/>
  <c r="BY18" i="3"/>
  <c r="BY19" i="3"/>
  <c r="BY20" i="3"/>
  <c r="BY21" i="3"/>
  <c r="BY22" i="3"/>
  <c r="BY23" i="3"/>
  <c r="BZ4" i="3"/>
  <c r="BZ5" i="3"/>
  <c r="BZ6" i="3"/>
  <c r="BZ7" i="3"/>
  <c r="BZ8" i="3"/>
  <c r="BZ9" i="3"/>
  <c r="BZ10" i="3"/>
  <c r="BZ11" i="3"/>
  <c r="BZ12" i="3"/>
  <c r="BZ13" i="3"/>
  <c r="BZ14" i="3"/>
  <c r="BZ15" i="3"/>
  <c r="BZ16" i="3"/>
  <c r="BZ17" i="3"/>
  <c r="BZ18" i="3"/>
  <c r="BZ19" i="3"/>
  <c r="BZ20" i="3"/>
  <c r="BZ21" i="3"/>
  <c r="BZ22" i="3"/>
  <c r="BZ23" i="3"/>
  <c r="CA4" i="3"/>
  <c r="CA5" i="3"/>
  <c r="CA6" i="3"/>
  <c r="CA7" i="3"/>
  <c r="CA8" i="3"/>
  <c r="CA9" i="3"/>
  <c r="CA10" i="3"/>
  <c r="CA11" i="3"/>
  <c r="CA12" i="3"/>
  <c r="CA13" i="3"/>
  <c r="CA14" i="3"/>
  <c r="CA15" i="3"/>
  <c r="CA16" i="3"/>
  <c r="CA17" i="3"/>
  <c r="CA18" i="3"/>
  <c r="CA19" i="3"/>
  <c r="CA20" i="3"/>
  <c r="CA21" i="3"/>
  <c r="CA22" i="3"/>
  <c r="CA23" i="3"/>
  <c r="CB4" i="3"/>
  <c r="CB5" i="3"/>
  <c r="CB6" i="3"/>
  <c r="CB7" i="3"/>
  <c r="CB8" i="3"/>
  <c r="CB9" i="3"/>
  <c r="CB10" i="3"/>
  <c r="CB11" i="3"/>
  <c r="CB12" i="3"/>
  <c r="CB13" i="3"/>
  <c r="CB14" i="3"/>
  <c r="CB15" i="3"/>
  <c r="CB16" i="3"/>
  <c r="CB17" i="3"/>
  <c r="CB18" i="3"/>
  <c r="CB19" i="3"/>
  <c r="CB20" i="3"/>
  <c r="CB21" i="3"/>
  <c r="CB22" i="3"/>
  <c r="CB23" i="3"/>
  <c r="CC4" i="3"/>
  <c r="CC5" i="3"/>
  <c r="CC6" i="3"/>
  <c r="CC7" i="3"/>
  <c r="CC8" i="3"/>
  <c r="CC9" i="3"/>
  <c r="CC10" i="3"/>
  <c r="CC11" i="3"/>
  <c r="CC12" i="3"/>
  <c r="CC13" i="3"/>
  <c r="CC14" i="3"/>
  <c r="CC15" i="3"/>
  <c r="CC16" i="3"/>
  <c r="CC17" i="3"/>
  <c r="CC18" i="3"/>
  <c r="CC19" i="3"/>
  <c r="CC20" i="3"/>
  <c r="CC21" i="3"/>
  <c r="CC22" i="3"/>
  <c r="CC23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I4" i="3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BU19" i="5"/>
  <c r="BT19" i="5"/>
  <c r="BS19" i="5"/>
  <c r="BQ16" i="5"/>
  <c r="BU9" i="5"/>
  <c r="BT9" i="5"/>
  <c r="BS7" i="5"/>
  <c r="BQ16" i="6"/>
  <c r="BR7" i="6"/>
  <c r="CC4" i="6"/>
  <c r="CB4" i="6"/>
  <c r="CA4" i="6"/>
  <c r="BZ4" i="6"/>
  <c r="BY4" i="6"/>
  <c r="BX4" i="6"/>
  <c r="BW4" i="6"/>
  <c r="BV4" i="6"/>
  <c r="BU4" i="6"/>
  <c r="BT4" i="6"/>
  <c r="BS4" i="6"/>
  <c r="BR4" i="6"/>
  <c r="BU4" i="4"/>
  <c r="I23" i="1"/>
  <c r="H23" i="1"/>
  <c r="G23" i="1"/>
  <c r="F23" i="1"/>
  <c r="E23" i="1"/>
  <c r="D23" i="1"/>
  <c r="I22" i="1"/>
  <c r="H22" i="1"/>
  <c r="G22" i="1"/>
  <c r="F22" i="1"/>
  <c r="E22" i="1"/>
  <c r="D22" i="1"/>
  <c r="I21" i="1"/>
  <c r="H21" i="1"/>
  <c r="G21" i="1"/>
  <c r="F21" i="1"/>
  <c r="E21" i="1"/>
  <c r="D21" i="1"/>
  <c r="I20" i="1"/>
  <c r="H20" i="1"/>
  <c r="G20" i="1"/>
  <c r="F20" i="1"/>
  <c r="E20" i="1"/>
  <c r="D20" i="1"/>
  <c r="I19" i="1"/>
  <c r="H19" i="1"/>
  <c r="G19" i="1"/>
  <c r="F19" i="1"/>
  <c r="E19" i="1"/>
  <c r="D19" i="1"/>
  <c r="I18" i="1"/>
  <c r="H18" i="1"/>
  <c r="G18" i="1"/>
  <c r="F18" i="1"/>
  <c r="E18" i="1"/>
  <c r="D18" i="1"/>
  <c r="I17" i="1"/>
  <c r="H17" i="1"/>
  <c r="G17" i="1"/>
  <c r="F17" i="1"/>
  <c r="E17" i="1"/>
  <c r="D17" i="1"/>
  <c r="I16" i="1"/>
  <c r="H16" i="1"/>
  <c r="G16" i="1"/>
  <c r="F16" i="1"/>
  <c r="E16" i="1"/>
  <c r="D16" i="1"/>
  <c r="I15" i="1"/>
  <c r="H15" i="1"/>
  <c r="G15" i="1"/>
  <c r="F15" i="1"/>
  <c r="E15" i="1"/>
  <c r="D15" i="1"/>
  <c r="I14" i="1"/>
  <c r="H14" i="1"/>
  <c r="G14" i="1"/>
  <c r="F14" i="1"/>
  <c r="E14" i="1"/>
  <c r="D14" i="1"/>
  <c r="I13" i="1"/>
  <c r="H13" i="1"/>
  <c r="G13" i="1"/>
  <c r="F13" i="1"/>
  <c r="E13" i="1"/>
  <c r="D13" i="1"/>
  <c r="I12" i="1"/>
  <c r="H12" i="1"/>
  <c r="G12" i="1"/>
  <c r="F12" i="1"/>
  <c r="E12" i="1"/>
  <c r="D12" i="1"/>
  <c r="I11" i="1"/>
  <c r="H11" i="1"/>
  <c r="G11" i="1"/>
  <c r="F11" i="1"/>
  <c r="E11" i="1"/>
  <c r="D11" i="1"/>
  <c r="I10" i="1"/>
  <c r="H10" i="1"/>
  <c r="G10" i="1"/>
  <c r="F10" i="1"/>
  <c r="E10" i="1"/>
  <c r="D10" i="1"/>
  <c r="I9" i="1"/>
  <c r="H9" i="1"/>
  <c r="G9" i="1"/>
  <c r="F9" i="1"/>
  <c r="E9" i="1"/>
  <c r="D9" i="1"/>
  <c r="I8" i="1"/>
  <c r="H8" i="1"/>
  <c r="G8" i="1"/>
  <c r="F8" i="1"/>
  <c r="E8" i="1"/>
  <c r="D8" i="1"/>
  <c r="I7" i="1"/>
  <c r="H7" i="1"/>
  <c r="G7" i="1"/>
  <c r="F7" i="1"/>
  <c r="E7" i="1"/>
  <c r="D7" i="1"/>
  <c r="I6" i="1"/>
  <c r="H6" i="1"/>
  <c r="G6" i="1"/>
  <c r="F6" i="1"/>
  <c r="E6" i="1"/>
  <c r="D6" i="1"/>
  <c r="I5" i="1"/>
  <c r="H5" i="1"/>
  <c r="G5" i="1"/>
  <c r="F5" i="1"/>
  <c r="E5" i="1"/>
  <c r="D5" i="1"/>
  <c r="I4" i="1"/>
  <c r="H4" i="1"/>
  <c r="G4" i="1"/>
  <c r="F4" i="1"/>
  <c r="E4" i="1"/>
  <c r="D4" i="1"/>
  <c r="D24" i="5" l="1"/>
  <c r="D24" i="6"/>
  <c r="D24" i="4"/>
  <c r="D24" i="2"/>
  <c r="D24" i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H4" i="3"/>
  <c r="G4" i="3"/>
  <c r="F4" i="3"/>
  <c r="E4" i="3"/>
  <c r="BU16" i="5"/>
  <c r="BT16" i="5"/>
  <c r="BS9" i="5"/>
  <c r="BQ20" i="6"/>
  <c r="BR9" i="6"/>
  <c r="D6" i="3" l="1"/>
  <c r="D13" i="3"/>
  <c r="D20" i="3"/>
  <c r="D17" i="3"/>
  <c r="D4" i="3"/>
  <c r="D12" i="3"/>
  <c r="D8" i="3"/>
  <c r="D10" i="3"/>
  <c r="D11" i="3"/>
  <c r="D14" i="3"/>
  <c r="D16" i="3"/>
  <c r="D18" i="3"/>
  <c r="D22" i="3"/>
  <c r="D15" i="3"/>
  <c r="D21" i="3"/>
  <c r="D23" i="3"/>
  <c r="D19" i="3"/>
  <c r="D7" i="3"/>
  <c r="D9" i="3"/>
  <c r="D5" i="3"/>
  <c r="BU20" i="5"/>
  <c r="BT20" i="5"/>
  <c r="BS16" i="5"/>
  <c r="BQ23" i="6"/>
  <c r="BR16" i="6"/>
  <c r="BU23" i="5" l="1"/>
  <c r="BT23" i="5"/>
  <c r="BS20" i="5"/>
  <c r="BS23" i="5" l="1"/>
</calcChain>
</file>

<file path=xl/sharedStrings.xml><?xml version="1.0" encoding="utf-8"?>
<sst xmlns="http://schemas.openxmlformats.org/spreadsheetml/2006/main" count="629" uniqueCount="110">
  <si>
    <t>CTY CP NHỰA TÁI CHẾ DUY TÂN</t>
  </si>
  <si>
    <t>VND</t>
  </si>
  <si>
    <t>Index PL</t>
  </si>
  <si>
    <t>PHẦN II-KẾT QUẢ HOẠT ĐỘNG KINH DOANH</t>
  </si>
  <si>
    <t>TenCongTyID</t>
  </si>
  <si>
    <t>2021</t>
  </si>
  <si>
    <t>2022</t>
  </si>
  <si>
    <t>2023</t>
  </si>
  <si>
    <t>2024</t>
  </si>
  <si>
    <t>2025</t>
  </si>
  <si>
    <t>2026</t>
  </si>
  <si>
    <t>T1.2021</t>
  </si>
  <si>
    <t>T02.2021</t>
  </si>
  <si>
    <t>T03.2021</t>
  </si>
  <si>
    <t>T04.2021</t>
  </si>
  <si>
    <t>T05.2021</t>
  </si>
  <si>
    <t>T06.2021</t>
  </si>
  <si>
    <t>T07.2021</t>
  </si>
  <si>
    <t>T08.2021</t>
  </si>
  <si>
    <t>T09.2021</t>
  </si>
  <si>
    <t>T10.2021</t>
  </si>
  <si>
    <t>T11.2021</t>
  </si>
  <si>
    <t>T12.2021</t>
  </si>
  <si>
    <t>T1.2022</t>
  </si>
  <si>
    <t>T02.2022</t>
  </si>
  <si>
    <t>T03.2022</t>
  </si>
  <si>
    <t>T04.2022</t>
  </si>
  <si>
    <t>T05.2022</t>
  </si>
  <si>
    <t>T06.2022</t>
  </si>
  <si>
    <t>T07.2022</t>
  </si>
  <si>
    <t>T08.2022</t>
  </si>
  <si>
    <t>T09.2022</t>
  </si>
  <si>
    <t>T10.2022</t>
  </si>
  <si>
    <t>T11.2022</t>
  </si>
  <si>
    <t>T12.2022</t>
  </si>
  <si>
    <t>T1.2023</t>
  </si>
  <si>
    <t>T02.2023</t>
  </si>
  <si>
    <t>T03.2023</t>
  </si>
  <si>
    <t>T04.2023</t>
  </si>
  <si>
    <t>T05.2023</t>
  </si>
  <si>
    <t>T06.2023</t>
  </si>
  <si>
    <t>T07.2023</t>
  </si>
  <si>
    <t>T08.2023</t>
  </si>
  <si>
    <t>T09.2023</t>
  </si>
  <si>
    <t>T10.2023</t>
  </si>
  <si>
    <t>T11.2023</t>
  </si>
  <si>
    <t>T12.2023</t>
  </si>
  <si>
    <t>T01.2024</t>
  </si>
  <si>
    <t>T02.2024</t>
  </si>
  <si>
    <t>T03.2024</t>
  </si>
  <si>
    <t>T04.2024</t>
  </si>
  <si>
    <t>T05.2024</t>
  </si>
  <si>
    <t>T06.2024</t>
  </si>
  <si>
    <t>T07.2024</t>
  </si>
  <si>
    <t>T08.2024</t>
  </si>
  <si>
    <t>T09.2024</t>
  </si>
  <si>
    <t>T10.2024</t>
  </si>
  <si>
    <t>T11.2024</t>
  </si>
  <si>
    <t>T12.2024</t>
  </si>
  <si>
    <t>T01.2025</t>
  </si>
  <si>
    <t>T02.2025</t>
  </si>
  <si>
    <t>T03.2025</t>
  </si>
  <si>
    <t>T04.2025</t>
  </si>
  <si>
    <t>T05.2025</t>
  </si>
  <si>
    <t>T06.2025</t>
  </si>
  <si>
    <t>T07.2025</t>
  </si>
  <si>
    <t>T08.2025</t>
  </si>
  <si>
    <t>T09.2025</t>
  </si>
  <si>
    <t>T10.2025</t>
  </si>
  <si>
    <t>T11.2025</t>
  </si>
  <si>
    <t>T12.2025</t>
  </si>
  <si>
    <t>T01.2026</t>
  </si>
  <si>
    <t>T02.2026</t>
  </si>
  <si>
    <t>T03.2026</t>
  </si>
  <si>
    <t>T04.2026</t>
  </si>
  <si>
    <t>T05.2026</t>
  </si>
  <si>
    <t>T06.2026</t>
  </si>
  <si>
    <t>T07.2026</t>
  </si>
  <si>
    <t>T08.2026</t>
  </si>
  <si>
    <t>T09.2026</t>
  </si>
  <si>
    <t>T10.2026</t>
  </si>
  <si>
    <t>T11.2026</t>
  </si>
  <si>
    <t>T12.2026</t>
  </si>
  <si>
    <t>Sản lượng (kg)</t>
  </si>
  <si>
    <t>1.Doanh thu bán hàng và cung cấp dịch vụ</t>
  </si>
  <si>
    <t>2.Các khoản giảm trừ doanh thu</t>
  </si>
  <si>
    <t>3.Doanh thu thuần về bán hàng và cung cấp dịch vụ</t>
  </si>
  <si>
    <t>4.Giá vốn hàng bán</t>
  </si>
  <si>
    <t>5.Lợi nhuận gộp về bán hàng</t>
  </si>
  <si>
    <t>6.Lãi/lỗ của hoạt động bán, thanh lý bất động sản đầu tư</t>
  </si>
  <si>
    <t>7.Doanh thu hoạt động tài chính</t>
  </si>
  <si>
    <t>8.Chi phí tài chính</t>
  </si>
  <si>
    <t>Trong đó: Chi phí lãi vay</t>
  </si>
  <si>
    <t>9.Chi phí bán hàng</t>
  </si>
  <si>
    <t>10.Chi phí quản lý doanh nghiệp</t>
  </si>
  <si>
    <t>11.Lợi nhuận thuần từ hoạt động kinh doanh</t>
  </si>
  <si>
    <t>12.Thu nhập khác</t>
  </si>
  <si>
    <t>13.Chi phí khác</t>
  </si>
  <si>
    <t>14.Lợi nhuận khác</t>
  </si>
  <si>
    <t xml:space="preserve">15.Tổng lợi nhuận kế toán trước thuế </t>
  </si>
  <si>
    <t>16.Chi phí thuế TNDN hiện hành</t>
  </si>
  <si>
    <t>17.Chi phí thuế TNDN hoãn lại</t>
  </si>
  <si>
    <t>18.Lợi nhuận sau thuế thu nhập doanh nghiệp</t>
  </si>
  <si>
    <t>CÔNG TY TNHH THU MUA PHẾ LIỆU ĐẠI LỘC</t>
  </si>
  <si>
    <t>Sản lượng (Tấn)</t>
  </si>
  <si>
    <t>CÔNG TY TNHH THU MUA PHẾ LIỆU KHÁNH NGA</t>
  </si>
  <si>
    <t xml:space="preserve">   </t>
  </si>
  <si>
    <t> </t>
  </si>
  <si>
    <t>CÔNG TY TNHH MTV ĐỒNG LÂM</t>
  </si>
  <si>
    <t>% LNST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</si>
</sst>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.##0_);_(* \(#.##0\);_(* &quot;-&quot;??_);_(@_)"/>
    <numFmt numFmtId="166" formatCode="_(* #,##0_);_(* \(#,##0\);_(* &quot;-&quot;??_);_(@_)"/>
    <numFmt numFmtId="167" formatCode="0.0%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rgb="FFFF0000"/>
      <name val="Times New Roman"/>
      <family val="1"/>
    </font>
    <font>
      <sz val="11"/>
      <name val="Times New Roman"/>
      <family val="1"/>
    </font>
    <font>
      <sz val="10"/>
      <name val="VNI-Times"/>
    </font>
    <font>
      <b/>
      <sz val="11"/>
      <color rgb="FF0000FF"/>
      <name val="Times New Roman"/>
      <family val="1"/>
    </font>
    <font>
      <b/>
      <sz val="11"/>
      <color indexed="12"/>
      <name val="Times New Roman"/>
      <family val="1"/>
    </font>
    <font>
      <b/>
      <sz val="11"/>
      <color rgb="FFFF0000"/>
      <name val="Arial"/>
      <family val="2"/>
      <charset val="163"/>
    </font>
    <font>
      <b/>
      <u/>
      <sz val="11"/>
      <color rgb="FFFF0000"/>
      <name val="Times New Roman"/>
      <family val="1"/>
      <charset val="163"/>
    </font>
    <font>
      <b/>
      <sz val="11"/>
      <color rgb="FF0000FF"/>
      <name val="Times New Roman"/>
      <family val="1"/>
      <charset val="163"/>
    </font>
    <font>
      <sz val="11"/>
      <color theme="1"/>
      <name val="Arial"/>
      <family val="2"/>
    </font>
    <font>
      <sz val="11"/>
      <color indexed="8"/>
      <name val="Times New Roman"/>
      <family val="1"/>
    </font>
    <font>
      <b/>
      <sz val="11"/>
      <color indexed="12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1"/>
      <color indexed="12"/>
      <name val="Times New Roman"/>
      <family val="1"/>
    </font>
    <font>
      <sz val="11"/>
      <color rgb="FF000000"/>
      <name val="Times New Roman"/>
      <family val="1"/>
    </font>
    <font>
      <b/>
      <sz val="11"/>
      <color rgb="FF0000FF"/>
      <name val="Arial"/>
      <family val="2"/>
    </font>
    <font>
      <sz val="11"/>
      <color rgb="FF0000FF"/>
      <name val="Times New Roman"/>
      <family val="1"/>
    </font>
    <font>
      <sz val="8"/>
      <name val="Aptos Narrow"/>
      <family val="2"/>
      <scheme val="minor"/>
    </font>
    <font>
      <sz val="11"/>
      <color rgb="FF0000FF"/>
      <name val="Aptos Display"/>
      <family val="2"/>
      <scheme val="major"/>
    </font>
    <font>
      <sz val="11"/>
      <color rgb="FF0000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808080"/>
      </left>
      <right style="thin">
        <color rgb="FF808080"/>
      </right>
      <top style="hair">
        <color rgb="FF808080"/>
      </top>
      <bottom style="hair">
        <color rgb="FF80808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2" applyFont="1" applyAlignment="1">
      <alignment horizontal="left"/>
    </xf>
    <xf numFmtId="0" fontId="4" fillId="0" borderId="0" xfId="2" applyFont="1" applyAlignment="1">
      <alignment horizontal="center" vertical="center"/>
    </xf>
    <xf numFmtId="11" fontId="0" fillId="0" borderId="0" xfId="0" applyNumberFormat="1"/>
    <xf numFmtId="0" fontId="6" fillId="2" borderId="1" xfId="3" applyNumberFormat="1" applyFont="1" applyFill="1" applyBorder="1" applyAlignment="1" applyProtection="1">
      <alignment horizontal="center" vertical="center" wrapText="1"/>
    </xf>
    <xf numFmtId="0" fontId="7" fillId="3" borderId="2" xfId="2" applyFont="1" applyFill="1" applyBorder="1" applyAlignment="1">
      <alignment horizontal="left" vertical="top" wrapText="1"/>
    </xf>
    <xf numFmtId="0" fontId="8" fillId="0" borderId="3" xfId="4" applyNumberFormat="1" applyFont="1" applyFill="1" applyBorder="1" applyAlignment="1" applyProtection="1">
      <alignment horizontal="center" vertical="top" wrapText="1"/>
    </xf>
    <xf numFmtId="3" fontId="9" fillId="0" borderId="2" xfId="2" applyNumberFormat="1" applyFont="1" applyBorder="1" applyAlignment="1">
      <alignment horizontal="left" vertical="top" wrapText="1" indent="1"/>
    </xf>
    <xf numFmtId="164" fontId="8" fillId="0" borderId="3" xfId="4" applyNumberFormat="1" applyFont="1" applyFill="1" applyBorder="1" applyAlignment="1" applyProtection="1">
      <alignment horizontal="right" vertical="top" wrapText="1"/>
      <protection locked="0"/>
    </xf>
    <xf numFmtId="3" fontId="7" fillId="0" borderId="3" xfId="2" applyNumberFormat="1" applyFont="1" applyBorder="1" applyAlignment="1">
      <alignment horizontal="center" vertical="top" wrapText="1"/>
    </xf>
    <xf numFmtId="3" fontId="10" fillId="0" borderId="2" xfId="2" applyNumberFormat="1" applyFont="1" applyBorder="1" applyAlignment="1">
      <alignment horizontal="left" vertical="top" wrapText="1" indent="1"/>
    </xf>
    <xf numFmtId="3" fontId="7" fillId="0" borderId="3" xfId="2" applyNumberFormat="1" applyFont="1" applyBorder="1" applyAlignment="1" applyProtection="1">
      <alignment vertical="top" wrapText="1"/>
      <protection locked="0"/>
    </xf>
    <xf numFmtId="3" fontId="11" fillId="0" borderId="3" xfId="2" applyNumberFormat="1" applyFont="1" applyBorder="1" applyAlignment="1">
      <alignment horizontal="center" vertical="top" wrapText="1"/>
    </xf>
    <xf numFmtId="3" fontId="12" fillId="0" borderId="2" xfId="2" applyNumberFormat="1" applyFont="1" applyBorder="1" applyAlignment="1">
      <alignment horizontal="left" vertical="top" wrapText="1" indent="1"/>
    </xf>
    <xf numFmtId="3" fontId="11" fillId="0" borderId="3" xfId="2" applyNumberFormat="1" applyFont="1" applyBorder="1" applyAlignment="1" applyProtection="1">
      <alignment vertical="top" wrapText="1"/>
      <protection locked="0"/>
    </xf>
    <xf numFmtId="3" fontId="6" fillId="0" borderId="3" xfId="2" applyNumberFormat="1" applyFont="1" applyBorder="1" applyAlignment="1">
      <alignment horizontal="center" vertical="top" wrapText="1"/>
    </xf>
    <xf numFmtId="3" fontId="6" fillId="0" borderId="3" xfId="2" applyNumberFormat="1" applyFont="1" applyBorder="1" applyAlignment="1" applyProtection="1">
      <alignment vertical="top" wrapText="1"/>
      <protection locked="0"/>
    </xf>
    <xf numFmtId="3" fontId="11" fillId="0" borderId="2" xfId="2" applyNumberFormat="1" applyFont="1" applyBorder="1" applyAlignment="1">
      <alignment horizontal="center" vertical="top" wrapText="1"/>
    </xf>
    <xf numFmtId="3" fontId="11" fillId="0" borderId="2" xfId="2" applyNumberFormat="1" applyFont="1" applyBorder="1" applyAlignment="1" applyProtection="1">
      <alignment vertical="top" wrapText="1"/>
      <protection locked="0"/>
    </xf>
    <xf numFmtId="3" fontId="13" fillId="0" borderId="3" xfId="0" applyNumberFormat="1" applyFont="1" applyBorder="1" applyAlignment="1">
      <alignment horizontal="center" vertical="top" wrapText="1"/>
    </xf>
    <xf numFmtId="3" fontId="13" fillId="0" borderId="3" xfId="0" applyNumberFormat="1" applyFont="1" applyBorder="1" applyAlignment="1" applyProtection="1">
      <alignment vertical="top" wrapText="1"/>
      <protection locked="0"/>
    </xf>
    <xf numFmtId="3" fontId="12" fillId="0" borderId="2" xfId="2" applyNumberFormat="1" applyFont="1" applyBorder="1" applyAlignment="1">
      <alignment horizontal="left" vertical="top" wrapText="1" indent="2"/>
    </xf>
    <xf numFmtId="3" fontId="4" fillId="0" borderId="2" xfId="2" applyNumberFormat="1" applyFont="1" applyBorder="1" applyAlignment="1">
      <alignment horizontal="left" vertical="top" wrapText="1" indent="1"/>
    </xf>
    <xf numFmtId="165" fontId="14" fillId="0" borderId="0" xfId="2" applyNumberFormat="1" applyFont="1" applyProtection="1">
      <protection locked="0"/>
    </xf>
    <xf numFmtId="0" fontId="0" fillId="0" borderId="0" xfId="0" applyAlignment="1">
      <alignment horizontal="center"/>
    </xf>
    <xf numFmtId="0" fontId="6" fillId="2" borderId="1" xfId="3" applyNumberFormat="1" applyFont="1" applyFill="1" applyBorder="1" applyAlignment="1">
      <alignment horizontal="center" vertical="center" wrapText="1"/>
    </xf>
    <xf numFmtId="3" fontId="7" fillId="3" borderId="2" xfId="2" applyNumberFormat="1" applyFont="1" applyFill="1" applyBorder="1" applyAlignment="1">
      <alignment horizontal="left" vertical="top" wrapText="1"/>
    </xf>
    <xf numFmtId="166" fontId="6" fillId="2" borderId="1" xfId="3" applyNumberFormat="1" applyFont="1" applyFill="1" applyBorder="1" applyAlignment="1">
      <alignment horizontal="center" vertical="top" wrapText="1"/>
    </xf>
    <xf numFmtId="166" fontId="6" fillId="2" borderId="1" xfId="3" applyNumberFormat="1" applyFont="1" applyFill="1" applyBorder="1" applyAlignment="1">
      <alignment horizontal="center" vertical="center" wrapText="1"/>
    </xf>
    <xf numFmtId="0" fontId="8" fillId="0" borderId="4" xfId="4" applyNumberFormat="1" applyFont="1" applyFill="1" applyBorder="1" applyAlignment="1">
      <alignment horizontal="center" vertical="top" wrapText="1"/>
    </xf>
    <xf numFmtId="0" fontId="8" fillId="0" borderId="3" xfId="4" applyNumberFormat="1" applyFont="1" applyFill="1" applyBorder="1" applyAlignment="1">
      <alignment horizontal="center" vertical="top" wrapText="1"/>
    </xf>
    <xf numFmtId="164" fontId="8" fillId="0" borderId="4" xfId="4" applyNumberFormat="1" applyFont="1" applyFill="1" applyBorder="1" applyAlignment="1" applyProtection="1">
      <alignment horizontal="right" vertical="top" wrapText="1"/>
      <protection locked="0"/>
    </xf>
    <xf numFmtId="166" fontId="8" fillId="0" borderId="4" xfId="3" applyNumberFormat="1" applyFont="1" applyFill="1" applyBorder="1" applyAlignment="1" applyProtection="1">
      <alignment horizontal="right" vertical="top" wrapText="1"/>
      <protection locked="0"/>
    </xf>
    <xf numFmtId="166" fontId="8" fillId="0" borderId="3" xfId="3" applyNumberFormat="1" applyFont="1" applyFill="1" applyBorder="1" applyAlignment="1" applyProtection="1">
      <alignment horizontal="right" vertical="top" wrapText="1"/>
      <protection locked="0"/>
    </xf>
    <xf numFmtId="0" fontId="7" fillId="0" borderId="3" xfId="2" applyFont="1" applyBorder="1" applyAlignment="1" applyProtection="1">
      <alignment horizontal="center" vertical="top" wrapText="1"/>
      <protection locked="0"/>
    </xf>
    <xf numFmtId="3" fontId="7" fillId="0" borderId="3" xfId="2" applyNumberFormat="1" applyFont="1" applyBorder="1" applyAlignment="1" applyProtection="1">
      <alignment horizontal="center" vertical="top" wrapText="1"/>
      <protection locked="0"/>
    </xf>
    <xf numFmtId="0" fontId="11" fillId="0" borderId="3" xfId="2" applyFont="1" applyBorder="1" applyAlignment="1" applyProtection="1">
      <alignment horizontal="center" vertical="top" wrapText="1"/>
      <protection locked="0"/>
    </xf>
    <xf numFmtId="3" fontId="11" fillId="0" borderId="3" xfId="2" applyNumberFormat="1" applyFont="1" applyBorder="1" applyAlignment="1" applyProtection="1">
      <alignment horizontal="center" vertical="top" wrapText="1"/>
      <protection locked="0"/>
    </xf>
    <xf numFmtId="3" fontId="12" fillId="0" borderId="3" xfId="2" applyNumberFormat="1" applyFont="1" applyBorder="1" applyAlignment="1" applyProtection="1">
      <alignment vertical="top" wrapText="1"/>
      <protection locked="0"/>
    </xf>
    <xf numFmtId="3" fontId="12" fillId="0" borderId="3" xfId="0" applyNumberFormat="1" applyFont="1" applyBorder="1" applyAlignment="1" applyProtection="1">
      <alignment vertical="top" wrapText="1"/>
      <protection locked="0"/>
    </xf>
    <xf numFmtId="0" fontId="6" fillId="0" borderId="3" xfId="2" applyFont="1" applyBorder="1" applyAlignment="1" applyProtection="1">
      <alignment horizontal="center" vertical="top" wrapText="1"/>
      <protection locked="0"/>
    </xf>
    <xf numFmtId="3" fontId="6" fillId="0" borderId="3" xfId="2" applyNumberFormat="1" applyFont="1" applyBorder="1" applyAlignment="1" applyProtection="1">
      <alignment horizontal="center" vertical="top" wrapText="1"/>
      <protection locked="0"/>
    </xf>
    <xf numFmtId="3" fontId="6" fillId="0" borderId="3" xfId="0" applyNumberFormat="1" applyFont="1" applyBorder="1" applyAlignment="1" applyProtection="1">
      <alignment vertical="top" wrapText="1"/>
      <protection locked="0"/>
    </xf>
    <xf numFmtId="3" fontId="11" fillId="0" borderId="2" xfId="2" applyNumberFormat="1" applyFont="1" applyBorder="1" applyAlignment="1" applyProtection="1">
      <alignment horizontal="center" vertical="top" wrapText="1"/>
      <protection locked="0"/>
    </xf>
    <xf numFmtId="166" fontId="15" fillId="0" borderId="5" xfId="4" applyNumberFormat="1" applyFont="1" applyBorder="1" applyAlignment="1" applyProtection="1">
      <alignment horizontal="center" vertical="top" wrapText="1"/>
      <protection locked="0"/>
    </xf>
    <xf numFmtId="166" fontId="15" fillId="0" borderId="5" xfId="4" applyNumberFormat="1" applyFont="1" applyFill="1" applyBorder="1" applyAlignment="1" applyProtection="1">
      <alignment horizontal="center" vertical="top" wrapText="1"/>
      <protection locked="0"/>
    </xf>
    <xf numFmtId="0" fontId="13" fillId="0" borderId="3" xfId="0" applyFont="1" applyBorder="1" applyAlignment="1" applyProtection="1">
      <alignment horizontal="center" vertical="top" wrapText="1"/>
      <protection locked="0"/>
    </xf>
    <xf numFmtId="3" fontId="13" fillId="0" borderId="3" xfId="0" applyNumberFormat="1" applyFont="1" applyBorder="1" applyAlignment="1" applyProtection="1">
      <alignment horizontal="center" vertical="top" wrapText="1"/>
      <protection locked="0"/>
    </xf>
    <xf numFmtId="3" fontId="7" fillId="0" borderId="3" xfId="0" applyNumberFormat="1" applyFont="1" applyBorder="1" applyAlignment="1" applyProtection="1">
      <alignment vertical="top" wrapText="1"/>
      <protection locked="0"/>
    </xf>
    <xf numFmtId="0" fontId="16" fillId="0" borderId="3" xfId="2" applyFont="1" applyBorder="1" applyAlignment="1" applyProtection="1">
      <alignment horizontal="center" vertical="top" wrapText="1"/>
      <protection locked="0"/>
    </xf>
    <xf numFmtId="3" fontId="16" fillId="0" borderId="3" xfId="2" applyNumberFormat="1" applyFont="1" applyBorder="1" applyAlignment="1" applyProtection="1">
      <alignment vertical="top" wrapText="1"/>
      <protection locked="0"/>
    </xf>
    <xf numFmtId="3" fontId="16" fillId="0" borderId="3" xfId="0" applyNumberFormat="1" applyFont="1" applyBorder="1" applyAlignment="1" applyProtection="1">
      <alignment vertical="top" wrapText="1"/>
      <protection locked="0"/>
    </xf>
    <xf numFmtId="0" fontId="12" fillId="0" borderId="3" xfId="2" applyFont="1" applyBorder="1" applyAlignment="1" applyProtection="1">
      <alignment horizontal="center" vertical="top" wrapText="1"/>
      <protection locked="0"/>
    </xf>
    <xf numFmtId="3" fontId="2" fillId="0" borderId="0" xfId="2" applyNumberFormat="1" applyAlignment="1" applyProtection="1">
      <alignment vertical="top"/>
      <protection locked="0"/>
    </xf>
    <xf numFmtId="3" fontId="6" fillId="0" borderId="6" xfId="2" applyNumberFormat="1" applyFont="1" applyBorder="1" applyAlignment="1" applyProtection="1">
      <alignment vertical="top" wrapText="1"/>
      <protection locked="0"/>
    </xf>
    <xf numFmtId="3" fontId="17" fillId="0" borderId="6" xfId="0" applyNumberFormat="1" applyFont="1" applyBorder="1" applyAlignment="1" applyProtection="1">
      <alignment vertical="top" wrapText="1"/>
      <protection locked="0"/>
    </xf>
    <xf numFmtId="3" fontId="6" fillId="0" borderId="6" xfId="0" applyNumberFormat="1" applyFont="1" applyBorder="1" applyAlignment="1" applyProtection="1">
      <alignment vertical="top" wrapText="1"/>
      <protection locked="0"/>
    </xf>
    <xf numFmtId="166" fontId="15" fillId="0" borderId="7" xfId="4" applyNumberFormat="1" applyFont="1" applyFill="1" applyBorder="1" applyAlignment="1" applyProtection="1">
      <alignment horizontal="center" vertical="top" wrapText="1"/>
      <protection locked="0"/>
    </xf>
    <xf numFmtId="3" fontId="18" fillId="0" borderId="3" xfId="0" applyNumberFormat="1" applyFont="1" applyBorder="1" applyAlignment="1" applyProtection="1">
      <alignment vertical="top" wrapText="1"/>
      <protection locked="0"/>
    </xf>
    <xf numFmtId="3" fontId="18" fillId="0" borderId="6" xfId="0" applyNumberFormat="1" applyFont="1" applyBorder="1" applyAlignment="1" applyProtection="1">
      <alignment vertical="top" wrapText="1"/>
      <protection locked="0"/>
    </xf>
    <xf numFmtId="3" fontId="17" fillId="0" borderId="6" xfId="2" applyNumberFormat="1" applyFont="1" applyBorder="1" applyAlignment="1" applyProtection="1">
      <alignment vertical="top" wrapText="1"/>
      <protection locked="0"/>
    </xf>
    <xf numFmtId="3" fontId="19" fillId="0" borderId="6" xfId="0" applyNumberFormat="1" applyFont="1" applyBorder="1" applyAlignment="1" applyProtection="1">
      <alignment vertical="top" wrapText="1"/>
      <protection locked="0"/>
    </xf>
    <xf numFmtId="166" fontId="6" fillId="2" borderId="1" xfId="3" applyNumberFormat="1" applyFont="1" applyFill="1" applyBorder="1" applyAlignment="1" applyProtection="1">
      <alignment horizontal="center" vertical="center" wrapText="1"/>
    </xf>
    <xf numFmtId="0" fontId="8" fillId="0" borderId="4" xfId="4" applyNumberFormat="1" applyFont="1" applyFill="1" applyBorder="1" applyAlignment="1" applyProtection="1">
      <alignment horizontal="center" vertical="top" wrapText="1"/>
    </xf>
    <xf numFmtId="0" fontId="7" fillId="0" borderId="3" xfId="2" applyFont="1" applyBorder="1" applyAlignment="1">
      <alignment horizontal="center" vertical="top" wrapText="1"/>
    </xf>
    <xf numFmtId="0" fontId="11" fillId="0" borderId="3" xfId="2" applyFont="1" applyBorder="1" applyAlignment="1">
      <alignment horizontal="center" vertical="top" wrapText="1"/>
    </xf>
    <xf numFmtId="0" fontId="6" fillId="0" borderId="3" xfId="2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6" fillId="0" borderId="3" xfId="2" applyFont="1" applyBorder="1" applyAlignment="1">
      <alignment horizontal="center" vertical="top" wrapText="1"/>
    </xf>
    <xf numFmtId="0" fontId="12" fillId="0" borderId="3" xfId="2" applyFont="1" applyBorder="1" applyAlignment="1">
      <alignment horizontal="center" vertical="top" wrapText="1"/>
    </xf>
    <xf numFmtId="0" fontId="6" fillId="4" borderId="1" xfId="3" applyNumberFormat="1" applyFont="1" applyFill="1" applyBorder="1" applyAlignment="1" applyProtection="1">
      <alignment horizontal="center" vertical="center" wrapText="1"/>
    </xf>
    <xf numFmtId="3" fontId="10" fillId="0" borderId="8" xfId="2" applyNumberFormat="1" applyFont="1" applyFill="1" applyBorder="1" applyAlignment="1" applyProtection="1">
      <alignment horizontal="center" vertical="top" wrapText="1"/>
    </xf>
    <xf numFmtId="3" fontId="10" fillId="0" borderId="9" xfId="2" applyNumberFormat="1" applyFont="1" applyFill="1" applyBorder="1" applyAlignment="1" applyProtection="1">
      <alignment horizontal="left" vertical="top" wrapText="1" indent="1"/>
    </xf>
    <xf numFmtId="0" fontId="0" fillId="0" borderId="0" xfId="0" applyBorder="1" applyProtection="1"/>
    <xf numFmtId="0" fontId="14" fillId="0" borderId="0" xfId="2" applyFont="1" applyFill="1" applyBorder="1" applyProtection="1">
      <protection locked="0"/>
    </xf>
    <xf numFmtId="165" fontId="14" fillId="0" borderId="0" xfId="2" applyNumberFormat="1" applyFont="1" applyFill="1" applyBorder="1" applyProtection="1">
      <protection locked="0"/>
    </xf>
    <xf numFmtId="0" fontId="21" fillId="0" borderId="0" xfId="0" applyFont="1" applyAlignment="1">
      <alignment horizontal="center" vertical="center" wrapText="1"/>
    </xf>
    <xf numFmtId="3" fontId="10" fillId="0" borderId="8" xfId="0" applyNumberFormat="1" applyFont="1" applyFill="1" applyBorder="1" applyAlignment="1" applyProtection="1">
      <alignment horizontal="center" vertical="top" wrapText="1"/>
    </xf>
    <xf numFmtId="0" fontId="14" fillId="0" borderId="0" xfId="0" applyNumberFormat="1" applyFont="1" applyFill="1" applyBorder="1" applyAlignment="1" applyProtection="1">
      <protection locked="0"/>
    </xf>
    <xf numFmtId="165" fontId="14" fillId="0" borderId="0" xfId="0" applyNumberFormat="1" applyFont="1" applyFill="1" applyBorder="1" applyAlignment="1" applyProtection="1">
      <protection locked="0"/>
    </xf>
    <xf numFmtId="167" fontId="22" fillId="0" borderId="0" xfId="1" applyNumberFormat="1" applyFont="1" applyBorder="1"/>
    <xf numFmtId="9" fontId="22" fillId="0" borderId="0" xfId="0" applyNumberFormat="1" applyFont="1" applyBorder="1"/>
    <xf numFmtId="0" fontId="10" fillId="0" borderId="8" xfId="2" applyNumberFormat="1" applyFont="1" applyFill="1" applyBorder="1" applyAlignment="1">
      <alignment horizontal="center" vertical="top" wrapText="1"/>
    </xf>
    <xf numFmtId="3" fontId="10" fillId="0" borderId="9" xfId="2" applyNumberFormat="1" applyFont="1" applyFill="1" applyBorder="1" applyAlignment="1">
      <alignment horizontal="left" vertical="top" wrapText="1" indent="1"/>
    </xf>
    <xf numFmtId="164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9" fontId="22" fillId="0" borderId="0" xfId="1" applyFont="1" applyBorder="1"/>
    <xf numFmtId="0" fontId="0" fillId="0" borderId="0" xfId="0" applyBorder="1"/>
    <xf numFmtId="0" fontId="10" fillId="0" borderId="8" xfId="2" applyNumberFormat="1" applyFont="1" applyFill="1" applyBorder="1" applyAlignment="1" applyProtection="1">
      <alignment horizontal="center" vertical="top" wrapText="1"/>
    </xf>
  </cellXfs>
  <cellStyles count="5">
    <cellStyle name="Comma 3" xfId="3" xr:uid="{6A6F4485-2133-4BE5-97AB-93F8D279B147}"/>
    <cellStyle name="Comma 5 2" xfId="4" xr:uid="{CB3BBDA9-8690-499C-9981-ED730A6E1908}"/>
    <cellStyle name="Normal" xfId="0" builtinId="0"/>
    <cellStyle name="Normal 2" xfId="2" xr:uid="{67283D3F-5A8E-486D-B5B1-0A18D7FA292A}"/>
    <cellStyle name="Percent" xfId="1" builtinId="5"/>
  </cellStyles>
  <dxfs count="5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3" formatCode="0%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3" formatCode="0%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3" formatCode="0%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3" formatCode="0%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3" formatCode="0%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3" formatCode="0%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rgb="FF00B0F0"/>
        </right>
        <top style="thin">
          <color rgb="FF00B0F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Display"/>
        <family val="2"/>
        <scheme val="maj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border diagonalUp="0" diagonalDown="0" outline="0">
        <left/>
        <right/>
        <top/>
        <bottom/>
      </border>
      <protection locked="1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0" formatCode="General"/>
      <alignment horizontal="center" vertical="top" textRotation="0" wrapText="1" indent="0" justifyLastLine="0" shrinkToFit="0" readingOrder="0"/>
      <border diagonalUp="0" diagonalDown="0" outline="0">
        <left/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166" formatCode="_(* #,##0_);_(* \(#,##0\);_(* &quot;-&quot;??_);_(@_)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0" formatCode="General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166" formatCode="_(* #,##0_);_(* \(#,##0\);_(* &quot;-&quot;??_);_(@_)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0" formatCode="General"/>
      <alignment horizontal="center" vertical="top" textRotation="0" wrapText="1" indent="0" justifyLastLine="0" shrinkToFit="0" readingOrder="0"/>
      <border diagonalUp="0" diagonalDown="0" outline="0">
        <left/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166" formatCode="_(* #,##0_);_(* \(#,##0\);_(* &quot;-&quot;??_);_(@_)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border outline="0">
        <left style="thin">
          <color rgb="FF00B0F0"/>
        </left>
      </border>
    </dxf>
    <dxf>
      <numFmt numFmtId="165" formatCode="_(* #.##0_);_(* \(#.##0\);_(* &quot;-&quot;??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border outline="0">
        <left style="thin">
          <color rgb="FF00B0F0"/>
        </left>
      </border>
    </dxf>
    <dxf>
      <numFmt numFmtId="165" formatCode="_(* #.##0_);_(* \(#.##0\);_(* &quot;-&quot;??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G&#272;%20T&#224;i%20ch&#237;nh\B&#225;o%20c&#225;o%20Consolidate\D&#7919;%20li&#7879;u%20Th&#7885;%20Share\7_FS_Khanh%20Nga.xlsx" TargetMode="External"/><Relationship Id="rId1" Type="http://schemas.openxmlformats.org/officeDocument/2006/relationships/externalLinkPath" Target="7_FS_Khanh%20N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ong tin"/>
      <sheetName val="BIA"/>
      <sheetName val="Index"/>
      <sheetName val="THTC in"/>
      <sheetName val="KQKD in"/>
      <sheetName val="LCTT_GT in"/>
      <sheetName val="Tinh hinh tai chinh"/>
      <sheetName val="Ket qua kinh doanh"/>
      <sheetName val="Luu chuyen tien te"/>
      <sheetName val="KQKD theo yeu to"/>
      <sheetName val="No vay"/>
      <sheetName val="Giao dich voi BLQ"/>
      <sheetName val="Phu luc S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BL8">
            <v>580.27200000000005</v>
          </cell>
          <cell r="BM8">
            <v>464.90899999999999</v>
          </cell>
          <cell r="BN8">
            <v>656.06799999999998</v>
          </cell>
          <cell r="BO8">
            <v>641.11400000000003</v>
          </cell>
        </row>
      </sheetData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81EA89-116D-40A3-AA6E-5799F758F3E5}" name="Data_PL7" displayName="Data_PL7" ref="A3:CC24" totalsRowCount="1" headerRowDxfId="575" dataDxfId="574" tableBorderDxfId="573" headerRowCellStyle="Comma 3">
  <tableColumns count="81">
    <tableColumn id="1" xr3:uid="{5819D643-B9DF-450F-80FD-E5839C01D86D}" name="Index PL" dataDxfId="572" totalsRowDxfId="78" dataCellStyle="Normal 2"/>
    <tableColumn id="2" xr3:uid="{207B9F30-2209-4BCE-BC87-74821C71940C}" name="PHẦN II-KẾT QUẢ HOẠT ĐỘNG KINH DOANH" totalsRowLabel="% LNST" dataDxfId="80" totalsRowDxfId="79" dataCellStyle="Normal 2"/>
    <tableColumn id="3" xr3:uid="{2D50FBB2-F3AE-407D-B3B5-421F6BB08905}" name="TenCongTyID" dataDxfId="571" totalsRowDxfId="81"/>
    <tableColumn id="77" xr3:uid="{93A44EAF-9EC9-404F-A33B-9EC080BA2AC9}" name="2021" totalsRowFunction="custom" dataDxfId="570" totalsRowDxfId="5">
      <calculatedColumnFormula>SUM(Data_PL7[[#This Row],[T1.2021]:[T12.2021]])</calculatedColumnFormula>
      <totalsRowFormula>D23/D7</totalsRowFormula>
    </tableColumn>
    <tableColumn id="76" xr3:uid="{110F42F0-AEC6-40AC-833D-072742D68C05}" name="2022" totalsRowFunction="custom" dataDxfId="569" totalsRowDxfId="4">
      <calculatedColumnFormula>SUM(Data_PL7[[#This Row],[T1.2022]:[T12.2022]])</calculatedColumnFormula>
      <totalsRowFormula>E23/E7</totalsRowFormula>
    </tableColumn>
    <tableColumn id="78" xr3:uid="{69677450-BCE6-41CE-A7FF-D683EA429589}" name="2023" totalsRowFunction="custom" dataDxfId="568" totalsRowDxfId="3">
      <calculatedColumnFormula>SUM(Data_PL7[[#This Row],[T1.2023]:[T12.2023]])</calculatedColumnFormula>
      <totalsRowFormula>F23/F7</totalsRowFormula>
    </tableColumn>
    <tableColumn id="79" xr3:uid="{826C8C17-22B9-4797-9EB8-B3E8D20E8406}" name="2024" totalsRowFunction="custom" dataDxfId="567" totalsRowDxfId="2">
      <calculatedColumnFormula>SUM(Data_PL7[[#This Row],[T01.2024]:[T12.2024]])</calculatedColumnFormula>
      <totalsRowFormula>G23/G7</totalsRowFormula>
    </tableColumn>
    <tableColumn id="80" xr3:uid="{BCF2E1E5-6266-47D3-AE2C-C4DD0568B036}" name="2025" totalsRowFunction="custom" dataDxfId="566" totalsRowDxfId="1">
      <calculatedColumnFormula>SUM(Data_PL7[[#This Row],[T01.2025]:[T12.2025]])</calculatedColumnFormula>
      <totalsRowFormula>H23/H7</totalsRowFormula>
    </tableColumn>
    <tableColumn id="81" xr3:uid="{ABC0C80D-7FA6-40B4-9427-246CD3594886}" name="2026" totalsRowFunction="custom" dataDxfId="565" totalsRowDxfId="0">
      <calculatedColumnFormula>SUM(Data_PL7[[#This Row],[T01.2026]:[T12.2026]])</calculatedColumnFormula>
      <totalsRowFormula>I23/I7</totalsRowFormula>
    </tableColumn>
    <tableColumn id="4" xr3:uid="{41AA8F0B-818C-420A-84D4-CD73D8AAC7ED}" name="T1.2021" dataDxfId="564" totalsRowDxfId="77" dataCellStyle="Normal 2"/>
    <tableColumn id="5" xr3:uid="{BAB69D10-2B82-4816-B8AD-3EDE7D687915}" name="T02.2021" dataDxfId="563" totalsRowDxfId="76" dataCellStyle="Normal 2"/>
    <tableColumn id="6" xr3:uid="{5F74A76B-4265-4BC8-982D-9BD9A7064A0F}" name="T03.2021" dataDxfId="562" totalsRowDxfId="75" dataCellStyle="Normal 2"/>
    <tableColumn id="7" xr3:uid="{12E9ACBD-00E1-4AC3-8E68-9D34D8EEC9D0}" name="T04.2021" dataDxfId="561" totalsRowDxfId="74" dataCellStyle="Normal 2"/>
    <tableColumn id="8" xr3:uid="{6D8D70DE-DE5D-4FC5-A371-F500228A7035}" name="T05.2021" dataDxfId="560" totalsRowDxfId="73" dataCellStyle="Normal 2"/>
    <tableColumn id="9" xr3:uid="{A126FE08-E2DF-4B18-AF98-814D29FBE825}" name="T06.2021" dataDxfId="559" totalsRowDxfId="72" dataCellStyle="Normal 2"/>
    <tableColumn id="10" xr3:uid="{7F191142-E045-4C05-B8DF-AEAEC14C66A1}" name="T07.2021" dataDxfId="558" totalsRowDxfId="71" dataCellStyle="Normal 2"/>
    <tableColumn id="11" xr3:uid="{64061795-3470-4FA1-AFE3-68CD37E736C8}" name="T08.2021" dataDxfId="557" totalsRowDxfId="70" dataCellStyle="Normal 2"/>
    <tableColumn id="12" xr3:uid="{91C3B0FA-C5E4-4C39-8927-538B01EE3011}" name="T09.2021" dataDxfId="556" totalsRowDxfId="69" dataCellStyle="Normal 2"/>
    <tableColumn id="13" xr3:uid="{32E6849A-D9AF-4056-B40A-758E09F01E17}" name="T10.2021" dataDxfId="555" totalsRowDxfId="68" dataCellStyle="Normal 2"/>
    <tableColumn id="14" xr3:uid="{FF86929F-58BA-41A2-8C9F-BF6A8B0D8265}" name="T11.2021" dataDxfId="554" totalsRowDxfId="67" dataCellStyle="Normal 2"/>
    <tableColumn id="15" xr3:uid="{518D840A-C3EB-4EEC-BA16-FD191FD521B1}" name="T12.2021" dataDxfId="553" totalsRowDxfId="66" dataCellStyle="Normal 2"/>
    <tableColumn id="16" xr3:uid="{80BB2E7E-E201-4ACE-852E-1F6DEAB94EE1}" name="T1.2022" dataDxfId="552" totalsRowDxfId="65" dataCellStyle="Normal 2"/>
    <tableColumn id="17" xr3:uid="{853038FA-E3B8-4BF9-B11B-B4CA8B413C1C}" name="T02.2022" dataDxfId="551" totalsRowDxfId="64" dataCellStyle="Normal 2"/>
    <tableColumn id="18" xr3:uid="{70F3048D-A0D4-4544-8FE9-8058CC4D9B14}" name="T03.2022" dataDxfId="550" totalsRowDxfId="63" dataCellStyle="Normal 2"/>
    <tableColumn id="19" xr3:uid="{F663D610-FB1F-4F38-9ED3-5B99C345DE18}" name="T04.2022" dataDxfId="549" totalsRowDxfId="62" dataCellStyle="Normal 2"/>
    <tableColumn id="20" xr3:uid="{D5057CB7-0538-4596-84B4-CBC36EE2A7E3}" name="T05.2022" dataDxfId="548" totalsRowDxfId="61" dataCellStyle="Normal 2"/>
    <tableColumn id="21" xr3:uid="{E2500851-E445-4361-9CF0-9DAEDEEC6FB1}" name="T06.2022" dataDxfId="547" totalsRowDxfId="60" dataCellStyle="Normal 2"/>
    <tableColumn id="22" xr3:uid="{7E354BCD-93E1-489D-A12E-566362E19003}" name="T07.2022" dataDxfId="546" totalsRowDxfId="59" dataCellStyle="Normal 2"/>
    <tableColumn id="23" xr3:uid="{22EFD073-88C1-47E2-9EAA-265B708EB0B0}" name="T08.2022" dataDxfId="545" totalsRowDxfId="58" dataCellStyle="Normal 2"/>
    <tableColumn id="24" xr3:uid="{3108DEDE-DD6B-4FCF-A1B3-9D87237DF976}" name="T09.2022" dataDxfId="544" totalsRowDxfId="57" dataCellStyle="Normal 2"/>
    <tableColumn id="25" xr3:uid="{A35F99C7-F1B0-4AF3-9AC2-C76F945E33D2}" name="T10.2022" dataDxfId="543" totalsRowDxfId="56" dataCellStyle="Normal 2"/>
    <tableColumn id="26" xr3:uid="{528DA89D-8A0A-45C6-ABF0-D250FC225FBA}" name="T11.2022" dataDxfId="542" totalsRowDxfId="55" dataCellStyle="Normal 2"/>
    <tableColumn id="27" xr3:uid="{28EE880C-5496-447A-8C0F-C29387B69245}" name="T12.2022" dataDxfId="541" totalsRowDxfId="54" dataCellStyle="Normal 2"/>
    <tableColumn id="28" xr3:uid="{82940883-452B-46CC-914C-80B8C6DDB190}" name="T1.2023" dataDxfId="540" totalsRowDxfId="53" dataCellStyle="Normal 2"/>
    <tableColumn id="29" xr3:uid="{EFFC5308-E65A-4D9D-938B-F76A43F240CA}" name="T02.2023" dataDxfId="539" totalsRowDxfId="52" dataCellStyle="Normal 2"/>
    <tableColumn id="30" xr3:uid="{E6FBD471-7401-4CF5-B0D4-D2057AB0B456}" name="T03.2023" dataDxfId="538" totalsRowDxfId="51" dataCellStyle="Normal 2"/>
    <tableColumn id="31" xr3:uid="{A7198B32-4C1E-4C05-9392-81AA8ACE9ECE}" name="T04.2023" dataDxfId="537" totalsRowDxfId="50" dataCellStyle="Normal 2"/>
    <tableColumn id="32" xr3:uid="{6F864526-C600-408B-B68A-1CFCA8B60975}" name="T05.2023" dataDxfId="536" totalsRowDxfId="49" dataCellStyle="Normal 2"/>
    <tableColumn id="33" xr3:uid="{37A2ECDB-C0A2-49CF-B49F-DA3D75B4E31C}" name="T06.2023" dataDxfId="535" totalsRowDxfId="48" dataCellStyle="Normal 2"/>
    <tableColumn id="34" xr3:uid="{D9307027-0040-4319-94AA-E9053902222C}" name="T07.2023" dataDxfId="534" totalsRowDxfId="47" dataCellStyle="Normal 2"/>
    <tableColumn id="35" xr3:uid="{5DE65663-F078-4AEE-AA14-A586ECF31B87}" name="T08.2023" dataDxfId="533" totalsRowDxfId="46" dataCellStyle="Normal 2"/>
    <tableColumn id="36" xr3:uid="{4F601840-8B95-4DDF-A682-A254E0F3A7E2}" name="T09.2023" dataDxfId="532" totalsRowDxfId="45" dataCellStyle="Normal 2"/>
    <tableColumn id="37" xr3:uid="{B5AE929E-460A-4BC3-8375-A0F57B9A19A3}" name="T10.2023" dataDxfId="531" totalsRowDxfId="44" dataCellStyle="Normal 2"/>
    <tableColumn id="38" xr3:uid="{E94BE751-59A7-4FFB-BF7D-2F00E4367BCE}" name="T11.2023" dataDxfId="530" totalsRowDxfId="43" dataCellStyle="Normal 2"/>
    <tableColumn id="39" xr3:uid="{6E716634-95B2-4F3F-AB42-CAAC7BF0FC53}" name="T12.2023" dataDxfId="529" totalsRowDxfId="42" dataCellStyle="Normal 2"/>
    <tableColumn id="40" xr3:uid="{B231267F-ADE6-4F41-A668-C7A91F6B3FB2}" name="T01.2024" dataDxfId="528" totalsRowDxfId="41" dataCellStyle="Normal 2"/>
    <tableColumn id="41" xr3:uid="{D1972F2B-9C52-4704-A115-825252FB5F08}" name="T02.2024" dataDxfId="527" totalsRowDxfId="40" dataCellStyle="Normal 2"/>
    <tableColumn id="42" xr3:uid="{5E2AA5B5-982B-4A29-A5A5-1B101AFEA750}" name="T03.2024" dataDxfId="526" totalsRowDxfId="39" dataCellStyle="Normal 2"/>
    <tableColumn id="43" xr3:uid="{674DFF4E-8204-4834-BF9E-C20830059F1B}" name="T04.2024" dataDxfId="525" totalsRowDxfId="38" dataCellStyle="Normal 2"/>
    <tableColumn id="44" xr3:uid="{05880A00-CDA4-4384-8270-D2C5813E712C}" name="T05.2024" dataDxfId="524" totalsRowDxfId="37" dataCellStyle="Normal 2"/>
    <tableColumn id="45" xr3:uid="{6DE2890C-65E5-4483-B1DC-4E0782D7E160}" name="T06.2024" dataDxfId="523" totalsRowDxfId="36" dataCellStyle="Normal 2"/>
    <tableColumn id="46" xr3:uid="{9552587B-F491-43D9-AB5A-EDEFBB402B3A}" name="T07.2024" dataDxfId="522" totalsRowDxfId="35" dataCellStyle="Normal 2"/>
    <tableColumn id="47" xr3:uid="{46C33341-EA59-4C09-8870-FD5E02E4CDDD}" name="T08.2024" dataDxfId="521" totalsRowDxfId="34" dataCellStyle="Normal 2"/>
    <tableColumn id="48" xr3:uid="{E070A20A-B3EC-48E3-9A16-6D1866311DBB}" name="T09.2024" dataDxfId="520" totalsRowDxfId="33" dataCellStyle="Normal 2"/>
    <tableColumn id="49" xr3:uid="{B97F60C0-3478-4ECB-806A-C3996C390C75}" name="T10.2024" dataDxfId="519" totalsRowDxfId="32" dataCellStyle="Normal 2"/>
    <tableColumn id="50" xr3:uid="{D2CCD6DA-86B3-44C8-88DE-1405918D2A1E}" name="T11.2024" dataDxfId="518" totalsRowDxfId="31" dataCellStyle="Normal 2"/>
    <tableColumn id="51" xr3:uid="{9354C675-1927-4EF8-B570-D91A6331B534}" name="T12.2024" dataDxfId="517" totalsRowDxfId="30" dataCellStyle="Normal 2"/>
    <tableColumn id="52" xr3:uid="{9F13C648-7D76-4607-8427-9C345C86241A}" name="T01.2025" dataDxfId="516" totalsRowDxfId="29" dataCellStyle="Normal 2"/>
    <tableColumn id="53" xr3:uid="{E2E48EA4-02A9-484D-8EAB-C743DB49F924}" name="T02.2025" dataDxfId="515" totalsRowDxfId="28" dataCellStyle="Normal 2"/>
    <tableColumn id="54" xr3:uid="{157B3FCF-68A4-4289-8E5D-9BB87F2B4FF5}" name="T03.2025" dataDxfId="514" totalsRowDxfId="27" dataCellStyle="Normal 2"/>
    <tableColumn id="55" xr3:uid="{3270052C-F995-46B6-A298-15E1FF8D4705}" name="T04.2025" dataDxfId="513" totalsRowDxfId="26" dataCellStyle="Normal 2"/>
    <tableColumn id="56" xr3:uid="{0129CB96-3EF7-4206-9E76-9863774D43B6}" name="T05.2025" dataDxfId="512" totalsRowDxfId="25" dataCellStyle="Normal 2"/>
    <tableColumn id="57" xr3:uid="{67BFD3CD-21D5-41E0-B132-018D517B08C2}" name="T06.2025" dataDxfId="511" totalsRowDxfId="24" dataCellStyle="Normal 2"/>
    <tableColumn id="58" xr3:uid="{1E17B2DC-1252-48A3-B4C3-5E552606BC57}" name="T07.2025" dataDxfId="510" totalsRowDxfId="23" dataCellStyle="Normal 2"/>
    <tableColumn id="59" xr3:uid="{BF6070C0-4309-4353-BE97-C5F3A7CB3D0F}" name="T08.2025" dataDxfId="509" totalsRowDxfId="22" dataCellStyle="Normal 2"/>
    <tableColumn id="60" xr3:uid="{A3425ED1-1E10-4657-AD3C-F61D90D5DCD5}" name="T09.2025" dataDxfId="508" totalsRowDxfId="21" dataCellStyle="Normal 2"/>
    <tableColumn id="61" xr3:uid="{1B84C758-5021-46A8-8973-B7F4BF9B3E21}" name="T10.2025" dataDxfId="507" totalsRowDxfId="20" dataCellStyle="Normal 2"/>
    <tableColumn id="62" xr3:uid="{E6D4341C-900B-43F5-B4D8-2C54A3EE3D81}" name="T11.2025" dataDxfId="506" totalsRowDxfId="19" dataCellStyle="Normal 2"/>
    <tableColumn id="63" xr3:uid="{DB14AE4D-C1CE-4A49-BB23-DDC5E1F39B27}" name="T12.2025" dataDxfId="505" totalsRowDxfId="18" dataCellStyle="Normal 2"/>
    <tableColumn id="64" xr3:uid="{E6EF99F0-DB4F-41DF-9D20-CB1431FB0F36}" name="T01.2026" dataDxfId="504" totalsRowDxfId="17" dataCellStyle="Normal 2"/>
    <tableColumn id="65" xr3:uid="{CD16CAC6-BEDD-4B66-9741-E437F13EB737}" name="T02.2026" dataDxfId="503" totalsRowDxfId="16" dataCellStyle="Normal 2"/>
    <tableColumn id="66" xr3:uid="{F1238337-BEF7-41C1-9E2E-4E30B2964767}" name="T03.2026" dataDxfId="502" totalsRowDxfId="15" dataCellStyle="Normal 2"/>
    <tableColumn id="67" xr3:uid="{D622B7E9-D7E2-4DAF-8753-B4E0345DED42}" name="T04.2026" dataDxfId="501" totalsRowDxfId="14" dataCellStyle="Normal 2"/>
    <tableColumn id="68" xr3:uid="{2B16DAB7-C793-41BA-B058-A775AB9E35BB}" name="T05.2026" dataDxfId="500" totalsRowDxfId="13" dataCellStyle="Normal 2"/>
    <tableColumn id="69" xr3:uid="{224D0F2D-5249-4687-860F-6BF0270848AB}" name="T06.2026" dataDxfId="499" totalsRowDxfId="12" dataCellStyle="Normal 2"/>
    <tableColumn id="70" xr3:uid="{B827B27F-0099-44B7-86FF-6FF3858A3585}" name="T07.2026" dataDxfId="498" totalsRowDxfId="11" dataCellStyle="Normal 2"/>
    <tableColumn id="71" xr3:uid="{3DA886A1-A26E-4488-95F8-50B83EF3B667}" name="T08.2026" dataDxfId="497" totalsRowDxfId="10" dataCellStyle="Normal 2"/>
    <tableColumn id="72" xr3:uid="{49777372-D1DA-4F9D-AA4D-EE0FBC7632BB}" name="T09.2026" dataDxfId="496" totalsRowDxfId="9" dataCellStyle="Normal 2"/>
    <tableColumn id="73" xr3:uid="{D13CC54F-816B-4A45-8E7D-846A64CEA75B}" name="T10.2026" dataDxfId="495" totalsRowDxfId="8" dataCellStyle="Normal 2"/>
    <tableColumn id="74" xr3:uid="{6E42E6B2-F094-4928-BC79-71B3EF58FE2E}" name="T11.2026" dataDxfId="494" totalsRowDxfId="7" dataCellStyle="Normal 2"/>
    <tableColumn id="75" xr3:uid="{DE0FC758-0C73-49B1-B4A9-9DE8A8577E48}" name="T12.2026" dataDxfId="493" totalsRowDxfId="6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EF6C30-4601-45DB-85AA-32260EA8D930}" name="Data_PL73" displayName="Data_PL73" ref="A3:CC24" totalsRowShown="0" headerRowDxfId="492" dataDxfId="491" tableBorderDxfId="490" headerRowCellStyle="Comma 3">
  <tableColumns count="81">
    <tableColumn id="1" xr3:uid="{7DA75628-AD6B-4C0F-8359-4FBE4BB7E855}" name="Index PL" dataDxfId="489" dataCellStyle="Normal 2"/>
    <tableColumn id="2" xr3:uid="{39958BA3-6F89-40CE-B470-A2B867A7E95D}" name="PHẦN II-KẾT QUẢ HOẠT ĐỘNG KINH DOANH" dataDxfId="488" dataCellStyle="Normal 2"/>
    <tableColumn id="3" xr3:uid="{BDB70996-0FFF-4983-8E85-7EA263925E90}" name="TenCongTyID" dataDxfId="487"/>
    <tableColumn id="76" xr3:uid="{58FC58A4-BCC5-463B-A07F-47D130996F79}" name="2021" dataDxfId="130">
      <calculatedColumnFormula>SUM(Data_PL73[[#This Row],[T1.2021]:[T12.2021]])</calculatedColumnFormula>
    </tableColumn>
    <tableColumn id="77" xr3:uid="{0EFB2FF2-0489-4DF8-9BEA-8CFFA77A9538}" name="2022" dataDxfId="129">
      <calculatedColumnFormula>SUM(Data_PL73[[#This Row],[T1.2022]:[T12.2022]])</calculatedColumnFormula>
    </tableColumn>
    <tableColumn id="78" xr3:uid="{2A962E2A-5EBE-4E28-935C-25BCA0D01406}" name="2023" dataDxfId="128">
      <calculatedColumnFormula>SUM(Data_PL73[[#This Row],[T1.2023]:[T12.2023]])</calculatedColumnFormula>
    </tableColumn>
    <tableColumn id="79" xr3:uid="{E471B380-A24F-475B-9762-7AC54E9AB658}" name="2024" dataDxfId="127">
      <calculatedColumnFormula>SUM(Data_PL73[[#This Row],[T01.2024]:[T12.2024]])</calculatedColumnFormula>
    </tableColumn>
    <tableColumn id="80" xr3:uid="{F2F2BC7A-11F8-4CD9-AAB9-0CC93851FFA2}" name="2025" dataDxfId="126">
      <calculatedColumnFormula>SUM(Data_PL73[[#This Row],[T01.2025]:[T12.2025]])</calculatedColumnFormula>
    </tableColumn>
    <tableColumn id="81" xr3:uid="{CDE671BF-0B98-480D-9B36-0BDF0427BEDE}" name="2026" dataDxfId="125">
      <calculatedColumnFormula>SUM(Data_PL73[[#This Row],[T01.2026]:[T12.2026]])</calculatedColumnFormula>
    </tableColumn>
    <tableColumn id="4" xr3:uid="{D48AA50A-A8DE-473A-9BDF-A8597AA310EB}" name="T1.2021" dataDxfId="486" dataCellStyle="Normal 2"/>
    <tableColumn id="5" xr3:uid="{ACD79E97-B0F4-49F1-A355-3616DB8255C1}" name="T02.2021" dataDxfId="485" dataCellStyle="Normal 2"/>
    <tableColumn id="6" xr3:uid="{8B60BE90-9BE8-4CEC-B3D5-F5C4FF237CC5}" name="T03.2021" dataDxfId="484" dataCellStyle="Normal 2"/>
    <tableColumn id="7" xr3:uid="{51D42DD7-0DE7-4FB3-8EA0-6203702892B3}" name="T04.2021" dataDxfId="483" dataCellStyle="Normal 2"/>
    <tableColumn id="8" xr3:uid="{BA8D17B7-D806-4711-A700-CA01841F70D0}" name="T05.2021" dataDxfId="482" dataCellStyle="Normal 2"/>
    <tableColumn id="9" xr3:uid="{9185F921-872D-46C7-B163-3BE3A4F3B973}" name="T06.2021" dataDxfId="481" dataCellStyle="Normal 2"/>
    <tableColumn id="10" xr3:uid="{0173064C-7EC2-4836-BC1F-05011D5D786D}" name="T07.2021" dataDxfId="480" dataCellStyle="Normal 2"/>
    <tableColumn id="11" xr3:uid="{5ECF1105-8388-4973-A06F-A3189A94A6FC}" name="T08.2021" dataDxfId="479" dataCellStyle="Normal 2"/>
    <tableColumn id="12" xr3:uid="{A3C82454-D1CC-4C89-8039-1502647CD038}" name="T09.2021" dataDxfId="478" dataCellStyle="Normal 2"/>
    <tableColumn id="13" xr3:uid="{F645197B-A6B3-4AB2-A5BE-D78DFDB1AE1C}" name="T10.2021" dataDxfId="477" dataCellStyle="Normal 2"/>
    <tableColumn id="14" xr3:uid="{8BC516E0-253E-41F0-A748-21D42203AA47}" name="T11.2021" dataDxfId="476" dataCellStyle="Normal 2"/>
    <tableColumn id="15" xr3:uid="{7DDCB2FF-AE81-4B69-88A0-A04200D5392F}" name="T12.2021" dataDxfId="475" dataCellStyle="Normal 2"/>
    <tableColumn id="16" xr3:uid="{2903E77D-96C8-4FF9-81DC-C5200F6231DF}" name="T1.2022" dataDxfId="474" dataCellStyle="Normal 2"/>
    <tableColumn id="17" xr3:uid="{30916EED-C4AC-457E-9E91-5AAA76B91AEC}" name="T02.2022" dataDxfId="473" dataCellStyle="Normal 2"/>
    <tableColumn id="18" xr3:uid="{0873CEC8-DA2C-48BA-A36E-0B480A7E1D68}" name="T03.2022" dataDxfId="472" dataCellStyle="Normal 2"/>
    <tableColumn id="19" xr3:uid="{2DD8CADC-2C7C-459B-9838-EB918E2E906A}" name="T04.2022" dataDxfId="471" dataCellStyle="Normal 2"/>
    <tableColumn id="20" xr3:uid="{0BDA1017-108A-49D4-A9D2-382610F4E04B}" name="T05.2022" dataDxfId="470" dataCellStyle="Normal 2"/>
    <tableColumn id="21" xr3:uid="{E4CC3753-ED7C-40C4-BAE6-687947D87351}" name="T06.2022" dataDxfId="469" dataCellStyle="Normal 2"/>
    <tableColumn id="22" xr3:uid="{4CE0D7E6-AC1C-4141-8DF7-2D505C14B6DD}" name="T07.2022" dataDxfId="468" dataCellStyle="Normal 2"/>
    <tableColumn id="23" xr3:uid="{508B46EF-1FC6-4CBD-880B-3CBC78F7061A}" name="T08.2022" dataDxfId="467" dataCellStyle="Normal 2"/>
    <tableColumn id="24" xr3:uid="{17381E10-0091-4AC4-92F6-74F779596791}" name="T09.2022" dataDxfId="466" dataCellStyle="Normal 2"/>
    <tableColumn id="25" xr3:uid="{ADD1D4A8-918A-474E-8082-A0D1BEDC6065}" name="T10.2022" dataDxfId="465" dataCellStyle="Normal 2"/>
    <tableColumn id="26" xr3:uid="{03B3787F-C651-4F2E-AAF9-E33F5F82E225}" name="T11.2022" dataDxfId="464" dataCellStyle="Normal 2"/>
    <tableColumn id="27" xr3:uid="{CABEAF69-AEF3-41F9-BD9A-FF1F1F013C33}" name="T12.2022" dataDxfId="463" dataCellStyle="Normal 2"/>
    <tableColumn id="28" xr3:uid="{9A1E425E-F816-413A-B903-31B0B4CF797C}" name="T1.2023" dataDxfId="462" dataCellStyle="Normal 2"/>
    <tableColumn id="29" xr3:uid="{16637C24-BD3B-49CA-88E8-1F3571A16099}" name="T02.2023" dataDxfId="461" dataCellStyle="Normal 2"/>
    <tableColumn id="30" xr3:uid="{1E6D64A2-149E-4569-9AAA-7E0321EFA298}" name="T03.2023" dataDxfId="460" dataCellStyle="Normal 2"/>
    <tableColumn id="31" xr3:uid="{93785508-4CED-4030-86CA-46CC14F3AE0E}" name="T04.2023" dataDxfId="459" dataCellStyle="Normal 2"/>
    <tableColumn id="32" xr3:uid="{E734762F-626F-442F-B71E-5E851C9D01BB}" name="T05.2023" dataDxfId="458" dataCellStyle="Normal 2"/>
    <tableColumn id="33" xr3:uid="{A625381D-7F9C-400E-8537-5C2D64D0EE61}" name="T06.2023" dataDxfId="457" dataCellStyle="Normal 2"/>
    <tableColumn id="34" xr3:uid="{A7BC7926-7109-4785-95FC-34BBFD5D26DC}" name="T07.2023" dataDxfId="456" dataCellStyle="Normal 2"/>
    <tableColumn id="35" xr3:uid="{94DF0E70-06C5-4896-BBF4-E12B7DEE3CAB}" name="T08.2023" dataDxfId="455" dataCellStyle="Normal 2"/>
    <tableColumn id="36" xr3:uid="{D58D3934-226C-4647-A397-3BF038D28EC3}" name="T09.2023" dataDxfId="454" dataCellStyle="Normal 2"/>
    <tableColumn id="37" xr3:uid="{9FCA29E4-1B75-4DAF-BC96-6542734548E2}" name="T10.2023" dataDxfId="453" dataCellStyle="Normal 2"/>
    <tableColumn id="38" xr3:uid="{634BC5AF-A8B0-43B9-96DF-2FF5282D32F9}" name="T11.2023" dataDxfId="452" dataCellStyle="Normal 2"/>
    <tableColumn id="39" xr3:uid="{C4CB1DCD-E004-4404-90BC-F08F8FF8F919}" name="T12.2023" dataDxfId="451" dataCellStyle="Normal 2"/>
    <tableColumn id="40" xr3:uid="{8FA5B6B7-7CD1-43F2-AFE8-ED486C95E3D2}" name="T01.2024" dataDxfId="450" dataCellStyle="Normal 2"/>
    <tableColumn id="41" xr3:uid="{3BD82947-5C34-4F72-A071-F79A8F5D5DF2}" name="T02.2024" dataDxfId="449" dataCellStyle="Normal 2"/>
    <tableColumn id="42" xr3:uid="{7F0B17CB-7749-4C20-BEA7-21E54DEC11C7}" name="T03.2024" dataDxfId="448" dataCellStyle="Normal 2"/>
    <tableColumn id="43" xr3:uid="{6A525F0C-A90B-4228-883C-5941A487B4A3}" name="T04.2024" dataDxfId="447" dataCellStyle="Normal 2"/>
    <tableColumn id="44" xr3:uid="{ABB4078D-13A2-4A57-909D-AFDF8ADC0809}" name="T05.2024" dataDxfId="446" dataCellStyle="Normal 2"/>
    <tableColumn id="45" xr3:uid="{EED1AF96-04DF-4897-A112-E6B8BDE5C780}" name="T06.2024" dataDxfId="445" dataCellStyle="Normal 2"/>
    <tableColumn id="46" xr3:uid="{47FB0F3F-CFA8-42C9-B01E-38ADD281234D}" name="T07.2024" dataDxfId="444" dataCellStyle="Normal 2"/>
    <tableColumn id="47" xr3:uid="{1C0137AD-229A-4022-AB19-E2BE8F30DBBA}" name="T08.2024" dataDxfId="443" dataCellStyle="Normal 2"/>
    <tableColumn id="48" xr3:uid="{C67896B3-3585-45D8-9113-933042FC563E}" name="T09.2024" dataDxfId="442" dataCellStyle="Normal 2"/>
    <tableColumn id="49" xr3:uid="{33F8D760-D394-440D-A9AF-C876EDB31725}" name="T10.2024" dataDxfId="441" dataCellStyle="Normal 2"/>
    <tableColumn id="50" xr3:uid="{98FA7AF3-A658-4A6F-8DA9-641BD044224F}" name="T11.2024" dataDxfId="440" dataCellStyle="Normal 2"/>
    <tableColumn id="51" xr3:uid="{34DAB952-BD8B-43C0-8793-2C23611B8832}" name="T12.2024" dataDxfId="439" dataCellStyle="Normal 2"/>
    <tableColumn id="52" xr3:uid="{ED08C14C-2D88-46FD-90B9-A961A7FBC69E}" name="T01.2025" dataDxfId="438" dataCellStyle="Normal 2"/>
    <tableColumn id="53" xr3:uid="{E542133D-BB3A-4426-992F-2814BF4145BA}" name="T02.2025" dataDxfId="437" dataCellStyle="Normal 2"/>
    <tableColumn id="54" xr3:uid="{09B944D2-A0F3-4FD5-BAB2-D308F0799BFF}" name="T03.2025" dataDxfId="436" dataCellStyle="Normal 2"/>
    <tableColumn id="55" xr3:uid="{684F4055-2DFA-46A1-9FE7-2F41B82FDA8B}" name="T04.2025" dataDxfId="435" dataCellStyle="Normal 2"/>
    <tableColumn id="56" xr3:uid="{2BA06701-54DE-4F4E-8267-43C2F4E28464}" name="T05.2025" dataDxfId="434" dataCellStyle="Normal 2"/>
    <tableColumn id="57" xr3:uid="{26D25EAA-5CB1-437C-9A55-EC0C7C93728E}" name="T06.2025" dataDxfId="433" dataCellStyle="Normal 2"/>
    <tableColumn id="58" xr3:uid="{1654D92A-D5AF-4634-9710-8A9FE5568AB3}" name="T07.2025" dataDxfId="432" dataCellStyle="Normal 2"/>
    <tableColumn id="59" xr3:uid="{C9DC0C37-0171-4107-AE98-7BB13B7702C9}" name="T08.2025" dataDxfId="431" dataCellStyle="Normal 2"/>
    <tableColumn id="60" xr3:uid="{A6881753-1F73-4FDD-A882-3A4F4184519A}" name="T09.2025" dataDxfId="430" dataCellStyle="Normal 2"/>
    <tableColumn id="61" xr3:uid="{7941C1D5-7F08-4CED-B0A4-25A28AA58A9A}" name="T10.2025" dataDxfId="429" dataCellStyle="Normal 2"/>
    <tableColumn id="62" xr3:uid="{1F366938-6F8C-4492-B6C4-72454FC9BBE7}" name="T11.2025" dataDxfId="428" dataCellStyle="Normal 2"/>
    <tableColumn id="63" xr3:uid="{E7D72A8D-4046-45A0-B3B0-A337F141B5E5}" name="T12.2025" dataDxfId="427" dataCellStyle="Normal 2"/>
    <tableColumn id="64" xr3:uid="{79BB8902-6DCD-4030-A534-B94806DF36EA}" name="T01.2026" dataDxfId="426" dataCellStyle="Normal 2"/>
    <tableColumn id="65" xr3:uid="{90CECA76-BB70-4A7C-A5CF-EAE4D0190222}" name="T02.2026" dataDxfId="425" dataCellStyle="Normal 2"/>
    <tableColumn id="66" xr3:uid="{36F2D6C7-3666-4420-B6AD-09BDA3F16226}" name="T03.2026" dataDxfId="424" dataCellStyle="Normal 2"/>
    <tableColumn id="67" xr3:uid="{79305FD6-C55C-4FF9-BB57-BCE3C5A9F600}" name="T04.2026" dataDxfId="423" dataCellStyle="Normal 2"/>
    <tableColumn id="68" xr3:uid="{A2A15AEA-C78D-41B6-B21B-155DDD4DE721}" name="T05.2026" dataDxfId="422" dataCellStyle="Normal 2"/>
    <tableColumn id="69" xr3:uid="{96206300-F358-45D6-91FE-A4D142B97EB6}" name="T06.2026" dataDxfId="421" dataCellStyle="Normal 2"/>
    <tableColumn id="70" xr3:uid="{CB81544B-2FAB-4002-95B3-B4F6B4A64D56}" name="T07.2026" dataDxfId="420" dataCellStyle="Normal 2"/>
    <tableColumn id="71" xr3:uid="{A43411A4-762A-4BB8-AF9E-86C240F63A8B}" name="T08.2026" dataDxfId="419" dataCellStyle="Normal 2"/>
    <tableColumn id="72" xr3:uid="{3735D5EF-EB15-46AD-992D-5385F0485373}" name="T09.2026" dataDxfId="418" dataCellStyle="Normal 2"/>
    <tableColumn id="73" xr3:uid="{CEEE8963-8FF0-4EF2-8D69-70C1EA1AA8FC}" name="T10.2026" dataDxfId="417" dataCellStyle="Normal 2"/>
    <tableColumn id="74" xr3:uid="{A974472F-9B95-48C2-8B24-45859933D180}" name="T11.2026" dataDxfId="416" dataCellStyle="Normal 2"/>
    <tableColumn id="75" xr3:uid="{C95918BC-5742-461D-9020-CC9D54AE71E3}" name="T12.2026" dataDxfId="415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64FCDC-ABB5-422A-9C32-09C36FCD462E}" name="Data_PL8" displayName="Data_PL8" ref="A3:CC24" totalsRowShown="0" headerRowDxfId="186" headerRowCellStyle="Comma 3">
  <tableColumns count="81">
    <tableColumn id="1" xr3:uid="{A0497BA1-4517-49A0-9E32-87331164AA6F}" name="Index PL" dataDxfId="185" dataCellStyle="Normal 2"/>
    <tableColumn id="2" xr3:uid="{4179A8ED-767E-401C-AD8A-E8210B964383}" name="PHẦN II-KẾT QUẢ HOẠT ĐỘNG KINH DOANH" dataDxfId="184" dataCellStyle="Normal 2"/>
    <tableColumn id="3" xr3:uid="{B7713EB6-984C-41BA-B713-920AF4E8AAB9}" name="TenCongTyID"/>
    <tableColumn id="76" xr3:uid="{63579366-8690-4F2F-B4A7-1046FDEA7D15}" name="2021" dataDxfId="124">
      <calculatedColumnFormula>SUM(Data_PL8[[#This Row],[T1.2021]:[T12.2021]])</calculatedColumnFormula>
    </tableColumn>
    <tableColumn id="77" xr3:uid="{A5808399-F0EE-4A4B-923F-039BFE9CD381}" name="2022" dataDxfId="123">
      <calculatedColumnFormula>SUM(Data_PL8[[#This Row],[T1.2022]:[T12.2022]])</calculatedColumnFormula>
    </tableColumn>
    <tableColumn id="78" xr3:uid="{19DDF59E-8687-4ED6-B3D2-9944427A8B73}" name="2023" dataDxfId="122">
      <calculatedColumnFormula>SUM(Data_PL8[[#This Row],[T1.2023]:[T12.2023]])</calculatedColumnFormula>
    </tableColumn>
    <tableColumn id="79" xr3:uid="{498824B5-0541-40CB-91A7-78E5EFAE3E38}" name="2024" dataDxfId="121">
      <calculatedColumnFormula>SUM(Data_PL8[[#This Row],[T01.2024]:[T12.2024]])</calculatedColumnFormula>
    </tableColumn>
    <tableColumn id="80" xr3:uid="{D0CB0A9B-61FC-4E35-A004-677B0FAE1F19}" name="2025" dataDxfId="120">
      <calculatedColumnFormula>SUM(Data_PL8[[#This Row],[T01.2025]:[T12.2025]])</calculatedColumnFormula>
    </tableColumn>
    <tableColumn id="81" xr3:uid="{E25E32B5-4530-4557-957F-14ACB38EE16B}" name="2026" dataDxfId="119">
      <calculatedColumnFormula>SUM(Data_PL8[[#This Row],[T01.2026]:[T12.2026]])</calculatedColumnFormula>
    </tableColumn>
    <tableColumn id="4" xr3:uid="{4BAAEA04-1557-434A-9214-E9F23E899C0F}" name="T1.2021" dataDxfId="100">
      <calculatedColumnFormula>SUM('Dai loc:DLam'!J4)</calculatedColumnFormula>
    </tableColumn>
    <tableColumn id="5" xr3:uid="{D5DA6F6A-61BB-45BA-80AD-79B03CC9F1D7}" name="T02.2021" dataDxfId="99">
      <calculatedColumnFormula>SUM('Dai loc:DLam'!K4)</calculatedColumnFormula>
    </tableColumn>
    <tableColumn id="6" xr3:uid="{6F350CCD-ADF5-43DD-809F-78608D163D39}" name="T03.2021" dataDxfId="98">
      <calculatedColumnFormula>SUM('Dai loc:DLam'!L4)</calculatedColumnFormula>
    </tableColumn>
    <tableColumn id="7" xr3:uid="{3EBD005F-BB03-414D-8164-8C59EDB4EA4F}" name="T04.2021" dataDxfId="97">
      <calculatedColumnFormula>SUM('Dai loc:DLam'!M4)</calculatedColumnFormula>
    </tableColumn>
    <tableColumn id="8" xr3:uid="{C2DDA830-EB96-4B02-BFD0-0F88AD042F64}" name="T05.2021" dataDxfId="96">
      <calculatedColumnFormula>SUM('Dai loc:DLam'!N4)</calculatedColumnFormula>
    </tableColumn>
    <tableColumn id="9" xr3:uid="{3B267E3E-4274-4F0F-B64C-95DD166FEC03}" name="T06.2021" dataDxfId="95">
      <calculatedColumnFormula>SUM('Dai loc:DLam'!O4)</calculatedColumnFormula>
    </tableColumn>
    <tableColumn id="10" xr3:uid="{9A38D73C-7443-4F46-A2EF-D313FC960949}" name="T07.2021" dataDxfId="94">
      <calculatedColumnFormula>SUM('Dai loc:DLam'!P4)</calculatedColumnFormula>
    </tableColumn>
    <tableColumn id="11" xr3:uid="{3956EA6C-332A-4C20-8805-857EF32289A4}" name="T08.2021" dataDxfId="93">
      <calculatedColumnFormula>SUM('Dai loc:DLam'!Q4)</calculatedColumnFormula>
    </tableColumn>
    <tableColumn id="12" xr3:uid="{2B2AF0E5-8557-4C80-8DC8-F5EE0F725FEE}" name="T09.2021" dataDxfId="92">
      <calculatedColumnFormula>SUM('Dai loc:DLam'!R4)</calculatedColumnFormula>
    </tableColumn>
    <tableColumn id="13" xr3:uid="{85B69152-798F-485E-B86C-B3CAB62ADBCD}" name="T10.2021" dataDxfId="91">
      <calculatedColumnFormula>SUM('Dai loc:DLam'!S4)</calculatedColumnFormula>
    </tableColumn>
    <tableColumn id="14" xr3:uid="{1DC820EA-4EC9-4C61-9AFF-5D081A9437D6}" name="T11.2021" dataDxfId="90">
      <calculatedColumnFormula>SUM('Dai loc:DLam'!T4)</calculatedColumnFormula>
    </tableColumn>
    <tableColumn id="15" xr3:uid="{A7587305-FDCC-4862-B4FF-1154DB06B39D}" name="T12.2021" dataDxfId="183"/>
    <tableColumn id="16" xr3:uid="{070346EC-1508-4168-950C-3DA32F56677B}" name="T1.2022" dataDxfId="182"/>
    <tableColumn id="17" xr3:uid="{671A75B2-2111-4DB9-A0EF-8D2DFF05703A}" name="T02.2022" dataDxfId="181"/>
    <tableColumn id="18" xr3:uid="{2C6792D8-88AB-467A-A11A-008B140F8071}" name="T03.2022" dataDxfId="180"/>
    <tableColumn id="19" xr3:uid="{6EA4AF56-2F50-4CF8-A031-5DDDB41174C0}" name="T04.2022" dataDxfId="179"/>
    <tableColumn id="20" xr3:uid="{B6A7D78E-25F0-444C-899B-28D14C71FB70}" name="T05.2022" dataDxfId="178"/>
    <tableColumn id="21" xr3:uid="{50D06C17-87CE-4F45-81D5-0C5DD17A781D}" name="T06.2022" dataDxfId="177"/>
    <tableColumn id="22" xr3:uid="{89888EEB-196E-4E39-99C9-DEF12177393F}" name="T07.2022" dataDxfId="176"/>
    <tableColumn id="23" xr3:uid="{1B8CA8AF-3983-48A8-B3A9-9BDCB3907EFF}" name="T08.2022" dataDxfId="175"/>
    <tableColumn id="24" xr3:uid="{A800B151-E3AE-455E-B5C7-10AE8D42CEE7}" name="T09.2022" dataDxfId="174"/>
    <tableColumn id="25" xr3:uid="{43B69C45-D74D-46B6-A7F1-46357CB8A66A}" name="T10.2022" dataDxfId="173"/>
    <tableColumn id="26" xr3:uid="{A2D34038-3DA4-4FD5-832A-2ED40C81548A}" name="T11.2022" dataDxfId="172"/>
    <tableColumn id="27" xr3:uid="{BA6A9C3A-4852-49E5-8A48-4526B79A2434}" name="T12.2022" dataDxfId="171"/>
    <tableColumn id="28" xr3:uid="{56769949-AC36-4986-89A6-1AF808FC2CB7}" name="T1.2023" dataDxfId="170"/>
    <tableColumn id="29" xr3:uid="{D7C266A7-7502-4484-BFCC-796D2CD64F78}" name="T02.2023" dataDxfId="169"/>
    <tableColumn id="30" xr3:uid="{B169790F-4021-4319-81F2-AC2B55A86605}" name="T03.2023" dataDxfId="168"/>
    <tableColumn id="31" xr3:uid="{6B347CB0-ACFA-487D-8796-48FF4A3EE2A9}" name="T04.2023" dataDxfId="167"/>
    <tableColumn id="32" xr3:uid="{3A860BB9-3CDB-4183-A11F-F61112A3FA36}" name="T05.2023" dataDxfId="166"/>
    <tableColumn id="33" xr3:uid="{25590CAD-F271-470E-9F44-04F94B094C97}" name="T06.2023" dataDxfId="165"/>
    <tableColumn id="34" xr3:uid="{EAAB0D89-AA3A-4C76-B850-AB9E44FA4D9E}" name="T07.2023" dataDxfId="164"/>
    <tableColumn id="35" xr3:uid="{44619CCD-0ABA-401B-A189-6515F983D067}" name="T08.2023" dataDxfId="163"/>
    <tableColumn id="36" xr3:uid="{DB0FBEFF-F4C0-4604-A5C5-24F4B20DFF7A}" name="T09.2023" dataDxfId="162"/>
    <tableColumn id="37" xr3:uid="{EEC35722-35C3-4047-8D11-032F694ACB16}" name="T10.2023" dataDxfId="161"/>
    <tableColumn id="38" xr3:uid="{F3A3701A-C448-4DBB-B03F-77D7BEFA1B7C}" name="T11.2023" dataDxfId="160"/>
    <tableColumn id="39" xr3:uid="{74793F73-DC4A-4B58-A917-334678DC4204}" name="T12.2023" dataDxfId="159"/>
    <tableColumn id="40" xr3:uid="{5A522933-A31B-4506-8F00-41A6D5C12808}" name="T01.2024" dataDxfId="158"/>
    <tableColumn id="41" xr3:uid="{60A55E0E-596A-4D63-AE64-3F8CA026D3D9}" name="T02.2024" dataDxfId="157"/>
    <tableColumn id="42" xr3:uid="{C4EEC13A-1465-4AC9-BABF-035D35BA10C2}" name="T03.2024" dataDxfId="156"/>
    <tableColumn id="43" xr3:uid="{9C1CE92F-A713-4670-BD45-BC74CCF5F2D9}" name="T04.2024" dataDxfId="155"/>
    <tableColumn id="44" xr3:uid="{6A6EA312-BB0C-436A-B17B-B58521B4354D}" name="T05.2024" dataDxfId="154"/>
    <tableColumn id="45" xr3:uid="{FF3D37F1-9017-4FC6-9BBB-2DCC9F2D71C9}" name="T06.2024" dataDxfId="153"/>
    <tableColumn id="46" xr3:uid="{FC0B3F41-E140-4001-96D9-E2B27D318035}" name="T07.2024" dataDxfId="152"/>
    <tableColumn id="47" xr3:uid="{C076F55A-FCDA-4F5A-B54A-0320F04A637F}" name="T08.2024" dataDxfId="151"/>
    <tableColumn id="48" xr3:uid="{84655E1F-6377-4F6F-922C-9019B4BA508C}" name="T09.2024" dataDxfId="150"/>
    <tableColumn id="49" xr3:uid="{98B2F638-DBAB-46DD-B604-9894DAF2CEE0}" name="T10.2024" dataDxfId="149"/>
    <tableColumn id="50" xr3:uid="{10D66CD0-D2AE-4E7A-A728-7F5CF1382455}" name="T11.2024" dataDxfId="148"/>
    <tableColumn id="51" xr3:uid="{ECBD364F-4B46-4397-8DE2-7816738BD346}" name="T12.2024" dataDxfId="147"/>
    <tableColumn id="52" xr3:uid="{062D5078-BC76-43D3-AC40-4F1C9BCDE5A2}" name="T01.2025" dataDxfId="146"/>
    <tableColumn id="53" xr3:uid="{F5EAB03F-49C1-4A4E-AE55-8C775DEF702B}" name="T02.2025" dataDxfId="145"/>
    <tableColumn id="54" xr3:uid="{DE44F4B7-83E7-4B33-AC72-F89ECAC387CF}" name="T03.2025" dataDxfId="144"/>
    <tableColumn id="55" xr3:uid="{50CD15D9-9432-4B41-A99E-A589B209DD98}" name="T04.2025" dataDxfId="143"/>
    <tableColumn id="56" xr3:uid="{710091D2-F5DE-4BDE-8F1B-47D12B3CD538}" name="T05.2025" dataDxfId="142"/>
    <tableColumn id="57" xr3:uid="{156267C3-98C3-4720-8343-3F0131D2F08F}" name="T06.2025" dataDxfId="141"/>
    <tableColumn id="58" xr3:uid="{B1C4CF87-F1F1-424B-B3B1-4534B0528C79}" name="T07.2025" dataDxfId="140"/>
    <tableColumn id="59" xr3:uid="{D3F06ABB-A5C1-42E2-AF76-1B533DF634C9}" name="T08.2025" dataDxfId="139"/>
    <tableColumn id="60" xr3:uid="{0AC3445B-D814-4060-AD93-5DC36C93632D}" name="T09.2025" dataDxfId="138"/>
    <tableColumn id="61" xr3:uid="{2AEFBA4E-2BFD-4ACD-8C2B-5E4EBF3D8F3E}" name="T10.2025" dataDxfId="137"/>
    <tableColumn id="62" xr3:uid="{8D068B85-B603-46C9-A2DC-E7B6D933AD83}" name="T11.2025" dataDxfId="136"/>
    <tableColumn id="63" xr3:uid="{ABDEB535-6D39-465A-85DA-F61D29DCB60B}" name="T12.2025" dataDxfId="135"/>
    <tableColumn id="64" xr3:uid="{4E88E4D5-8388-4F0E-B1DD-D736799F79F6}" name="T01.2026" dataDxfId="134"/>
    <tableColumn id="65" xr3:uid="{88220A32-4424-4168-AD8A-E69A7B6D6113}" name="T02.2026" dataDxfId="133"/>
    <tableColumn id="66" xr3:uid="{E41B00C0-9508-4B1E-B38C-D497A2CD2BA0}" name="T03.2026" dataDxfId="132"/>
    <tableColumn id="67" xr3:uid="{53F11F5B-A758-4087-944B-5424483D47DB}" name="T04.2026" dataDxfId="131"/>
    <tableColumn id="68" xr3:uid="{237940AF-6D2E-407B-972C-9F7A1086839D}" name="T05.2026" dataDxfId="89">
      <calculatedColumnFormula>SUM('Dai loc:DLam'!BV4)</calculatedColumnFormula>
    </tableColumn>
    <tableColumn id="69" xr3:uid="{FF81ADF4-C33D-42D7-985A-A9A95C858E42}" name="T06.2026" dataDxfId="88">
      <calculatedColumnFormula>SUM('Dai loc:DLam'!BW4)</calculatedColumnFormula>
    </tableColumn>
    <tableColumn id="70" xr3:uid="{284883DC-0131-4968-A673-56C9970346EE}" name="T07.2026" dataDxfId="87">
      <calculatedColumnFormula>SUM('Dai loc:DLam'!BX4)</calculatedColumnFormula>
    </tableColumn>
    <tableColumn id="71" xr3:uid="{1C184243-6F5C-4711-82BD-09F85028C186}" name="T08.2026" dataDxfId="86">
      <calculatedColumnFormula>SUM('Dai loc:DLam'!BY4)</calculatedColumnFormula>
    </tableColumn>
    <tableColumn id="72" xr3:uid="{33AF2CE7-0236-412A-AA9C-F1FE147D709A}" name="T09.2026" dataDxfId="85">
      <calculatedColumnFormula>SUM('Dai loc:DLam'!BZ4)</calculatedColumnFormula>
    </tableColumn>
    <tableColumn id="73" xr3:uid="{1555A85B-85F9-46BB-A5C3-78630DC3E32C}" name="T10.2026" dataDxfId="84">
      <calculatedColumnFormula>SUM('Dai loc:DLam'!CA4)</calculatedColumnFormula>
    </tableColumn>
    <tableColumn id="74" xr3:uid="{98D211DC-2FF3-41C9-AB94-52843ACF3C42}" name="T11.2026" dataDxfId="83">
      <calculatedColumnFormula>SUM('Dai loc:DLam'!CB4)</calculatedColumnFormula>
    </tableColumn>
    <tableColumn id="75" xr3:uid="{D4A9A814-9287-4B67-8DC9-EFF4E48AC7B2}" name="T12.2026" dataDxfId="82">
      <calculatedColumnFormula>SUM('Dai loc:DLam'!CC4)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EFE622-A7FD-40E0-A178-B5A846715EBA}" name="Data_PL" displayName="Data_PL" ref="A3:CC24" totalsRowShown="0" headerRowDxfId="414" headerRowCellStyle="Comma 3">
  <tableColumns count="81">
    <tableColumn id="1" xr3:uid="{140C27AB-DA07-4D43-A514-FF06CA5C3034}" name="Index PL" dataDxfId="413" dataCellStyle="Normal 2"/>
    <tableColumn id="2" xr3:uid="{D3A064E3-366A-444A-9880-6EBCDA276547}" name="PHẦN II-KẾT QUẢ HOẠT ĐỘNG KINH DOANH" dataDxfId="412" dataCellStyle="Normal 2"/>
    <tableColumn id="3" xr3:uid="{BE833AAD-635C-434E-80B4-51D7F31BDE6E}" name="TenCongTyID"/>
    <tableColumn id="76" xr3:uid="{E70529FA-BE94-48F7-849A-D381090E3578}" name="2021" dataDxfId="118">
      <calculatedColumnFormula>SUM(Data_PL[[#This Row],[T1.2021]:[T12.2021]])</calculatedColumnFormula>
    </tableColumn>
    <tableColumn id="77" xr3:uid="{55649180-AE83-42F9-A079-6AEEF76968BC}" name="2022" dataDxfId="117">
      <calculatedColumnFormula>SUM(Data_PL[[#This Row],[T1.2022]:[T12.2022]])</calculatedColumnFormula>
    </tableColumn>
    <tableColumn id="78" xr3:uid="{EF9746C0-FDEA-47B1-AE07-657762837FDB}" name="2023" dataDxfId="116">
      <calculatedColumnFormula>SUM(Data_PL[[#This Row],[T1.2023]:[T12.2023]])</calculatedColumnFormula>
    </tableColumn>
    <tableColumn id="79" xr3:uid="{5D35CC48-2DA0-41B6-96D0-D0C9E6916D30}" name="2024" dataDxfId="115">
      <calculatedColumnFormula>SUM(Data_PL[[#This Row],[T01.2024]:[T12.2024]])</calculatedColumnFormula>
    </tableColumn>
    <tableColumn id="80" xr3:uid="{FAD4405B-5918-4DBB-A31C-E65E449C6E36}" name="2025" dataDxfId="114">
      <calculatedColumnFormula>SUM(Data_PL[[#This Row],[T01.2025]:[T12.2025]])</calculatedColumnFormula>
    </tableColumn>
    <tableColumn id="81" xr3:uid="{37CB0561-B53D-434B-BC4C-92FF62CB150F}" name="2026" dataDxfId="113">
      <calculatedColumnFormula>SUM(Data_PL[[#This Row],[T01.2026]:[T12.2026]])</calculatedColumnFormula>
    </tableColumn>
    <tableColumn id="4" xr3:uid="{CA850C43-C01C-4E2F-A496-CFDD677E7FE5}" name="T1.2021" dataDxfId="411"/>
    <tableColumn id="5" xr3:uid="{F17E2081-4654-408F-B5A6-E5D6FC121265}" name="T02.2021" dataDxfId="410"/>
    <tableColumn id="6" xr3:uid="{0931E297-85CF-4A9B-A075-ADFF659F7A11}" name="T03.2021" dataDxfId="409"/>
    <tableColumn id="7" xr3:uid="{FF77EE29-004E-42B7-8C2E-122CCD883A3A}" name="T04.2021" dataDxfId="408"/>
    <tableColumn id="8" xr3:uid="{1F21124F-A0F2-4D22-A666-7792B8A407C1}" name="T05.2021" dataDxfId="407"/>
    <tableColumn id="9" xr3:uid="{7E4774C7-18CD-48D7-8D33-E4D7559C9845}" name="T06.2021" dataDxfId="406"/>
    <tableColumn id="10" xr3:uid="{49DBD12C-5E39-454D-BB1C-C6DEE19D264C}" name="T07.2021" dataDxfId="405"/>
    <tableColumn id="11" xr3:uid="{FE63919F-7C10-4E60-B0B4-99EE875ABB04}" name="T08.2021" dataDxfId="404"/>
    <tableColumn id="12" xr3:uid="{267DC064-D147-4076-B595-D3CE33707255}" name="T09.2021" dataDxfId="403"/>
    <tableColumn id="13" xr3:uid="{063720AC-B604-4460-B32E-E1C473E8FC0C}" name="T10.2021" dataDxfId="402"/>
    <tableColumn id="14" xr3:uid="{33874FE7-7AEA-4B74-87EF-3101C1F61A21}" name="T11.2021" dataDxfId="401"/>
    <tableColumn id="15" xr3:uid="{ED54E98F-8AE8-48DC-866C-3D29A4B3CB36}" name="T12.2021" dataDxfId="400"/>
    <tableColumn id="16" xr3:uid="{2C0DD9D0-03B4-40ED-95B6-7B276753DA21}" name="T1.2022" dataDxfId="399"/>
    <tableColumn id="17" xr3:uid="{31D13514-0D80-411C-8D86-A597C466D8B9}" name="T02.2022" dataDxfId="398"/>
    <tableColumn id="18" xr3:uid="{FEBCA5AA-51CC-4E56-A8D0-24ED1D5D4ECA}" name="T03.2022" dataDxfId="397"/>
    <tableColumn id="19" xr3:uid="{97AED4D3-29B9-4277-8F97-2EE504060389}" name="T04.2022" dataDxfId="396"/>
    <tableColumn id="20" xr3:uid="{9D39A74B-5ED2-4F82-97A1-684A87E14AC1}" name="T05.2022" dataDxfId="395"/>
    <tableColumn id="21" xr3:uid="{69C87390-62AC-4BF1-A91F-37E96C267D68}" name="T06.2022" dataDxfId="394"/>
    <tableColumn id="22" xr3:uid="{45EABDA3-EA6C-4EAF-818B-948F8334ED13}" name="T07.2022" dataDxfId="393"/>
    <tableColumn id="23" xr3:uid="{2EF47145-AC06-4B7F-8E1C-BC0D50EDD007}" name="T08.2022" dataDxfId="392"/>
    <tableColumn id="24" xr3:uid="{20F18264-29D8-4424-BC96-9BDD18EF59C9}" name="T09.2022" dataDxfId="391"/>
    <tableColumn id="25" xr3:uid="{F0273C8A-533A-4F34-969C-69460EDAD137}" name="T10.2022" dataDxfId="390"/>
    <tableColumn id="26" xr3:uid="{88791801-EEF3-43AE-9D37-407F290DEF84}" name="T11.2022" dataDxfId="389"/>
    <tableColumn id="27" xr3:uid="{E764C691-6ED0-4004-99AA-6013486C8F70}" name="T12.2022" dataDxfId="388"/>
    <tableColumn id="28" xr3:uid="{88601D5F-8DF4-45DC-A5E7-680B3F9BD80E}" name="T1.2023" dataDxfId="387"/>
    <tableColumn id="29" xr3:uid="{2476753C-3354-419C-A77C-5F6FE8FCDC36}" name="T02.2023" dataDxfId="386"/>
    <tableColumn id="30" xr3:uid="{440A180B-8F9C-40BB-A686-C82057DBB7E3}" name="T03.2023" dataDxfId="385"/>
    <tableColumn id="31" xr3:uid="{3F901FC8-34E8-4D25-88D7-B10ACDF6C81A}" name="T04.2023" dataDxfId="384"/>
    <tableColumn id="32" xr3:uid="{298713AA-D3DA-4CFC-AB27-A0FFCAAABEE6}" name="T05.2023" dataDxfId="383"/>
    <tableColumn id="33" xr3:uid="{6CFD36F6-2F8F-4E42-A7EF-2FE4EDED1485}" name="T06.2023" dataDxfId="382"/>
    <tableColumn id="34" xr3:uid="{2BBA1F46-8202-430B-9519-A03AD4685267}" name="T07.2023" dataDxfId="381"/>
    <tableColumn id="35" xr3:uid="{E228BE79-D907-4563-91EE-8D3890015EA9}" name="T08.2023" dataDxfId="380"/>
    <tableColumn id="36" xr3:uid="{F7E8F578-89FE-408F-AF6A-A381E7E153BB}" name="T09.2023" dataDxfId="379"/>
    <tableColumn id="37" xr3:uid="{5C6B9E98-D7CA-44A0-BB1E-EF253FC6ED81}" name="T10.2023" dataDxfId="378"/>
    <tableColumn id="38" xr3:uid="{43B33DD7-5458-413F-A8CE-E40427AD1877}" name="T11.2023" dataDxfId="377"/>
    <tableColumn id="39" xr3:uid="{11E5EB13-BF8F-4AC9-AC43-0A5FEF9E9CD5}" name="T12.2023" dataDxfId="376"/>
    <tableColumn id="40" xr3:uid="{C4D54656-38AB-4988-A36E-B331117E5AF2}" name="T01.2024" dataDxfId="375"/>
    <tableColumn id="41" xr3:uid="{DE4B1BFC-3A7A-44FB-B4FF-EC6235A74DFF}" name="T02.2024" dataDxfId="374"/>
    <tableColumn id="42" xr3:uid="{5F2A7928-D3B2-431F-951E-64C7FD449F25}" name="T03.2024" dataDxfId="373"/>
    <tableColumn id="43" xr3:uid="{5A9C72F4-2F87-49C7-B09D-7C8A38862779}" name="T04.2024" dataDxfId="372"/>
    <tableColumn id="44" xr3:uid="{20D09DB2-5C7B-40F4-BA7D-5A3291E93DD5}" name="T05.2024" dataDxfId="371"/>
    <tableColumn id="45" xr3:uid="{41F130D0-4DA9-44CC-B16D-46155C11AE65}" name="T06.2024" dataDxfId="370"/>
    <tableColumn id="46" xr3:uid="{81E535E7-F749-42F9-BE6A-0B87CE5DF84A}" name="T07.2024" dataDxfId="369"/>
    <tableColumn id="47" xr3:uid="{50818A64-2E67-41D1-BD54-2BE330D13A0A}" name="T08.2024" dataDxfId="368"/>
    <tableColumn id="48" xr3:uid="{5626BA8F-4596-4E04-A185-756307BD2EA6}" name="T09.2024" dataDxfId="367"/>
    <tableColumn id="49" xr3:uid="{E10245EE-E5EF-471F-9816-A9A5A1901EB6}" name="T10.2024" dataDxfId="366"/>
    <tableColumn id="50" xr3:uid="{EEE6BEBF-8905-426F-B95F-9643B9E21E00}" name="T11.2024" dataDxfId="365"/>
    <tableColumn id="51" xr3:uid="{5FC52FCB-1E14-483F-BE67-4C79CAF73B5D}" name="T12.2024" dataDxfId="364"/>
    <tableColumn id="52" xr3:uid="{9E47EEE7-0294-4365-8E2E-334071969956}" name="T01.2025" dataDxfId="363"/>
    <tableColumn id="53" xr3:uid="{CB05C531-A575-4431-9D6C-D519938785D4}" name="T02.2025" dataDxfId="362"/>
    <tableColumn id="54" xr3:uid="{3013EA00-326C-48D4-A7B4-A5060957F6A9}" name="T03.2025" dataDxfId="361"/>
    <tableColumn id="55" xr3:uid="{E75B6642-039B-4DF3-A771-C46611B7DBC5}" name="T04.2025" dataDxfId="360"/>
    <tableColumn id="56" xr3:uid="{77384B17-E071-4969-9D9C-2098EE119662}" name="T05.2025" dataDxfId="359"/>
    <tableColumn id="57" xr3:uid="{B0DE232D-14D9-4449-A7E4-C4D05799A2F1}" name="T06.2025" dataDxfId="358"/>
    <tableColumn id="58" xr3:uid="{409C9DEA-456A-47B6-869B-7403A4444C8B}" name="T07.2025" dataDxfId="357"/>
    <tableColumn id="59" xr3:uid="{D0CEEA27-B2BD-4BC7-BE97-77B6145A3B40}" name="T08.2025" dataDxfId="356"/>
    <tableColumn id="60" xr3:uid="{1C93D485-B91D-4BD6-86AA-B788B54A3720}" name="T09.2025" dataDxfId="355"/>
    <tableColumn id="61" xr3:uid="{D0AA2E3D-18E0-40D9-9F7D-7F065A68D590}" name="T10.2025" dataDxfId="354"/>
    <tableColumn id="62" xr3:uid="{0C623E39-6CC4-4A24-8306-E3D8ACDB6971}" name="T11.2025" dataDxfId="353"/>
    <tableColumn id="63" xr3:uid="{A390CC5C-D539-4B46-9414-325639CE47D8}" name="T12.2025" dataDxfId="352"/>
    <tableColumn id="64" xr3:uid="{5176DCCF-E2DE-4A38-893D-A525372B6100}" name="T01.2026" dataDxfId="351"/>
    <tableColumn id="65" xr3:uid="{95844B3B-836D-4FA7-A0E1-1F5049211EA1}" name="T02.2026" dataDxfId="350"/>
    <tableColumn id="66" xr3:uid="{0A1DB28E-D616-4809-B6A3-B20151E8D208}" name="T03.2026" dataDxfId="349"/>
    <tableColumn id="67" xr3:uid="{6F39B0BB-817E-45EF-A54F-F27885A37F77}" name="T04.2026" dataDxfId="348"/>
    <tableColumn id="68" xr3:uid="{FE5E1445-0E59-49D0-BBB9-8BA022A181DE}" name="T05.2026" dataDxfId="347"/>
    <tableColumn id="69" xr3:uid="{80D100CF-0921-45C2-819A-9B368B037B9B}" name="T06.2026" dataDxfId="346"/>
    <tableColumn id="70" xr3:uid="{32CB5DBB-AFA0-482F-BAF5-1622A3E32709}" name="T07.2026" dataDxfId="345"/>
    <tableColumn id="71" xr3:uid="{01C58B18-77EA-418F-ABEB-EE62EA46CC1A}" name="T08.2026" dataDxfId="344"/>
    <tableColumn id="72" xr3:uid="{C320243E-3792-4AAB-A01B-0D18ACA50084}" name="T09.2026" dataDxfId="343"/>
    <tableColumn id="73" xr3:uid="{C63289CE-FAF3-4105-9588-7914C02A1DCC}" name="T10.2026" dataDxfId="342"/>
    <tableColumn id="74" xr3:uid="{B0357FD9-2663-4A1C-82BD-A2998DE6F35A}" name="T11.2026" dataDxfId="341"/>
    <tableColumn id="75" xr3:uid="{03EC3163-C9CE-48A6-96F3-7EE10DB93C60}" name="T12.2026" dataDxfId="34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5EDE80-1F5B-44C1-9FFE-01778C362C0D}" name="Data_PL5" displayName="Data_PL5" ref="A3:CC24" totalsRowShown="0" headerRowDxfId="339" dataDxfId="338" headerRowCellStyle="Comma 3">
  <tableColumns count="81">
    <tableColumn id="1" xr3:uid="{A76896E3-4BEE-4707-89B5-CFEB29F151FB}" name="Index PL" dataDxfId="337" dataCellStyle="Normal 2"/>
    <tableColumn id="2" xr3:uid="{3DE66BF0-8F11-4ED8-9107-D5A7C4E68E96}" name="PHẦN II-KẾT QUẢ HOẠT ĐỘNG KINH DOANH" dataDxfId="336" dataCellStyle="Normal 2"/>
    <tableColumn id="3" xr3:uid="{01E0F252-77E3-47A9-91BF-A570A644D98C}" name="TenCongTyID" dataDxfId="335"/>
    <tableColumn id="76" xr3:uid="{60B471C3-FCD0-45BC-9CDA-71A336669F36}" name="2021" dataDxfId="112">
      <calculatedColumnFormula>SUM(Data_PL5[[#This Row],[T1.2021]:[T12.2021]])</calculatedColumnFormula>
    </tableColumn>
    <tableColumn id="77" xr3:uid="{84F6F7E3-2A79-4826-8BE0-0824355ED750}" name="2022" dataDxfId="111">
      <calculatedColumnFormula>SUM(Data_PL5[[#This Row],[T1.2022]:[T12.2022]])</calculatedColumnFormula>
    </tableColumn>
    <tableColumn id="78" xr3:uid="{2BE29B67-37B9-496D-B9E3-977446CA2D25}" name="2023" dataDxfId="110">
      <calculatedColumnFormula>SUM(Data_PL5[[#This Row],[T1.2023]:[T12.2023]])</calculatedColumnFormula>
    </tableColumn>
    <tableColumn id="79" xr3:uid="{8EC26878-D2CA-4CBA-8C30-7DBEA46DD132}" name="2024" dataDxfId="109">
      <calculatedColumnFormula>SUM(Data_PL5[[#This Row],[T01.2024]:[T12.2024]])</calculatedColumnFormula>
    </tableColumn>
    <tableColumn id="80" xr3:uid="{202B4C08-C8D7-4E34-8F9D-DDD25D24826D}" name="2025" dataDxfId="108">
      <calculatedColumnFormula>SUM(Data_PL5[[#This Row],[T01.2025]:[T12.2025]])</calculatedColumnFormula>
    </tableColumn>
    <tableColumn id="81" xr3:uid="{AB6E8FEC-382A-4CE0-83DD-B0B297D7899F}" name="2026" dataDxfId="107">
      <calculatedColumnFormula>SUM(Data_PL5[[#This Row],[T01.2026]:[T12.2026]])</calculatedColumnFormula>
    </tableColumn>
    <tableColumn id="4" xr3:uid="{9358A18E-B00B-4671-A543-E06C424CC82E}" name="T1.2021" dataDxfId="334"/>
    <tableColumn id="5" xr3:uid="{4A315C28-2434-4BAD-B0CD-5249A7185D69}" name="T02.2021" dataDxfId="333"/>
    <tableColumn id="6" xr3:uid="{5F484136-F446-48BD-8C51-E8460EEBF539}" name="T03.2021" dataDxfId="332"/>
    <tableColumn id="7" xr3:uid="{E779138D-BB78-4A13-9101-036718DE20DB}" name="T04.2021" dataDxfId="331"/>
    <tableColumn id="8" xr3:uid="{95C9EEB5-3331-4853-A74D-C76C230690FB}" name="T05.2021" dataDxfId="330"/>
    <tableColumn id="9" xr3:uid="{45D87E7F-C63F-4C64-B1F5-81B61DC6B2F9}" name="T06.2021" dataDxfId="329"/>
    <tableColumn id="10" xr3:uid="{F4351E44-75BC-4430-BDA1-BA21BE3FA2A0}" name="T07.2021" dataDxfId="328"/>
    <tableColumn id="11" xr3:uid="{959392D0-F22C-4871-B197-B735C335A3DD}" name="T08.2021" dataDxfId="327"/>
    <tableColumn id="12" xr3:uid="{0942B715-4830-4635-AB12-0FD0D1D562FD}" name="T09.2021" dataDxfId="326"/>
    <tableColumn id="13" xr3:uid="{F5758D5F-C99D-4428-9647-543CA72C8686}" name="T10.2021" dataDxfId="325"/>
    <tableColumn id="14" xr3:uid="{5FEA8DB3-72A7-4443-830C-55BB62D9B3D0}" name="T11.2021" dataDxfId="324"/>
    <tableColumn id="15" xr3:uid="{062A0FDD-574B-409D-9176-96C253526481}" name="T12.2021" dataDxfId="323"/>
    <tableColumn id="16" xr3:uid="{899FB725-00E1-4BA7-B9CF-8CF0284692B6}" name="T1.2022" dataDxfId="322"/>
    <tableColumn id="17" xr3:uid="{2200DAD8-C97E-43DD-B38F-267117BDCF46}" name="T02.2022" dataDxfId="321"/>
    <tableColumn id="18" xr3:uid="{6ADF77DF-9AFF-475A-8420-8E3A7E87EAAA}" name="T03.2022" dataDxfId="320"/>
    <tableColumn id="19" xr3:uid="{AD579CF7-C106-4012-8184-25069E9C8F3B}" name="T04.2022" dataDxfId="319"/>
    <tableColumn id="20" xr3:uid="{804AA37C-404E-47E4-9C81-8EEBFF52321B}" name="T05.2022" dataDxfId="318"/>
    <tableColumn id="21" xr3:uid="{D907B067-090A-4455-9F48-5DD397036937}" name="T06.2022" dataDxfId="317"/>
    <tableColumn id="22" xr3:uid="{BF9490CE-0BEC-4AE5-B5B5-CF572489AC1B}" name="T07.2022" dataDxfId="316"/>
    <tableColumn id="23" xr3:uid="{89BCC81F-926E-4CDB-9A7A-7B60845A89A3}" name="T08.2022" dataDxfId="315"/>
    <tableColumn id="24" xr3:uid="{91285C21-62B8-4DFA-934A-C555C319CFEA}" name="T09.2022" dataDxfId="314"/>
    <tableColumn id="25" xr3:uid="{9868F559-7A8F-481A-9E17-2994F38DEB77}" name="T10.2022" dataDxfId="313"/>
    <tableColumn id="26" xr3:uid="{28BF89A9-4A22-4C38-ADB2-5EE953708F59}" name="T11.2022" dataDxfId="312"/>
    <tableColumn id="27" xr3:uid="{3CCC3850-FB21-40E4-8C31-2D3CC2AACA39}" name="T12.2022" dataDxfId="311"/>
    <tableColumn id="28" xr3:uid="{A13D8159-A807-428E-8723-79AC3D8B7EDB}" name="T1.2023" dataDxfId="310"/>
    <tableColumn id="29" xr3:uid="{01032A21-8C1E-41F1-A408-AC525F364506}" name="T02.2023" dataDxfId="309"/>
    <tableColumn id="30" xr3:uid="{648E2DE5-D057-4F58-9A6A-76400EA85405}" name="T03.2023" dataDxfId="308"/>
    <tableColumn id="31" xr3:uid="{9FD0A6FD-2577-44E4-89CC-B1E59CC821B7}" name="T04.2023" dataDxfId="307"/>
    <tableColumn id="32" xr3:uid="{56DDDB46-423A-42A9-81E4-176A371B8CBF}" name="T05.2023" dataDxfId="306"/>
    <tableColumn id="33" xr3:uid="{6549E8E4-BB51-4058-9CD5-FCBC37F92C5A}" name="T06.2023" dataDxfId="305"/>
    <tableColumn id="34" xr3:uid="{9798860C-4316-4244-A4E0-2E9FE5307ECB}" name="T07.2023" dataDxfId="304"/>
    <tableColumn id="35" xr3:uid="{5473D98F-3327-4A1C-918B-023C92CA03BA}" name="T08.2023" dataDxfId="303"/>
    <tableColumn id="36" xr3:uid="{3DEEF54F-6B09-476F-9F28-6CB6F2066D43}" name="T09.2023" dataDxfId="302"/>
    <tableColumn id="37" xr3:uid="{F9EB8F68-B9F4-4C14-ABC7-B1378B740081}" name="T10.2023" dataDxfId="301"/>
    <tableColumn id="38" xr3:uid="{C6404852-8C65-471C-B3AA-9CF1A8B2FCC0}" name="T11.2023" dataDxfId="300"/>
    <tableColumn id="39" xr3:uid="{0DD1835A-C5FE-4703-B327-E3B07637C21E}" name="T12.2023" dataDxfId="299"/>
    <tableColumn id="40" xr3:uid="{205435D1-B382-4141-8169-20ABF5E7DA79}" name="T01.2024" dataDxfId="298"/>
    <tableColumn id="41" xr3:uid="{FAF89579-FB89-4212-ACD4-BECF4858051A}" name="T02.2024" dataDxfId="297"/>
    <tableColumn id="42" xr3:uid="{7B428395-533F-47E6-B9B7-18CF15935333}" name="T03.2024" dataDxfId="296"/>
    <tableColumn id="43" xr3:uid="{F11DFCD0-1D71-4593-A15F-A2BB357966B4}" name="T04.2024" dataDxfId="295"/>
    <tableColumn id="44" xr3:uid="{DEB0F1D3-2263-4A03-8BB3-FDC60B73AF8A}" name="T05.2024" dataDxfId="294"/>
    <tableColumn id="45" xr3:uid="{4E5C9791-0031-4071-8113-1E3C8E93B2A3}" name="T06.2024" dataDxfId="293"/>
    <tableColumn id="46" xr3:uid="{9F48DABE-6987-41A2-9AC9-0B92448DBBBB}" name="T07.2024" dataDxfId="292"/>
    <tableColumn id="47" xr3:uid="{067F643A-DFF1-41B9-81DA-2678DEE2DFFF}" name="T08.2024" dataDxfId="291"/>
    <tableColumn id="48" xr3:uid="{19EFFBA7-C998-4D57-9296-C4345F692ABA}" name="T09.2024" dataDxfId="290"/>
    <tableColumn id="49" xr3:uid="{16C2B119-A8F1-4D41-AC4F-9F2FBB89C6D8}" name="T10.2024" dataDxfId="289"/>
    <tableColumn id="50" xr3:uid="{CD9E6B5D-4D29-4F99-B5B8-BB7EE3370356}" name="T11.2024" dataDxfId="288"/>
    <tableColumn id="51" xr3:uid="{840E783C-5EBD-46EC-BF37-DD37442F7864}" name="T12.2024" dataDxfId="287"/>
    <tableColumn id="52" xr3:uid="{6B81585F-858D-478C-8521-D071042B438A}" name="T01.2025" dataDxfId="286"/>
    <tableColumn id="53" xr3:uid="{4842A57C-D096-4812-8904-D934B77AFCBD}" name="T02.2025" dataDxfId="285"/>
    <tableColumn id="54" xr3:uid="{71F35288-4138-44D3-9E87-C78470785AF8}" name="T03.2025" dataDxfId="284"/>
    <tableColumn id="55" xr3:uid="{2135E153-FBA2-4774-92F7-A5766DC72731}" name="T04.2025" dataDxfId="283"/>
    <tableColumn id="56" xr3:uid="{AE9E7065-9BAC-4CC8-9492-A443877949CC}" name="T05.2025" dataDxfId="282"/>
    <tableColumn id="57" xr3:uid="{3EBED8CD-B7DF-4FF5-90FC-C58F27F23C4D}" name="T06.2025" dataDxfId="281"/>
    <tableColumn id="58" xr3:uid="{2250EA20-77C4-495B-A3A3-F61D0519E94A}" name="T07.2025" dataDxfId="280"/>
    <tableColumn id="59" xr3:uid="{95BB5CD1-6E77-4512-9E31-7BC93180D915}" name="T08.2025" dataDxfId="279"/>
    <tableColumn id="60" xr3:uid="{1659AB7C-51BA-4064-B98E-18DE9CA3EDA7}" name="T09.2025" dataDxfId="278"/>
    <tableColumn id="61" xr3:uid="{1FFE8B30-1A33-4697-8CD4-DDE5A5CA8330}" name="T10.2025" dataDxfId="277"/>
    <tableColumn id="62" xr3:uid="{729F1037-170C-46F1-8F7F-2BBF38B304F2}" name="T11.2025" dataDxfId="276"/>
    <tableColumn id="63" xr3:uid="{0EFD22D2-3C15-437B-BFEA-D2CBB275831F}" name="T12.2025" dataDxfId="275"/>
    <tableColumn id="64" xr3:uid="{9F496020-FCD9-4CDA-9ACC-9540ABD85273}" name="T01.2026" dataDxfId="274"/>
    <tableColumn id="65" xr3:uid="{018AD624-B1B7-47BB-AE6D-8807510B0494}" name="T02.2026" dataDxfId="273"/>
    <tableColumn id="66" xr3:uid="{612FDBD4-7C7A-4C2D-B1EF-77FA6AAFC9FA}" name="T03.2026" dataDxfId="272"/>
    <tableColumn id="67" xr3:uid="{D603BA20-48B8-4770-B09A-4F482C82A335}" name="T04.2026"/>
    <tableColumn id="68" xr3:uid="{26072CAD-4C0A-459B-B310-C7BF740D2EE3}" name="T05.2026" dataDxfId="271"/>
    <tableColumn id="69" xr3:uid="{E830ADF6-0C77-4C7D-A48C-42696E1DAD4D}" name="T06.2026" dataDxfId="270"/>
    <tableColumn id="70" xr3:uid="{B6604AF7-E6F9-4CEF-8B4E-137253E45AE7}" name="T07.2026" dataDxfId="269"/>
    <tableColumn id="71" xr3:uid="{6DDF9650-1BEA-4D21-BA1A-9AEC72EFB865}" name="T08.2026" dataDxfId="268"/>
    <tableColumn id="72" xr3:uid="{C986246D-B2AF-4DF8-BCA7-A211DF42A4FF}" name="T09.2026" dataDxfId="267"/>
    <tableColumn id="73" xr3:uid="{1D789049-6442-4529-B377-45476D7293E0}" name="T10.2026" dataDxfId="266"/>
    <tableColumn id="74" xr3:uid="{D76A76B6-51E7-437B-80CF-1E2FB7672165}" name="T11.2026" dataDxfId="265"/>
    <tableColumn id="75" xr3:uid="{A0745315-F52D-42E8-BCE3-58B2BC2FA6A2}" name="T12.2026" dataDxfId="26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2C8170-B188-4F65-BC8F-257A4797E5CE}" name="Data_PL6" displayName="Data_PL6" ref="A3:CC24" totalsRowShown="0" headerRowDxfId="263" dataDxfId="262" headerRowCellStyle="Comma 3">
  <tableColumns count="81">
    <tableColumn id="1" xr3:uid="{D7EEBCC2-D3C3-45D9-BB5B-E37E6BA82DD5}" name="Index PL" dataDxfId="261" dataCellStyle="Normal 2"/>
    <tableColumn id="2" xr3:uid="{DAB0413A-7B8A-4CC6-80BF-314D1CD44752}" name="PHẦN II-KẾT QUẢ HOẠT ĐỘNG KINH DOANH" dataDxfId="260" dataCellStyle="Normal 2"/>
    <tableColumn id="3" xr3:uid="{F539DB8B-E0FD-4F3F-B929-C57719CA2570}" name="TenCongTyID" dataDxfId="259"/>
    <tableColumn id="76" xr3:uid="{1F20B277-0B0E-4061-9EA1-99F955129695}" name="2021" dataDxfId="106">
      <calculatedColumnFormula>SUM(Data_PL6[[#This Row],[T1.2021]:[T12.2021]])</calculatedColumnFormula>
    </tableColumn>
    <tableColumn id="77" xr3:uid="{FD62AF8E-C6D5-4444-ACCB-04362F422274}" name="2022" dataDxfId="105">
      <calculatedColumnFormula>SUM(Data_PL6[[#This Row],[T1.2022]:[T12.2022]])</calculatedColumnFormula>
    </tableColumn>
    <tableColumn id="78" xr3:uid="{ECA76508-8D52-4D24-9C31-0F99E1A6B651}" name="2023" dataDxfId="104">
      <calculatedColumnFormula>SUM(Data_PL6[[#This Row],[T1.2023]:[T12.2023]])</calculatedColumnFormula>
    </tableColumn>
    <tableColumn id="79" xr3:uid="{F6DFC9AD-3ACB-4DE5-BDBE-3445D88AF3F8}" name="2024" dataDxfId="103">
      <calculatedColumnFormula>SUM(Data_PL6[[#This Row],[T01.2024]:[T12.2024]])</calculatedColumnFormula>
    </tableColumn>
    <tableColumn id="80" xr3:uid="{B5D5AB40-EFCB-4A35-87CD-F24EA9758E35}" name="2025" dataDxfId="102">
      <calculatedColumnFormula>SUM(Data_PL6[[#This Row],[T01.2025]:[T12.2025]])</calculatedColumnFormula>
    </tableColumn>
    <tableColumn id="81" xr3:uid="{DE8CAE88-47CC-4C3B-A56A-6069EE832B6A}" name="2026" dataDxfId="101">
      <calculatedColumnFormula>SUM(Data_PL6[[#This Row],[T01.2026]:[T12.2026]])</calculatedColumnFormula>
    </tableColumn>
    <tableColumn id="4" xr3:uid="{5A37CAA3-4213-4335-B3E1-EBFAA666FD71}" name="T1.2021" dataDxfId="258"/>
    <tableColumn id="5" xr3:uid="{69ACD482-919F-442C-8230-F989EE395D49}" name="T02.2021" dataDxfId="257"/>
    <tableColumn id="6" xr3:uid="{D066EC66-FD34-448A-9CE9-543EDC5A4F34}" name="T03.2021" dataDxfId="256"/>
    <tableColumn id="7" xr3:uid="{6E794510-EA87-4219-B691-281D6E9ECE4A}" name="T04.2021" dataDxfId="255"/>
    <tableColumn id="8" xr3:uid="{67B87CD1-57C8-4D19-AC28-EE17B908175D}" name="T05.2021" dataDxfId="254"/>
    <tableColumn id="9" xr3:uid="{C0AAD5FF-7F54-4B14-9D19-D400F55BE522}" name="T06.2021" dataDxfId="253"/>
    <tableColumn id="10" xr3:uid="{02487CB2-3226-4C56-8599-8ACB6E0AF875}" name="T07.2021" dataDxfId="252"/>
    <tableColumn id="11" xr3:uid="{D7AB2797-EAA0-40FC-AC93-3BF89A796C50}" name="T08.2021" dataDxfId="251"/>
    <tableColumn id="12" xr3:uid="{8D27312C-7BC8-47D0-867C-FBBF2852AFCB}" name="T09.2021" dataDxfId="250"/>
    <tableColumn id="13" xr3:uid="{284A700E-C90B-43D9-A88C-6DEFAA20BBB5}" name="T10.2021" dataDxfId="249"/>
    <tableColumn id="14" xr3:uid="{64785D5B-41FC-448C-B35B-326509C19311}" name="T11.2021" dataDxfId="248"/>
    <tableColumn id="15" xr3:uid="{EE3188D5-B765-4D22-969C-5EBAA1641EDD}" name="T12.2021" dataDxfId="247"/>
    <tableColumn id="16" xr3:uid="{245A441F-F06B-47BB-A7A7-C4CCC8A8151A}" name="T1.2022" dataDxfId="246"/>
    <tableColumn id="17" xr3:uid="{CDB56059-E538-4408-A7B3-1316151D43EC}" name="T02.2022" dataDxfId="245"/>
    <tableColumn id="18" xr3:uid="{AF75EFA8-B6A8-4DED-8511-710F216D280F}" name="T03.2022" dataDxfId="244"/>
    <tableColumn id="19" xr3:uid="{35D78899-E169-4E10-A058-B4E6ED0AA748}" name="T04.2022" dataDxfId="243"/>
    <tableColumn id="20" xr3:uid="{11711E0C-D7AE-407D-8DDC-85BF6E0DF9BF}" name="T05.2022" dataDxfId="242"/>
    <tableColumn id="21" xr3:uid="{B1454307-84DE-4794-A137-FD4508F06231}" name="T06.2022" dataDxfId="241"/>
    <tableColumn id="22" xr3:uid="{30696974-86F5-4DF9-942B-99D64DFE188A}" name="T07.2022" dataDxfId="240"/>
    <tableColumn id="23" xr3:uid="{058204DE-1817-4692-8117-0B4053E18B74}" name="T08.2022" dataDxfId="239"/>
    <tableColumn id="24" xr3:uid="{741184AC-1613-4C69-80C4-7D43F846026E}" name="T09.2022" dataDxfId="238"/>
    <tableColumn id="25" xr3:uid="{5F77DBC7-FCF2-4B73-9E04-E29F35A7ED45}" name="T10.2022" dataDxfId="237"/>
    <tableColumn id="26" xr3:uid="{1E4223D8-B730-4E43-8049-2D54FE823631}" name="T11.2022" dataDxfId="236"/>
    <tableColumn id="27" xr3:uid="{D36E6F0A-22C4-43EA-A0A6-361ABFABD3FA}" name="T12.2022" dataDxfId="235"/>
    <tableColumn id="28" xr3:uid="{DC05BA6D-DCC8-4829-AB0E-31B91B041DD7}" name="T1.2023" dataDxfId="234"/>
    <tableColumn id="29" xr3:uid="{7DE44CF5-587E-4F85-A96F-669E606FF28C}" name="T02.2023" dataDxfId="233"/>
    <tableColumn id="30" xr3:uid="{DE200859-BBC6-4E27-93FA-19BD1DE57A4E}" name="T03.2023" dataDxfId="232"/>
    <tableColumn id="31" xr3:uid="{EBB6B13A-F691-41C3-9D6D-933AA6A5BAA8}" name="T04.2023" dataDxfId="231"/>
    <tableColumn id="32" xr3:uid="{04258A5E-EC43-4BC0-96B2-DC4C75FAA94E}" name="T05.2023" dataDxfId="230"/>
    <tableColumn id="33" xr3:uid="{B6BB8B12-E3F6-4031-AB2E-90C5863B9FD5}" name="T06.2023" dataDxfId="229"/>
    <tableColumn id="34" xr3:uid="{A2154DFE-D6D9-46B9-9A66-C8DD149B10CB}" name="T07.2023" dataDxfId="228"/>
    <tableColumn id="35" xr3:uid="{A4B1BD70-8C74-40C9-A21F-6B7ED74710A5}" name="T08.2023" dataDxfId="227"/>
    <tableColumn id="36" xr3:uid="{B7A1D148-7503-4396-A114-2D29FA90D461}" name="T09.2023" dataDxfId="226"/>
    <tableColumn id="37" xr3:uid="{7BFAC8E6-218F-48CC-BC84-49F962DBF206}" name="T10.2023" dataDxfId="225"/>
    <tableColumn id="38" xr3:uid="{55C381E7-9B3E-459A-82C2-315CD37AB39C}" name="T11.2023" dataDxfId="224"/>
    <tableColumn id="39" xr3:uid="{EF3DB112-3EF3-46C9-866E-F5AFB66A0AF4}" name="T12.2023" dataDxfId="223"/>
    <tableColumn id="40" xr3:uid="{9A1F5399-1B2F-4602-93D8-1E8DFBA50682}" name="T01.2024" dataDxfId="222"/>
    <tableColumn id="41" xr3:uid="{F7F0A570-7CA9-4029-858E-C34DEB750C85}" name="T02.2024" dataDxfId="221"/>
    <tableColumn id="42" xr3:uid="{247B48BF-C762-4148-AB36-91206D620450}" name="T03.2024" dataDxfId="220"/>
    <tableColumn id="43" xr3:uid="{9FDE3E28-63F5-4A7F-A0FD-E87EE5DF83FF}" name="T04.2024" dataDxfId="219"/>
    <tableColumn id="44" xr3:uid="{94781ECC-F114-4250-B28D-0A4180C9B459}" name="T05.2024" dataDxfId="218"/>
    <tableColumn id="45" xr3:uid="{D2A0566F-3931-42CF-A42A-CAAB0786CE06}" name="T06.2024" dataDxfId="217"/>
    <tableColumn id="46" xr3:uid="{E5C857A7-984E-4F35-B5AE-9C1FA47547FB}" name="T07.2024" dataDxfId="216"/>
    <tableColumn id="47" xr3:uid="{0A8B20EE-3E55-49CC-B51D-7560E789BF2E}" name="T08.2024" dataDxfId="215"/>
    <tableColumn id="48" xr3:uid="{99819206-D5B2-4A2C-AA8D-3E7CA20D9E25}" name="T09.2024" dataDxfId="214"/>
    <tableColumn id="49" xr3:uid="{77ED7D9B-8EF1-4068-A76E-956884780FB9}" name="T10.2024" dataDxfId="213"/>
    <tableColumn id="50" xr3:uid="{E45D2954-5A31-431D-BB2F-F4E39BAB0668}" name="T11.2024" dataDxfId="212"/>
    <tableColumn id="51" xr3:uid="{2BF384F4-1F76-446F-8015-CAC477787CD1}" name="T12.2024" dataDxfId="211"/>
    <tableColumn id="52" xr3:uid="{E37C67FA-371D-431C-813C-FA2B7317873A}" name="T01.2025" dataDxfId="210"/>
    <tableColumn id="53" xr3:uid="{4DF70A23-FB3C-4C91-B0BB-33170FCFA8E3}" name="T02.2025" dataDxfId="209"/>
    <tableColumn id="54" xr3:uid="{301F6A9C-CC84-4FAD-9009-3F89C16E819A}" name="T03.2025" dataDxfId="208"/>
    <tableColumn id="55" xr3:uid="{5651D468-DFAB-45BF-9BC2-FCA014453F60}" name="T04.2025" dataDxfId="207"/>
    <tableColumn id="56" xr3:uid="{5D26D294-C3AD-4BD8-9BB3-02671115B156}" name="T05.2025" dataDxfId="206"/>
    <tableColumn id="57" xr3:uid="{718A5445-69CB-48A8-83F3-0AC760BB5142}" name="T06.2025" dataDxfId="205"/>
    <tableColumn id="58" xr3:uid="{2AC6BCF7-BB68-42DF-ACBD-DCC0C90E75C9}" name="T07.2025" dataDxfId="204"/>
    <tableColumn id="59" xr3:uid="{C3EDE26A-D4A1-469C-8792-FCFE71FD0446}" name="T08.2025" dataDxfId="203"/>
    <tableColumn id="60" xr3:uid="{47CC8433-F100-454C-9056-2348BC24514D}" name="T09.2025" dataDxfId="202"/>
    <tableColumn id="61" xr3:uid="{1F08D150-EF04-499D-A21B-E92A1947C549}" name="T10.2025" dataDxfId="201"/>
    <tableColumn id="62" xr3:uid="{52C43987-3CD8-437A-9E27-20198DC1B806}" name="T11.2025" dataDxfId="200"/>
    <tableColumn id="63" xr3:uid="{19074014-07AB-4B56-9066-6A081527B354}" name="T12.2025" dataDxfId="199"/>
    <tableColumn id="64" xr3:uid="{15B0283D-7ECB-4A2D-8EF1-A9F698F31A43}" name="T01.2026" dataDxfId="198"/>
    <tableColumn id="65" xr3:uid="{AC48FFAA-E55A-4E70-9400-F71E57026E78}" name="T02.2026" dataDxfId="197"/>
    <tableColumn id="66" xr3:uid="{5A3D2156-BAF5-4C3A-B043-E486F88D97CF}" name="T03.2026" dataDxfId="196"/>
    <tableColumn id="67" xr3:uid="{30CFD6AE-AD4F-48F0-80B1-AAB4786C622F}" name="T04.2026" dataDxfId="195"/>
    <tableColumn id="68" xr3:uid="{0B68B8DA-EEFF-48C5-BD0A-8125AE6C2477}" name="T05.2026" dataDxfId="194"/>
    <tableColumn id="69" xr3:uid="{B0FF78FE-770D-49C2-BDE9-757BE3BAA115}" name="T06.2026" dataDxfId="193"/>
    <tableColumn id="70" xr3:uid="{80AB600E-6F3E-4762-A930-138F636DEA31}" name="T07.2026" dataDxfId="192"/>
    <tableColumn id="71" xr3:uid="{5E93A68A-487C-4553-8F16-B1479B571178}" name="T08.2026" dataDxfId="191"/>
    <tableColumn id="72" xr3:uid="{24358023-7EDC-4D5D-ACBC-047C858CB9C8}" name="T09.2026" dataDxfId="190"/>
    <tableColumn id="73" xr3:uid="{29A48CEA-74C3-4C0A-A292-7AFE35C4B277}" name="T10.2026" dataDxfId="189"/>
    <tableColumn id="74" xr3:uid="{E99AB7FA-46C9-4902-85FD-D1294BF343B7}" name="T11.2026" dataDxfId="188"/>
    <tableColumn id="75" xr3:uid="{9FC2B276-CD19-4CBD-A3D0-0EFD7A72A657}" name="T12.2026" dataDxfId="18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01292-1AAD-4A26-8898-550090797106}">
  <sheetPr>
    <tabColor theme="6" tint="0.39997558519241921"/>
  </sheetPr>
  <dimension ref="A1:CC24"/>
  <sheetViews>
    <sheetView tabSelected="1" topLeftCell="B1" workbookViewId="0">
      <pane xSplit="2" ySplit="3" topLeftCell="D11" activePane="bottomRight" state="frozen"/>
      <selection activeCell="B1" sqref="B1"/>
      <selection pane="topRight" activeCell="D1" sqref="D1"/>
      <selection pane="bottomLeft" activeCell="B4" sqref="B4"/>
      <selection pane="bottomRight" activeCell="F23" sqref="F23"/>
    </sheetView>
  </sheetViews>
  <sheetFormatPr defaultRowHeight="14.5"/>
  <cols>
    <col min="1" max="1" width="7" hidden="1" customWidth="1"/>
    <col min="2" max="2" width="56" bestFit="1" customWidth="1"/>
    <col min="3" max="3" width="12.08984375" hidden="1" customWidth="1"/>
    <col min="4" max="6" width="15.54296875" customWidth="1"/>
    <col min="7" max="7" width="16.08984375" bestFit="1" customWidth="1"/>
    <col min="8" max="8" width="17.26953125" bestFit="1" customWidth="1"/>
    <col min="9" max="16" width="15.54296875" customWidth="1"/>
    <col min="17" max="17" width="16.08984375" customWidth="1"/>
    <col min="18" max="20" width="15.54296875" customWidth="1"/>
    <col min="21" max="21" width="16.90625" customWidth="1"/>
    <col min="22" max="22" width="15.54296875" customWidth="1"/>
    <col min="23" max="23" width="16.08984375" customWidth="1"/>
    <col min="24" max="50" width="16.90625" customWidth="1"/>
    <col min="51" max="52" width="17.453125" customWidth="1"/>
    <col min="53" max="55" width="18" customWidth="1"/>
    <col min="56" max="56" width="16.90625" customWidth="1"/>
    <col min="57" max="57" width="18" customWidth="1"/>
    <col min="58" max="58" width="16.90625" bestFit="1" customWidth="1"/>
    <col min="59" max="65" width="18" bestFit="1" customWidth="1"/>
    <col min="66" max="66" width="17.453125" bestFit="1" customWidth="1"/>
    <col min="67" max="69" width="16.90625" bestFit="1" customWidth="1"/>
    <col min="70" max="70" width="18" bestFit="1" customWidth="1"/>
    <col min="71" max="81" width="18" customWidth="1"/>
  </cols>
  <sheetData>
    <row r="1" spans="1:81" ht="17.5">
      <c r="B1" s="1" t="s">
        <v>0</v>
      </c>
    </row>
    <row r="2" spans="1:81">
      <c r="B2" s="2" t="s">
        <v>1</v>
      </c>
      <c r="BF2" s="3"/>
    </row>
    <row r="3" spans="1:81" ht="28">
      <c r="A3" s="4" t="s">
        <v>2</v>
      </c>
      <c r="B3" s="5" t="s">
        <v>3</v>
      </c>
      <c r="C3" s="4" t="s">
        <v>4</v>
      </c>
      <c r="D3" s="70" t="s">
        <v>5</v>
      </c>
      <c r="E3" s="70" t="s">
        <v>6</v>
      </c>
      <c r="F3" s="70" t="s">
        <v>7</v>
      </c>
      <c r="G3" s="70" t="s">
        <v>8</v>
      </c>
      <c r="H3" s="70" t="s">
        <v>9</v>
      </c>
      <c r="I3" s="70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  <c r="BA3" s="4" t="s">
        <v>54</v>
      </c>
      <c r="BB3" s="4" t="s">
        <v>55</v>
      </c>
      <c r="BC3" s="4" t="s">
        <v>56</v>
      </c>
      <c r="BD3" s="4" t="s">
        <v>57</v>
      </c>
      <c r="BE3" s="4" t="s">
        <v>58</v>
      </c>
      <c r="BF3" s="4" t="s">
        <v>59</v>
      </c>
      <c r="BG3" s="4" t="s">
        <v>60</v>
      </c>
      <c r="BH3" s="4" t="s">
        <v>61</v>
      </c>
      <c r="BI3" s="4" t="s">
        <v>62</v>
      </c>
      <c r="BJ3" s="4" t="s">
        <v>63</v>
      </c>
      <c r="BK3" s="4" t="s">
        <v>64</v>
      </c>
      <c r="BL3" s="4" t="s">
        <v>65</v>
      </c>
      <c r="BM3" s="4" t="s">
        <v>66</v>
      </c>
      <c r="BN3" s="4" t="s">
        <v>67</v>
      </c>
      <c r="BO3" s="4" t="s">
        <v>68</v>
      </c>
      <c r="BP3" s="4" t="s">
        <v>69</v>
      </c>
      <c r="BQ3" s="4" t="s">
        <v>70</v>
      </c>
      <c r="BR3" s="4" t="s">
        <v>71</v>
      </c>
      <c r="BS3" s="4" t="s">
        <v>72</v>
      </c>
      <c r="BT3" s="4" t="s">
        <v>73</v>
      </c>
      <c r="BU3" s="4" t="s">
        <v>74</v>
      </c>
      <c r="BV3" s="4" t="s">
        <v>75</v>
      </c>
      <c r="BW3" s="4" t="s">
        <v>76</v>
      </c>
      <c r="BX3" s="4" t="s">
        <v>77</v>
      </c>
      <c r="BY3" s="4" t="s">
        <v>78</v>
      </c>
      <c r="BZ3" s="4" t="s">
        <v>79</v>
      </c>
      <c r="CA3" s="4" t="s">
        <v>80</v>
      </c>
      <c r="CB3" s="4" t="s">
        <v>81</v>
      </c>
      <c r="CC3" s="4" t="s">
        <v>82</v>
      </c>
    </row>
    <row r="4" spans="1:81">
      <c r="A4" s="6">
        <v>1</v>
      </c>
      <c r="B4" s="7" t="s">
        <v>83</v>
      </c>
      <c r="C4" s="6">
        <v>5</v>
      </c>
      <c r="D4" s="8">
        <f>SUM(Data_PL7[[#This Row],[T1.2021]:[T12.2021]])</f>
        <v>2131.962</v>
      </c>
      <c r="E4" s="8">
        <f>SUM(Data_PL7[[#This Row],[T1.2022]:[T12.2022]])</f>
        <v>9850.8649999999998</v>
      </c>
      <c r="F4" s="8">
        <f>SUM(Data_PL7[[#This Row],[T1.2023]:[T12.2023]])</f>
        <v>22582.090000000004</v>
      </c>
      <c r="G4" s="8">
        <f>SUM(Data_PL7[[#This Row],[T01.2024]:[T12.2024]])</f>
        <v>40044.8442</v>
      </c>
      <c r="H4" s="8">
        <f>SUM(Data_PL7[[#This Row],[T01.2025]:[T12.2025]])</f>
        <v>50376.160699999993</v>
      </c>
      <c r="I4" s="8">
        <f>SUM(Data_PL7[[#This Row],[T01.2026]:[T12.2026]])</f>
        <v>19871.663</v>
      </c>
      <c r="J4" s="8">
        <v>76.025000000000006</v>
      </c>
      <c r="K4" s="8">
        <v>61</v>
      </c>
      <c r="L4" s="8">
        <v>303.8</v>
      </c>
      <c r="M4" s="8">
        <v>215.35</v>
      </c>
      <c r="N4" s="8">
        <v>35.93</v>
      </c>
      <c r="O4" s="8">
        <v>30.437000000000001</v>
      </c>
      <c r="P4" s="8">
        <v>87.5</v>
      </c>
      <c r="Q4" s="8">
        <v>69.2</v>
      </c>
      <c r="R4" s="8">
        <v>115.5</v>
      </c>
      <c r="S4" s="8">
        <v>262.5</v>
      </c>
      <c r="T4" s="8">
        <v>284.8</v>
      </c>
      <c r="U4" s="8">
        <v>589.91999999999996</v>
      </c>
      <c r="V4" s="8">
        <v>250.8</v>
      </c>
      <c r="W4" s="8">
        <v>242</v>
      </c>
      <c r="X4" s="8">
        <v>710</v>
      </c>
      <c r="Y4" s="8">
        <v>815.18899999999996</v>
      </c>
      <c r="Z4" s="8">
        <v>578.20799999999997</v>
      </c>
      <c r="AA4" s="8">
        <v>678.9</v>
      </c>
      <c r="AB4" s="8">
        <v>421.5</v>
      </c>
      <c r="AC4" s="8">
        <v>1104.4680000000001</v>
      </c>
      <c r="AD4" s="8">
        <v>1030.32</v>
      </c>
      <c r="AE4" s="8">
        <v>1178.2750000000001</v>
      </c>
      <c r="AF4" s="8">
        <v>981.1</v>
      </c>
      <c r="AG4" s="8">
        <v>1860.105</v>
      </c>
      <c r="AH4" s="8">
        <v>651.79999999999995</v>
      </c>
      <c r="AI4" s="8">
        <v>653.07500000000005</v>
      </c>
      <c r="AJ4" s="8">
        <v>1875.95</v>
      </c>
      <c r="AK4" s="8">
        <v>1792.575</v>
      </c>
      <c r="AL4" s="8">
        <v>1632.875</v>
      </c>
      <c r="AM4" s="8">
        <v>1573.9749999999999</v>
      </c>
      <c r="AN4" s="8">
        <v>2078.5990000000002</v>
      </c>
      <c r="AO4" s="8">
        <v>2591.9430000000002</v>
      </c>
      <c r="AP4" s="8">
        <v>2246.875</v>
      </c>
      <c r="AQ4" s="8">
        <v>3057.3470000000002</v>
      </c>
      <c r="AR4" s="8">
        <v>2111.308</v>
      </c>
      <c r="AS4" s="8">
        <v>2315.768</v>
      </c>
      <c r="AT4" s="8">
        <v>3553.2</v>
      </c>
      <c r="AU4" s="8">
        <v>2285.0509999999999</v>
      </c>
      <c r="AV4" s="8">
        <v>2972.0680000000002</v>
      </c>
      <c r="AW4" s="8">
        <v>3202.752</v>
      </c>
      <c r="AX4" s="8">
        <v>3455.89</v>
      </c>
      <c r="AY4" s="8">
        <v>2432.3249999999998</v>
      </c>
      <c r="AZ4" s="8">
        <v>1986.8530000000001</v>
      </c>
      <c r="BA4" s="8">
        <v>5184.5942000000005</v>
      </c>
      <c r="BB4" s="8">
        <v>4932.5069999999996</v>
      </c>
      <c r="BC4" s="8">
        <v>4058.203</v>
      </c>
      <c r="BD4" s="8">
        <v>2606.2530000000002</v>
      </c>
      <c r="BE4" s="8">
        <v>3375.1480000000001</v>
      </c>
      <c r="BF4" s="8">
        <v>3612.7512999999999</v>
      </c>
      <c r="BG4" s="8">
        <v>6002.0379999999996</v>
      </c>
      <c r="BH4" s="8">
        <v>4985.5379999999996</v>
      </c>
      <c r="BI4" s="8">
        <v>4060.3609999999999</v>
      </c>
      <c r="BJ4" s="8">
        <v>4785.7602999999999</v>
      </c>
      <c r="BK4" s="8">
        <v>3895.6950000000002</v>
      </c>
      <c r="BL4" s="8">
        <v>4652.4191000000001</v>
      </c>
      <c r="BM4" s="8">
        <v>5655.27</v>
      </c>
      <c r="BN4" s="8">
        <v>3106.2919999999999</v>
      </c>
      <c r="BO4" s="8">
        <v>3393.5369999999998</v>
      </c>
      <c r="BP4" s="8">
        <v>3040.82</v>
      </c>
      <c r="BQ4" s="8">
        <v>3185.6790000000001</v>
      </c>
      <c r="BR4" s="8">
        <v>4409.9920000000002</v>
      </c>
      <c r="BS4" s="8">
        <v>3267.6</v>
      </c>
      <c r="BT4" s="8">
        <v>6445.4459999999999</v>
      </c>
      <c r="BU4" s="8">
        <v>5748.625</v>
      </c>
      <c r="BV4" s="8"/>
      <c r="BW4" s="8"/>
      <c r="BX4" s="8"/>
      <c r="BY4" s="8"/>
      <c r="BZ4" s="8"/>
      <c r="CA4" s="8"/>
      <c r="CB4" s="8"/>
      <c r="CC4" s="8"/>
    </row>
    <row r="5" spans="1:81">
      <c r="A5" s="9">
        <v>2</v>
      </c>
      <c r="B5" s="10" t="s">
        <v>84</v>
      </c>
      <c r="C5" s="9">
        <v>5</v>
      </c>
      <c r="D5" s="11">
        <f>SUM(Data_PL7[[#This Row],[T1.2021]:[T12.2021]])</f>
        <v>60562275921</v>
      </c>
      <c r="E5" s="11">
        <f>SUM(Data_PL7[[#This Row],[T1.2022]:[T12.2022]])</f>
        <v>330330688073</v>
      </c>
      <c r="F5" s="11">
        <f>SUM(Data_PL7[[#This Row],[T1.2023]:[T12.2023]])</f>
        <v>685554367311</v>
      </c>
      <c r="G5" s="11">
        <f>SUM(Data_PL7[[#This Row],[T01.2024]:[T12.2024]])</f>
        <v>1211387224737</v>
      </c>
      <c r="H5" s="11">
        <f>SUM(Data_PL7[[#This Row],[T01.2025]:[T12.2025]])</f>
        <v>1551998582223</v>
      </c>
      <c r="I5" s="11">
        <f>SUM(Data_PL7[[#This Row],[T01.2026]:[T12.2026]])</f>
        <v>556792402428</v>
      </c>
      <c r="J5" s="11">
        <v>2192940600</v>
      </c>
      <c r="K5" s="11">
        <v>1791822000</v>
      </c>
      <c r="L5" s="11">
        <v>8682084600</v>
      </c>
      <c r="M5" s="11">
        <v>6264332700</v>
      </c>
      <c r="N5" s="11">
        <v>1376973402</v>
      </c>
      <c r="O5" s="11">
        <v>904631370</v>
      </c>
      <c r="P5" s="11">
        <v>3085582842</v>
      </c>
      <c r="Q5" s="11">
        <v>2036756400</v>
      </c>
      <c r="R5" s="11">
        <v>4007834643</v>
      </c>
      <c r="S5" s="11">
        <v>8372308560</v>
      </c>
      <c r="T5" s="11">
        <v>8615033640</v>
      </c>
      <c r="U5" s="11">
        <v>13231975164</v>
      </c>
      <c r="V5" s="11">
        <v>7498036216</v>
      </c>
      <c r="W5" s="11">
        <v>6876982200</v>
      </c>
      <c r="X5" s="11">
        <v>21877405036</v>
      </c>
      <c r="Y5" s="11">
        <v>27424133378</v>
      </c>
      <c r="Z5" s="11">
        <v>18350378815</v>
      </c>
      <c r="AA5" s="11">
        <v>21902018748</v>
      </c>
      <c r="AB5" s="11">
        <v>15882148168</v>
      </c>
      <c r="AC5" s="11">
        <v>38706132850</v>
      </c>
      <c r="AD5" s="11">
        <v>36809694250</v>
      </c>
      <c r="AE5" s="11">
        <v>41577847270</v>
      </c>
      <c r="AF5" s="11">
        <v>34741567940</v>
      </c>
      <c r="AG5" s="11">
        <v>58684343202</v>
      </c>
      <c r="AH5" s="11">
        <v>24985455241</v>
      </c>
      <c r="AI5" s="11">
        <v>23042319009</v>
      </c>
      <c r="AJ5" s="11">
        <v>59212986698</v>
      </c>
      <c r="AK5" s="11">
        <v>54287237375</v>
      </c>
      <c r="AL5" s="11">
        <v>57641008821</v>
      </c>
      <c r="AM5" s="11">
        <v>50922412416</v>
      </c>
      <c r="AN5" s="11">
        <v>53533092198</v>
      </c>
      <c r="AO5" s="11">
        <v>78282463651</v>
      </c>
      <c r="AP5" s="11">
        <v>64916176630</v>
      </c>
      <c r="AQ5" s="11">
        <v>84671529098</v>
      </c>
      <c r="AR5" s="11">
        <v>62903041444</v>
      </c>
      <c r="AS5" s="11">
        <v>71156644730</v>
      </c>
      <c r="AT5" s="11">
        <v>95961616736</v>
      </c>
      <c r="AU5" s="11">
        <v>70105871996</v>
      </c>
      <c r="AV5" s="11">
        <v>92109508133</v>
      </c>
      <c r="AW5" s="11">
        <v>97489092894</v>
      </c>
      <c r="AX5" s="11">
        <v>102501453344</v>
      </c>
      <c r="AY5" s="11">
        <v>68093170109</v>
      </c>
      <c r="AZ5" s="11">
        <v>56451269692</v>
      </c>
      <c r="BA5" s="11">
        <v>160372945473</v>
      </c>
      <c r="BB5" s="11">
        <v>161501484254</v>
      </c>
      <c r="BC5" s="11">
        <v>119734804022</v>
      </c>
      <c r="BD5" s="11">
        <v>76175498864</v>
      </c>
      <c r="BE5" s="11">
        <v>110890509220</v>
      </c>
      <c r="BF5" s="11">
        <v>114976445897</v>
      </c>
      <c r="BG5" s="11">
        <v>188477338235</v>
      </c>
      <c r="BH5" s="11">
        <v>150730683132</v>
      </c>
      <c r="BI5" s="11">
        <v>125734240353</v>
      </c>
      <c r="BJ5" s="11">
        <v>153674258114</v>
      </c>
      <c r="BK5" s="11">
        <v>119843310993</v>
      </c>
      <c r="BL5" s="11">
        <v>138018360641</v>
      </c>
      <c r="BM5" s="11">
        <v>169442946928</v>
      </c>
      <c r="BN5" s="11">
        <v>91484253567</v>
      </c>
      <c r="BO5" s="11">
        <v>108928556660</v>
      </c>
      <c r="BP5" s="11">
        <v>89826973802</v>
      </c>
      <c r="BQ5" s="11">
        <v>100861213901</v>
      </c>
      <c r="BR5" s="11">
        <v>126786913920</v>
      </c>
      <c r="BS5" s="11">
        <v>96600110916</v>
      </c>
      <c r="BT5" s="11">
        <v>174261948689</v>
      </c>
      <c r="BU5" s="11">
        <v>159143428903</v>
      </c>
      <c r="BV5" s="11"/>
      <c r="BW5" s="11"/>
      <c r="BX5" s="11"/>
      <c r="BY5" s="11"/>
      <c r="BZ5" s="11"/>
      <c r="CA5" s="11"/>
      <c r="CB5" s="11"/>
      <c r="CC5" s="11"/>
    </row>
    <row r="6" spans="1:81">
      <c r="A6" s="12">
        <v>3</v>
      </c>
      <c r="B6" s="13" t="s">
        <v>85</v>
      </c>
      <c r="C6" s="12">
        <v>5</v>
      </c>
      <c r="D6" s="14">
        <f>SUM(Data_PL7[[#This Row],[T1.2021]:[T12.2021]])</f>
        <v>68351150</v>
      </c>
      <c r="E6" s="14">
        <f>SUM(Data_PL7[[#This Row],[T1.2022]:[T12.2022]])</f>
        <v>398631999</v>
      </c>
      <c r="F6" s="14">
        <f>SUM(Data_PL7[[#This Row],[T1.2023]:[T12.2023]])</f>
        <v>35151625</v>
      </c>
      <c r="G6" s="14">
        <f>SUM(Data_PL7[[#This Row],[T01.2024]:[T12.2024]])</f>
        <v>19971229676</v>
      </c>
      <c r="H6" s="14">
        <f>SUM(Data_PL7[[#This Row],[T01.2025]:[T12.2025]])</f>
        <v>14472758187</v>
      </c>
      <c r="I6" s="14">
        <f>SUM(Data_PL7[[#This Row],[T01.2026]:[T12.2026]])</f>
        <v>1763882787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36461250</v>
      </c>
      <c r="P6" s="14">
        <v>0</v>
      </c>
      <c r="Q6" s="14">
        <v>686000</v>
      </c>
      <c r="R6" s="14">
        <v>0</v>
      </c>
      <c r="S6" s="14">
        <v>0</v>
      </c>
      <c r="T6" s="14">
        <v>0</v>
      </c>
      <c r="U6" s="14">
        <v>31203900</v>
      </c>
      <c r="V6" s="14">
        <v>0</v>
      </c>
      <c r="W6" s="14">
        <v>765658695</v>
      </c>
      <c r="X6" s="14">
        <v>-760221195</v>
      </c>
      <c r="Y6" s="14">
        <v>0</v>
      </c>
      <c r="Z6" s="14">
        <v>0</v>
      </c>
      <c r="AA6" s="14">
        <v>0</v>
      </c>
      <c r="AB6" s="14">
        <v>3076000</v>
      </c>
      <c r="AC6" s="14">
        <v>346771999</v>
      </c>
      <c r="AD6" s="14">
        <v>0</v>
      </c>
      <c r="AE6" s="14">
        <v>0</v>
      </c>
      <c r="AF6" s="14">
        <v>43346500</v>
      </c>
      <c r="AG6" s="14">
        <v>0</v>
      </c>
      <c r="AH6" s="14">
        <v>0</v>
      </c>
      <c r="AI6" s="14">
        <v>0</v>
      </c>
      <c r="AJ6" s="14">
        <v>453218</v>
      </c>
      <c r="AK6" s="14">
        <v>195177</v>
      </c>
      <c r="AL6" s="14">
        <v>9024000</v>
      </c>
      <c r="AM6" s="14">
        <v>18714230</v>
      </c>
      <c r="AN6" s="14">
        <v>6765000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1166125000</v>
      </c>
      <c r="AV6" s="14">
        <v>0</v>
      </c>
      <c r="AW6" s="14">
        <v>0</v>
      </c>
      <c r="AX6" s="14">
        <v>136455000</v>
      </c>
      <c r="AY6" s="14">
        <v>0</v>
      </c>
      <c r="AZ6" s="14">
        <v>0</v>
      </c>
      <c r="BA6" s="14">
        <v>6345077301</v>
      </c>
      <c r="BB6" s="14">
        <v>4671587529</v>
      </c>
      <c r="BC6" s="14">
        <v>2922205276</v>
      </c>
      <c r="BD6" s="14">
        <v>49359030</v>
      </c>
      <c r="BE6" s="14">
        <v>4680420540</v>
      </c>
      <c r="BF6" s="14">
        <v>513935495</v>
      </c>
      <c r="BG6" s="14">
        <v>477877176</v>
      </c>
      <c r="BH6" s="14">
        <v>477350452</v>
      </c>
      <c r="BI6" s="14">
        <v>304590498</v>
      </c>
      <c r="BJ6" s="14">
        <v>1607115262</v>
      </c>
      <c r="BK6" s="14">
        <v>708638196</v>
      </c>
      <c r="BL6" s="14">
        <v>26953743</v>
      </c>
      <c r="BM6" s="14">
        <v>1000293545</v>
      </c>
      <c r="BN6" s="14">
        <v>6773818500</v>
      </c>
      <c r="BO6" s="14">
        <v>0</v>
      </c>
      <c r="BP6" s="14">
        <v>1479093000</v>
      </c>
      <c r="BQ6" s="14">
        <v>1103092320</v>
      </c>
      <c r="BR6" s="14">
        <v>687876997</v>
      </c>
      <c r="BS6" s="14">
        <v>33305556</v>
      </c>
      <c r="BT6" s="14">
        <v>956126160</v>
      </c>
      <c r="BU6" s="14">
        <v>86574074</v>
      </c>
      <c r="BV6" s="14"/>
      <c r="BW6" s="14"/>
      <c r="BX6" s="14"/>
      <c r="BY6" s="14"/>
      <c r="BZ6" s="14"/>
      <c r="CA6" s="14"/>
      <c r="CB6" s="14"/>
      <c r="CC6" s="14"/>
    </row>
    <row r="7" spans="1:81">
      <c r="A7" s="15">
        <v>4</v>
      </c>
      <c r="B7" s="10" t="s">
        <v>86</v>
      </c>
      <c r="C7" s="15">
        <v>5</v>
      </c>
      <c r="D7" s="16">
        <f>SUM(Data_PL7[[#This Row],[T1.2021]:[T12.2021]])</f>
        <v>60493924771</v>
      </c>
      <c r="E7" s="16">
        <f>SUM(Data_PL7[[#This Row],[T1.2022]:[T12.2022]])</f>
        <v>329932056074</v>
      </c>
      <c r="F7" s="16">
        <f>SUM(Data_PL7[[#This Row],[T1.2023]:[T12.2023]])</f>
        <v>685519215686</v>
      </c>
      <c r="G7" s="16">
        <f>SUM(Data_PL7[[#This Row],[T01.2024]:[T12.2024]])</f>
        <v>1191415995061</v>
      </c>
      <c r="H7" s="16">
        <f>SUM(Data_PL7[[#This Row],[T01.2025]:[T12.2025]])</f>
        <v>1537525824036</v>
      </c>
      <c r="I7" s="16">
        <f>SUM(Data_PL7[[#This Row],[T01.2026]:[T12.2026]])</f>
        <v>555028519641</v>
      </c>
      <c r="J7" s="16">
        <v>2192940600</v>
      </c>
      <c r="K7" s="16">
        <v>1791822000</v>
      </c>
      <c r="L7" s="16">
        <v>8682084600</v>
      </c>
      <c r="M7" s="16">
        <v>6264332700</v>
      </c>
      <c r="N7" s="16">
        <v>1376973402</v>
      </c>
      <c r="O7" s="16">
        <v>868170120</v>
      </c>
      <c r="P7" s="16">
        <v>3085582842</v>
      </c>
      <c r="Q7" s="16">
        <v>2036070400</v>
      </c>
      <c r="R7" s="16">
        <v>4007834643</v>
      </c>
      <c r="S7" s="16">
        <v>8372308560</v>
      </c>
      <c r="T7" s="16">
        <v>8615033640</v>
      </c>
      <c r="U7" s="16">
        <v>13200771264</v>
      </c>
      <c r="V7" s="16">
        <v>7498036216</v>
      </c>
      <c r="W7" s="16">
        <v>6111323505</v>
      </c>
      <c r="X7" s="16">
        <v>22637626231</v>
      </c>
      <c r="Y7" s="16">
        <v>27424133378</v>
      </c>
      <c r="Z7" s="16">
        <v>18350378815</v>
      </c>
      <c r="AA7" s="16">
        <v>21902018748</v>
      </c>
      <c r="AB7" s="16">
        <v>15879072168</v>
      </c>
      <c r="AC7" s="16">
        <v>38359360851</v>
      </c>
      <c r="AD7" s="16">
        <v>36809694250</v>
      </c>
      <c r="AE7" s="16">
        <v>41577847270</v>
      </c>
      <c r="AF7" s="16">
        <v>34698221440</v>
      </c>
      <c r="AG7" s="16">
        <v>58684343202</v>
      </c>
      <c r="AH7" s="16">
        <v>24985455241</v>
      </c>
      <c r="AI7" s="16">
        <v>23042319009</v>
      </c>
      <c r="AJ7" s="16">
        <v>59212533480</v>
      </c>
      <c r="AK7" s="16">
        <v>54287042198</v>
      </c>
      <c r="AL7" s="16">
        <v>57631984821</v>
      </c>
      <c r="AM7" s="16">
        <v>50903698186</v>
      </c>
      <c r="AN7" s="16">
        <v>53526327198</v>
      </c>
      <c r="AO7" s="16">
        <v>78282463651</v>
      </c>
      <c r="AP7" s="16">
        <v>64916176630</v>
      </c>
      <c r="AQ7" s="16">
        <v>84671529098</v>
      </c>
      <c r="AR7" s="16">
        <v>62903041444</v>
      </c>
      <c r="AS7" s="16">
        <v>71156644730</v>
      </c>
      <c r="AT7" s="16">
        <v>95961616736</v>
      </c>
      <c r="AU7" s="16">
        <v>68939746996</v>
      </c>
      <c r="AV7" s="16">
        <v>92109508133</v>
      </c>
      <c r="AW7" s="16">
        <v>97489092894</v>
      </c>
      <c r="AX7" s="16">
        <v>102364998344</v>
      </c>
      <c r="AY7" s="16">
        <v>68093170109</v>
      </c>
      <c r="AZ7" s="16">
        <v>56451269692</v>
      </c>
      <c r="BA7" s="16">
        <v>154027868172</v>
      </c>
      <c r="BB7" s="16">
        <v>156829896725</v>
      </c>
      <c r="BC7" s="16">
        <v>116812598746</v>
      </c>
      <c r="BD7" s="16">
        <v>76126139834</v>
      </c>
      <c r="BE7" s="16">
        <v>106210088680</v>
      </c>
      <c r="BF7" s="16">
        <v>114462510402</v>
      </c>
      <c r="BG7" s="16">
        <v>187999461059</v>
      </c>
      <c r="BH7" s="16">
        <v>150253332680</v>
      </c>
      <c r="BI7" s="16">
        <v>125429649855</v>
      </c>
      <c r="BJ7" s="16">
        <v>152067142852</v>
      </c>
      <c r="BK7" s="16">
        <v>119134672797</v>
      </c>
      <c r="BL7" s="16">
        <v>137991406898</v>
      </c>
      <c r="BM7" s="16">
        <v>168442653383</v>
      </c>
      <c r="BN7" s="16">
        <v>84710435067</v>
      </c>
      <c r="BO7" s="16">
        <v>108928556660</v>
      </c>
      <c r="BP7" s="16">
        <v>88347880802</v>
      </c>
      <c r="BQ7" s="16">
        <v>99758121581</v>
      </c>
      <c r="BR7" s="16">
        <v>126099036923</v>
      </c>
      <c r="BS7" s="16">
        <v>96566805360</v>
      </c>
      <c r="BT7" s="16">
        <v>173305822529</v>
      </c>
      <c r="BU7" s="16">
        <v>159056854829</v>
      </c>
      <c r="BV7" s="16"/>
      <c r="BW7" s="16"/>
      <c r="BX7" s="16"/>
      <c r="BY7" s="16"/>
      <c r="BZ7" s="16"/>
      <c r="CA7" s="16"/>
      <c r="CB7" s="16"/>
      <c r="CC7" s="16"/>
    </row>
    <row r="8" spans="1:81">
      <c r="A8" s="17">
        <v>5</v>
      </c>
      <c r="B8" s="13" t="s">
        <v>87</v>
      </c>
      <c r="C8" s="17">
        <v>5</v>
      </c>
      <c r="D8" s="18">
        <f>SUM(Data_PL7[[#This Row],[T1.2021]:[T12.2021]])</f>
        <v>55288134722</v>
      </c>
      <c r="E8" s="18">
        <f>SUM(Data_PL7[[#This Row],[T1.2022]:[T12.2022]])</f>
        <v>299901216900</v>
      </c>
      <c r="F8" s="18">
        <f>SUM(Data_PL7[[#This Row],[T1.2023]:[T12.2023]])</f>
        <v>518594542678</v>
      </c>
      <c r="G8" s="18">
        <f>SUM(Data_PL7[[#This Row],[T01.2024]:[T12.2024]])</f>
        <v>998230253982</v>
      </c>
      <c r="H8" s="18">
        <f>SUM(Data_PL7[[#This Row],[T01.2025]:[T12.2025]])</f>
        <v>1343495797036</v>
      </c>
      <c r="I8" s="18">
        <f>SUM(Data_PL7[[#This Row],[T01.2026]:[T12.2026]])</f>
        <v>512422326416</v>
      </c>
      <c r="J8" s="18">
        <v>1714389259</v>
      </c>
      <c r="K8" s="18">
        <v>1513381552</v>
      </c>
      <c r="L8" s="18">
        <v>6687623393</v>
      </c>
      <c r="M8" s="18">
        <v>4774057263</v>
      </c>
      <c r="N8" s="18">
        <v>1087102095</v>
      </c>
      <c r="O8" s="18">
        <v>807656278</v>
      </c>
      <c r="P8" s="18">
        <v>2716172489</v>
      </c>
      <c r="Q8" s="18">
        <v>4315716140</v>
      </c>
      <c r="R8" s="18">
        <v>4265960659</v>
      </c>
      <c r="S8" s="18">
        <v>7443114351</v>
      </c>
      <c r="T8" s="18">
        <v>7773986301</v>
      </c>
      <c r="U8" s="18">
        <v>12188974942</v>
      </c>
      <c r="V8" s="18">
        <v>6843552810</v>
      </c>
      <c r="W8" s="18">
        <v>6912963718</v>
      </c>
      <c r="X8" s="18">
        <v>19836366360</v>
      </c>
      <c r="Y8" s="18">
        <v>21907875072</v>
      </c>
      <c r="Z8" s="18">
        <v>15580244606</v>
      </c>
      <c r="AA8" s="18">
        <v>18312738285</v>
      </c>
      <c r="AB8" s="18">
        <v>12006617281</v>
      </c>
      <c r="AC8" s="18">
        <v>32529935445</v>
      </c>
      <c r="AD8" s="18">
        <v>32281385317</v>
      </c>
      <c r="AE8" s="18">
        <v>38377094489</v>
      </c>
      <c r="AF8" s="18">
        <v>30963456194</v>
      </c>
      <c r="AG8" s="18">
        <v>64348987323</v>
      </c>
      <c r="AH8" s="18">
        <v>20792367485</v>
      </c>
      <c r="AI8" s="18">
        <v>21918378947</v>
      </c>
      <c r="AJ8" s="18">
        <v>61251223688</v>
      </c>
      <c r="AK8" s="18">
        <v>53942190282</v>
      </c>
      <c r="AL8" s="18">
        <v>50245648463</v>
      </c>
      <c r="AM8" s="18">
        <v>7904131770</v>
      </c>
      <c r="AN8" s="18">
        <v>44797235508</v>
      </c>
      <c r="AO8" s="18">
        <v>62222051344</v>
      </c>
      <c r="AP8" s="18">
        <v>37728980820</v>
      </c>
      <c r="AQ8" s="18">
        <v>61940025172</v>
      </c>
      <c r="AR8" s="18">
        <v>49113504898</v>
      </c>
      <c r="AS8" s="18">
        <v>46738804301</v>
      </c>
      <c r="AT8" s="18">
        <v>85841765176</v>
      </c>
      <c r="AU8" s="18">
        <v>68748321616</v>
      </c>
      <c r="AV8" s="18">
        <v>86824377307</v>
      </c>
      <c r="AW8" s="18">
        <v>85475594862</v>
      </c>
      <c r="AX8" s="18">
        <v>99208228636</v>
      </c>
      <c r="AY8" s="18">
        <v>69795611979</v>
      </c>
      <c r="AZ8" s="18">
        <v>61217801757</v>
      </c>
      <c r="BA8" s="18">
        <v>147970813832</v>
      </c>
      <c r="BB8" s="18">
        <v>132769623597</v>
      </c>
      <c r="BC8" s="18">
        <v>112138441893</v>
      </c>
      <c r="BD8" s="18">
        <v>70998442117</v>
      </c>
      <c r="BE8" s="18">
        <v>-22758768790</v>
      </c>
      <c r="BF8" s="18">
        <v>96299447936</v>
      </c>
      <c r="BG8" s="18">
        <v>154570631505</v>
      </c>
      <c r="BH8" s="18">
        <v>129509315823</v>
      </c>
      <c r="BI8" s="18">
        <v>109641808151</v>
      </c>
      <c r="BJ8" s="18">
        <v>129906078108</v>
      </c>
      <c r="BK8" s="18">
        <v>105463649620</v>
      </c>
      <c r="BL8" s="18">
        <v>128673842020</v>
      </c>
      <c r="BM8" s="18">
        <v>155101842643</v>
      </c>
      <c r="BN8" s="18">
        <v>83113314505</v>
      </c>
      <c r="BO8" s="18">
        <v>99966937216</v>
      </c>
      <c r="BP8" s="18">
        <v>80940600844</v>
      </c>
      <c r="BQ8" s="18">
        <v>70308328665</v>
      </c>
      <c r="BR8" s="18">
        <v>115080112871</v>
      </c>
      <c r="BS8" s="18">
        <v>90411470461</v>
      </c>
      <c r="BT8" s="18">
        <v>165844739865</v>
      </c>
      <c r="BU8" s="18">
        <v>141086003219</v>
      </c>
      <c r="BV8" s="18"/>
      <c r="BW8" s="18"/>
      <c r="BX8" s="18"/>
      <c r="BY8" s="18"/>
      <c r="BZ8" s="18"/>
      <c r="CA8" s="18"/>
      <c r="CB8" s="18"/>
      <c r="CC8" s="18"/>
    </row>
    <row r="9" spans="1:81">
      <c r="A9" s="19">
        <v>6</v>
      </c>
      <c r="B9" s="10" t="s">
        <v>88</v>
      </c>
      <c r="C9" s="19">
        <v>5</v>
      </c>
      <c r="D9" s="20">
        <f>SUM(Data_PL7[[#This Row],[T1.2021]:[T12.2021]])</f>
        <v>5205790049</v>
      </c>
      <c r="E9" s="20">
        <f>SUM(Data_PL7[[#This Row],[T1.2022]:[T12.2022]])</f>
        <v>30030839174</v>
      </c>
      <c r="F9" s="20">
        <f>SUM(Data_PL7[[#This Row],[T1.2023]:[T12.2023]])</f>
        <v>166924673008</v>
      </c>
      <c r="G9" s="20">
        <f>SUM(Data_PL7[[#This Row],[T01.2024]:[T12.2024]])</f>
        <v>193185741079</v>
      </c>
      <c r="H9" s="20">
        <f>SUM(Data_PL7[[#This Row],[T01.2025]:[T12.2025]])</f>
        <v>194030027000</v>
      </c>
      <c r="I9" s="20">
        <f>SUM(Data_PL7[[#This Row],[T01.2026]:[T12.2026]])</f>
        <v>42606193225</v>
      </c>
      <c r="J9" s="20">
        <v>478551341</v>
      </c>
      <c r="K9" s="20">
        <v>278440448</v>
      </c>
      <c r="L9" s="20">
        <v>1994461207</v>
      </c>
      <c r="M9" s="20">
        <v>1490275437</v>
      </c>
      <c r="N9" s="20">
        <v>289871307</v>
      </c>
      <c r="O9" s="20">
        <v>60513842</v>
      </c>
      <c r="P9" s="20">
        <v>369410353</v>
      </c>
      <c r="Q9" s="20">
        <v>-2279645740</v>
      </c>
      <c r="R9" s="20">
        <v>-258126016</v>
      </c>
      <c r="S9" s="20">
        <v>929194209</v>
      </c>
      <c r="T9" s="20">
        <v>841047339</v>
      </c>
      <c r="U9" s="20">
        <v>1011796322</v>
      </c>
      <c r="V9" s="20">
        <v>654483406</v>
      </c>
      <c r="W9" s="20">
        <v>-801640213</v>
      </c>
      <c r="X9" s="20">
        <v>2801259871</v>
      </c>
      <c r="Y9" s="20">
        <v>5516258306</v>
      </c>
      <c r="Z9" s="20">
        <v>2770134209</v>
      </c>
      <c r="AA9" s="20">
        <v>3589280463</v>
      </c>
      <c r="AB9" s="20">
        <v>3872454887</v>
      </c>
      <c r="AC9" s="20">
        <v>5829425406</v>
      </c>
      <c r="AD9" s="20">
        <v>4528308933</v>
      </c>
      <c r="AE9" s="20">
        <v>3200752781</v>
      </c>
      <c r="AF9" s="20">
        <v>3734765246</v>
      </c>
      <c r="AG9" s="20">
        <v>-5664644121</v>
      </c>
      <c r="AH9" s="20">
        <v>4193087756</v>
      </c>
      <c r="AI9" s="20">
        <v>1123940062</v>
      </c>
      <c r="AJ9" s="20">
        <v>-2038690208</v>
      </c>
      <c r="AK9" s="20">
        <v>344851916</v>
      </c>
      <c r="AL9" s="20">
        <v>7386336358</v>
      </c>
      <c r="AM9" s="20">
        <v>42999566416</v>
      </c>
      <c r="AN9" s="20">
        <v>8729091690</v>
      </c>
      <c r="AO9" s="20">
        <v>16060412307</v>
      </c>
      <c r="AP9" s="20">
        <v>27187195810</v>
      </c>
      <c r="AQ9" s="20">
        <v>22731503926</v>
      </c>
      <c r="AR9" s="20">
        <v>13789536546</v>
      </c>
      <c r="AS9" s="20">
        <v>24417840429</v>
      </c>
      <c r="AT9" s="20">
        <v>10119851560</v>
      </c>
      <c r="AU9" s="20">
        <v>191425380</v>
      </c>
      <c r="AV9" s="20">
        <v>5285130826</v>
      </c>
      <c r="AW9" s="20">
        <v>12013498032</v>
      </c>
      <c r="AX9" s="20">
        <v>3156769708</v>
      </c>
      <c r="AY9" s="20">
        <v>-1702441870</v>
      </c>
      <c r="AZ9" s="20">
        <v>-4766532065</v>
      </c>
      <c r="BA9" s="20">
        <v>6057054340</v>
      </c>
      <c r="BB9" s="20">
        <v>24060273128</v>
      </c>
      <c r="BC9" s="20">
        <v>4674156853</v>
      </c>
      <c r="BD9" s="20">
        <v>5127697717</v>
      </c>
      <c r="BE9" s="20">
        <v>128968857470</v>
      </c>
      <c r="BF9" s="20">
        <v>18163062466</v>
      </c>
      <c r="BG9" s="20">
        <v>33428829554</v>
      </c>
      <c r="BH9" s="20">
        <v>20744016857</v>
      </c>
      <c r="BI9" s="20">
        <v>15787841704</v>
      </c>
      <c r="BJ9" s="20">
        <v>22161064744</v>
      </c>
      <c r="BK9" s="20">
        <v>13671023177</v>
      </c>
      <c r="BL9" s="20">
        <v>9317564878</v>
      </c>
      <c r="BM9" s="20">
        <v>13340810740</v>
      </c>
      <c r="BN9" s="20">
        <v>1597120562</v>
      </c>
      <c r="BO9" s="20">
        <v>8961619444</v>
      </c>
      <c r="BP9" s="20">
        <v>7407279958</v>
      </c>
      <c r="BQ9" s="20">
        <v>29449792916</v>
      </c>
      <c r="BR9" s="20">
        <v>11018924052</v>
      </c>
      <c r="BS9" s="20">
        <v>6155334899</v>
      </c>
      <c r="BT9" s="20">
        <v>7461082664</v>
      </c>
      <c r="BU9" s="20">
        <v>17970851610</v>
      </c>
      <c r="BV9" s="20"/>
      <c r="BW9" s="20"/>
      <c r="BX9" s="20"/>
      <c r="BY9" s="20"/>
      <c r="BZ9" s="20"/>
      <c r="CA9" s="20"/>
      <c r="CB9" s="20"/>
      <c r="CC9" s="20"/>
    </row>
    <row r="10" spans="1:81">
      <c r="A10" s="19">
        <v>7</v>
      </c>
      <c r="B10" s="10" t="s">
        <v>89</v>
      </c>
      <c r="C10" s="19">
        <v>5</v>
      </c>
      <c r="D10" s="20">
        <f>SUM(Data_PL7[[#This Row],[T1.2021]:[T12.2021]])</f>
        <v>0</v>
      </c>
      <c r="E10" s="20">
        <f>SUM(Data_PL7[[#This Row],[T1.2022]:[T12.2022]])</f>
        <v>0</v>
      </c>
      <c r="F10" s="20">
        <f>SUM(Data_PL7[[#This Row],[T1.2023]:[T12.2023]])</f>
        <v>0</v>
      </c>
      <c r="G10" s="20">
        <f>SUM(Data_PL7[[#This Row],[T01.2024]:[T12.2024]])</f>
        <v>0</v>
      </c>
      <c r="H10" s="20">
        <f>SUM(Data_PL7[[#This Row],[T01.2025]:[T12.2025]])</f>
        <v>0</v>
      </c>
      <c r="I10" s="20">
        <f>SUM(Data_PL7[[#This Row],[T01.2026]:[T12.2026]])</f>
        <v>0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</row>
    <row r="11" spans="1:81">
      <c r="A11" s="12">
        <v>8</v>
      </c>
      <c r="B11" s="13" t="s">
        <v>90</v>
      </c>
      <c r="C11" s="12">
        <v>5</v>
      </c>
      <c r="D11" s="14">
        <f>SUM(Data_PL7[[#This Row],[T1.2021]:[T12.2021]])</f>
        <v>18328733000</v>
      </c>
      <c r="E11" s="14">
        <f>SUM(Data_PL7[[#This Row],[T1.2022]:[T12.2022]])</f>
        <v>17240601582</v>
      </c>
      <c r="F11" s="14">
        <f>SUM(Data_PL7[[#This Row],[T1.2023]:[T12.2023]])</f>
        <v>9282695737</v>
      </c>
      <c r="G11" s="14">
        <f>SUM(Data_PL7[[#This Row],[T01.2024]:[T12.2024]])</f>
        <v>15099094600</v>
      </c>
      <c r="H11" s="14">
        <f>SUM(Data_PL7[[#This Row],[T01.2025]:[T12.2025]])</f>
        <v>16906508752</v>
      </c>
      <c r="I11" s="14">
        <f>SUM(Data_PL7[[#This Row],[T01.2026]:[T12.2026]])</f>
        <v>3968224388</v>
      </c>
      <c r="J11" s="14">
        <v>1228117</v>
      </c>
      <c r="K11" s="14">
        <v>1370668</v>
      </c>
      <c r="L11" s="14">
        <v>503786</v>
      </c>
      <c r="M11" s="14">
        <v>991223</v>
      </c>
      <c r="N11" s="14">
        <v>924399</v>
      </c>
      <c r="O11" s="14">
        <v>2721429</v>
      </c>
      <c r="P11" s="14">
        <v>5630167167</v>
      </c>
      <c r="Q11" s="14">
        <v>4552274821</v>
      </c>
      <c r="R11" s="14">
        <v>4006107516</v>
      </c>
      <c r="S11" s="14">
        <v>1404451824</v>
      </c>
      <c r="T11" s="14">
        <v>1487413089</v>
      </c>
      <c r="U11" s="14">
        <v>1240578961</v>
      </c>
      <c r="V11" s="14">
        <v>1479346434</v>
      </c>
      <c r="W11" s="14">
        <v>1527456177</v>
      </c>
      <c r="X11" s="14">
        <v>1512346597</v>
      </c>
      <c r="Y11" s="14">
        <v>1655612808</v>
      </c>
      <c r="Z11" s="14">
        <v>2665641339</v>
      </c>
      <c r="AA11" s="14">
        <v>1264179580</v>
      </c>
      <c r="AB11" s="14">
        <v>1129143854</v>
      </c>
      <c r="AC11" s="14">
        <v>1236134244</v>
      </c>
      <c r="AD11" s="14">
        <v>1420307305</v>
      </c>
      <c r="AE11" s="14">
        <v>1826774837</v>
      </c>
      <c r="AF11" s="14">
        <v>1006924842</v>
      </c>
      <c r="AG11" s="14">
        <v>516733565</v>
      </c>
      <c r="AH11" s="14">
        <v>23897328</v>
      </c>
      <c r="AI11" s="14">
        <v>190776336</v>
      </c>
      <c r="AJ11" s="14">
        <v>16660712</v>
      </c>
      <c r="AK11" s="14">
        <v>967330723</v>
      </c>
      <c r="AL11" s="14">
        <v>867791673</v>
      </c>
      <c r="AM11" s="14">
        <v>866039044</v>
      </c>
      <c r="AN11" s="14">
        <v>810000497</v>
      </c>
      <c r="AO11" s="14">
        <v>1331407010</v>
      </c>
      <c r="AP11" s="14">
        <v>1045754825</v>
      </c>
      <c r="AQ11" s="14">
        <v>1146315118</v>
      </c>
      <c r="AR11" s="14">
        <v>946685267</v>
      </c>
      <c r="AS11" s="14">
        <v>1070037204</v>
      </c>
      <c r="AT11" s="14">
        <v>702840610</v>
      </c>
      <c r="AU11" s="14">
        <v>1100851130</v>
      </c>
      <c r="AV11" s="14">
        <v>994712341</v>
      </c>
      <c r="AW11" s="14">
        <v>1735368123</v>
      </c>
      <c r="AX11" s="14">
        <v>1021938222</v>
      </c>
      <c r="AY11" s="14">
        <v>578784271</v>
      </c>
      <c r="AZ11" s="14">
        <v>343643819</v>
      </c>
      <c r="BA11" s="14">
        <v>1242477440</v>
      </c>
      <c r="BB11" s="14">
        <v>1549112434</v>
      </c>
      <c r="BC11" s="14">
        <v>2779237425</v>
      </c>
      <c r="BD11" s="14">
        <v>865910053</v>
      </c>
      <c r="BE11" s="14">
        <v>2184218732</v>
      </c>
      <c r="BF11" s="14">
        <v>773999253</v>
      </c>
      <c r="BG11" s="14">
        <v>1788435256</v>
      </c>
      <c r="BH11" s="14">
        <v>931124505</v>
      </c>
      <c r="BI11" s="14">
        <v>1307926421</v>
      </c>
      <c r="BJ11" s="14">
        <v>2429341904</v>
      </c>
      <c r="BK11" s="14">
        <v>1641453607</v>
      </c>
      <c r="BL11" s="14">
        <v>1393514763</v>
      </c>
      <c r="BM11" s="14">
        <v>1498736488</v>
      </c>
      <c r="BN11" s="14">
        <v>1228780215</v>
      </c>
      <c r="BO11" s="14">
        <v>2716737103</v>
      </c>
      <c r="BP11" s="14">
        <v>515476780</v>
      </c>
      <c r="BQ11" s="14">
        <v>680982457</v>
      </c>
      <c r="BR11" s="14">
        <v>1053165322</v>
      </c>
      <c r="BS11" s="14">
        <v>307705069</v>
      </c>
      <c r="BT11" s="14">
        <v>839416558</v>
      </c>
      <c r="BU11" s="14">
        <v>1767937439</v>
      </c>
      <c r="BV11" s="14"/>
      <c r="BW11" s="14"/>
      <c r="BX11" s="14"/>
      <c r="BY11" s="14"/>
      <c r="BZ11" s="14"/>
      <c r="CA11" s="14"/>
      <c r="CB11" s="14"/>
      <c r="CC11" s="14"/>
    </row>
    <row r="12" spans="1:81">
      <c r="A12" s="9">
        <v>9</v>
      </c>
      <c r="B12" s="10" t="s">
        <v>91</v>
      </c>
      <c r="C12" s="9">
        <v>5</v>
      </c>
      <c r="D12" s="11">
        <f>SUM(Data_PL7[[#This Row],[T1.2021]:[T12.2021]])</f>
        <v>3984725509</v>
      </c>
      <c r="E12" s="11">
        <f>SUM(Data_PL7[[#This Row],[T1.2022]:[T12.2022]])</f>
        <v>8892172663</v>
      </c>
      <c r="F12" s="11">
        <f>SUM(Data_PL7[[#This Row],[T1.2023]:[T12.2023]])</f>
        <v>3023468987</v>
      </c>
      <c r="G12" s="11">
        <f>SUM(Data_PL7[[#This Row],[T01.2024]:[T12.2024]])</f>
        <v>13113711111</v>
      </c>
      <c r="H12" s="11">
        <f>SUM(Data_PL7[[#This Row],[T01.2025]:[T12.2025]])</f>
        <v>18541073627</v>
      </c>
      <c r="I12" s="11">
        <f>SUM(Data_PL7[[#This Row],[T01.2026]:[T12.2026]])</f>
        <v>6611590325</v>
      </c>
      <c r="J12" s="11">
        <v>167606071</v>
      </c>
      <c r="K12" s="11">
        <v>221668883</v>
      </c>
      <c r="L12" s="11">
        <v>208008837</v>
      </c>
      <c r="M12" s="11">
        <v>262181583</v>
      </c>
      <c r="N12" s="11">
        <v>294284803</v>
      </c>
      <c r="O12" s="11">
        <v>376440316</v>
      </c>
      <c r="P12" s="11">
        <v>341383390</v>
      </c>
      <c r="Q12" s="11">
        <v>424333601</v>
      </c>
      <c r="R12" s="11">
        <v>404885911</v>
      </c>
      <c r="S12" s="11">
        <v>376140889</v>
      </c>
      <c r="T12" s="11">
        <v>457278692</v>
      </c>
      <c r="U12" s="11">
        <v>450512533</v>
      </c>
      <c r="V12" s="11">
        <v>566186825</v>
      </c>
      <c r="W12" s="11">
        <v>636770194</v>
      </c>
      <c r="X12" s="11">
        <v>622676693</v>
      </c>
      <c r="Y12" s="11">
        <v>508923847</v>
      </c>
      <c r="Z12" s="11">
        <v>611802389</v>
      </c>
      <c r="AA12" s="11">
        <v>151684906</v>
      </c>
      <c r="AB12" s="11">
        <v>632905650</v>
      </c>
      <c r="AC12" s="11">
        <v>700652271</v>
      </c>
      <c r="AD12" s="11">
        <v>1025151505</v>
      </c>
      <c r="AE12" s="11">
        <v>1107933886</v>
      </c>
      <c r="AF12" s="11">
        <v>1595489167</v>
      </c>
      <c r="AG12" s="11">
        <v>731995330</v>
      </c>
      <c r="AH12" s="11">
        <v>74107271</v>
      </c>
      <c r="AI12" s="11">
        <v>30659803</v>
      </c>
      <c r="AJ12" s="11">
        <v>220600896</v>
      </c>
      <c r="AK12" s="11">
        <v>69167924</v>
      </c>
      <c r="AL12" s="11">
        <v>49408830</v>
      </c>
      <c r="AM12" s="11">
        <v>124156445</v>
      </c>
      <c r="AN12" s="11">
        <v>311284353</v>
      </c>
      <c r="AO12" s="11">
        <v>709793834</v>
      </c>
      <c r="AP12" s="11">
        <v>328510530</v>
      </c>
      <c r="AQ12" s="11">
        <v>475535318</v>
      </c>
      <c r="AR12" s="11">
        <v>86442609</v>
      </c>
      <c r="AS12" s="11">
        <v>543801174</v>
      </c>
      <c r="AT12" s="11">
        <v>801399604</v>
      </c>
      <c r="AU12" s="11">
        <v>695500231</v>
      </c>
      <c r="AV12" s="11">
        <v>663502461</v>
      </c>
      <c r="AW12" s="11">
        <v>1555671370</v>
      </c>
      <c r="AX12" s="11">
        <v>936492932</v>
      </c>
      <c r="AY12" s="11">
        <v>1103852896</v>
      </c>
      <c r="AZ12" s="11">
        <v>1608708972</v>
      </c>
      <c r="BA12" s="11">
        <v>1489581015</v>
      </c>
      <c r="BB12" s="11">
        <v>1372261307</v>
      </c>
      <c r="BC12" s="11">
        <v>636041020</v>
      </c>
      <c r="BD12" s="11">
        <v>1257673070</v>
      </c>
      <c r="BE12" s="11">
        <v>993026233</v>
      </c>
      <c r="BF12" s="11">
        <v>1529745602</v>
      </c>
      <c r="BG12" s="11">
        <v>1349010483</v>
      </c>
      <c r="BH12" s="11">
        <v>902730488</v>
      </c>
      <c r="BI12" s="11">
        <v>1450570894</v>
      </c>
      <c r="BJ12" s="11">
        <v>858169737</v>
      </c>
      <c r="BK12" s="11">
        <v>1483876982</v>
      </c>
      <c r="BL12" s="11">
        <v>1315247967</v>
      </c>
      <c r="BM12" s="11">
        <v>1366041150</v>
      </c>
      <c r="BN12" s="11">
        <v>1603769193</v>
      </c>
      <c r="BO12" s="11">
        <v>2900732378</v>
      </c>
      <c r="BP12" s="11">
        <v>1301741764</v>
      </c>
      <c r="BQ12" s="11">
        <v>2479436989</v>
      </c>
      <c r="BR12" s="11">
        <v>1532817392</v>
      </c>
      <c r="BS12" s="11">
        <v>1569283837</v>
      </c>
      <c r="BT12" s="11">
        <v>1510605035</v>
      </c>
      <c r="BU12" s="11">
        <v>1998884061</v>
      </c>
      <c r="BV12" s="11"/>
      <c r="BW12" s="11"/>
      <c r="BX12" s="11"/>
      <c r="BY12" s="11"/>
      <c r="BZ12" s="11"/>
      <c r="CA12" s="11"/>
      <c r="CB12" s="11"/>
      <c r="CC12" s="11"/>
    </row>
    <row r="13" spans="1:81">
      <c r="A13" s="12">
        <v>10</v>
      </c>
      <c r="B13" s="21" t="s">
        <v>92</v>
      </c>
      <c r="C13" s="12">
        <v>5</v>
      </c>
      <c r="D13" s="14">
        <f>SUM(Data_PL7[[#This Row],[T1.2021]:[T12.2021]])</f>
        <v>3929610603</v>
      </c>
      <c r="E13" s="14">
        <f>SUM(Data_PL7[[#This Row],[T1.2022]:[T12.2022]])</f>
        <v>7725836076</v>
      </c>
      <c r="F13" s="14">
        <f>SUM(Data_PL7[[#This Row],[T1.2023]:[T12.2023]])</f>
        <v>1165406526</v>
      </c>
      <c r="G13" s="14">
        <f>SUM(Data_PL7[[#This Row],[T01.2024]:[T12.2024]])</f>
        <v>10328501137</v>
      </c>
      <c r="H13" s="14">
        <f>SUM(Data_PL7[[#This Row],[T01.2025]:[T12.2025]])</f>
        <v>14263439054</v>
      </c>
      <c r="I13" s="14">
        <f>SUM(Data_PL7[[#This Row],[T01.2026]:[T12.2026]])</f>
        <v>4418197522</v>
      </c>
      <c r="J13" s="14">
        <v>167603935</v>
      </c>
      <c r="K13" s="14">
        <v>221659846</v>
      </c>
      <c r="L13" s="14">
        <v>208008837</v>
      </c>
      <c r="M13" s="14">
        <v>262170575</v>
      </c>
      <c r="N13" s="14">
        <v>294134531</v>
      </c>
      <c r="O13" s="14">
        <v>375347816</v>
      </c>
      <c r="P13" s="14">
        <v>340813568</v>
      </c>
      <c r="Q13" s="14">
        <v>399256526</v>
      </c>
      <c r="R13" s="14">
        <v>400979485</v>
      </c>
      <c r="S13" s="14">
        <v>368636370</v>
      </c>
      <c r="T13" s="14">
        <v>424483338</v>
      </c>
      <c r="U13" s="14">
        <v>466515776</v>
      </c>
      <c r="V13" s="14">
        <v>517655739</v>
      </c>
      <c r="W13" s="14">
        <v>651086182</v>
      </c>
      <c r="X13" s="14">
        <v>617884939</v>
      </c>
      <c r="Y13" s="14">
        <v>507919165</v>
      </c>
      <c r="Z13" s="14">
        <v>603465663</v>
      </c>
      <c r="AA13" s="14">
        <v>147007916</v>
      </c>
      <c r="AB13" s="14">
        <v>631302971</v>
      </c>
      <c r="AC13" s="14">
        <v>699695123</v>
      </c>
      <c r="AD13" s="14">
        <v>854484433</v>
      </c>
      <c r="AE13" s="14">
        <v>862022364</v>
      </c>
      <c r="AF13" s="14">
        <v>1093552795</v>
      </c>
      <c r="AG13" s="14">
        <v>539758786</v>
      </c>
      <c r="AH13" s="14">
        <v>44321388</v>
      </c>
      <c r="AI13" s="14">
        <v>0</v>
      </c>
      <c r="AJ13" s="14">
        <v>48722388</v>
      </c>
      <c r="AK13" s="14">
        <v>76187496</v>
      </c>
      <c r="AL13" s="14">
        <v>68801482</v>
      </c>
      <c r="AM13" s="14">
        <v>28249626</v>
      </c>
      <c r="AN13" s="14">
        <v>91396439</v>
      </c>
      <c r="AO13" s="14">
        <v>93845376</v>
      </c>
      <c r="AP13" s="14">
        <v>109400024</v>
      </c>
      <c r="AQ13" s="14">
        <v>129996535</v>
      </c>
      <c r="AR13" s="14">
        <v>157601782</v>
      </c>
      <c r="AS13" s="14">
        <v>316883990</v>
      </c>
      <c r="AT13" s="14">
        <v>460461775</v>
      </c>
      <c r="AU13" s="14">
        <v>563909516</v>
      </c>
      <c r="AV13" s="14">
        <v>587315920</v>
      </c>
      <c r="AW13" s="14">
        <v>905708142</v>
      </c>
      <c r="AX13" s="14">
        <v>974310029</v>
      </c>
      <c r="AY13" s="14">
        <v>1115056080</v>
      </c>
      <c r="AZ13" s="14">
        <v>1160823006</v>
      </c>
      <c r="BA13" s="14">
        <v>939585045</v>
      </c>
      <c r="BB13" s="14">
        <v>859444105</v>
      </c>
      <c r="BC13" s="14">
        <v>840165515</v>
      </c>
      <c r="BD13" s="14">
        <v>889159081</v>
      </c>
      <c r="BE13" s="14">
        <v>1032562923</v>
      </c>
      <c r="BF13" s="14">
        <v>1114824276</v>
      </c>
      <c r="BG13" s="14">
        <v>928379281</v>
      </c>
      <c r="BH13" s="14">
        <v>673966789</v>
      </c>
      <c r="BI13" s="14">
        <v>888393452</v>
      </c>
      <c r="BJ13" s="14">
        <v>1186588729</v>
      </c>
      <c r="BK13" s="14">
        <v>1448899822</v>
      </c>
      <c r="BL13" s="14">
        <v>1242023326</v>
      </c>
      <c r="BM13" s="14">
        <v>1303560910</v>
      </c>
      <c r="BN13" s="14">
        <v>1595764355</v>
      </c>
      <c r="BO13" s="14">
        <v>1368802426</v>
      </c>
      <c r="BP13" s="14">
        <v>1256132292</v>
      </c>
      <c r="BQ13" s="14">
        <v>1256103396</v>
      </c>
      <c r="BR13" s="14">
        <v>1240115065</v>
      </c>
      <c r="BS13" s="14">
        <v>1156279418</v>
      </c>
      <c r="BT13" s="14">
        <v>959718564</v>
      </c>
      <c r="BU13" s="14">
        <v>1062084475</v>
      </c>
      <c r="BV13" s="14"/>
      <c r="BW13" s="14"/>
      <c r="BX13" s="14"/>
      <c r="BY13" s="14"/>
      <c r="BZ13" s="14"/>
      <c r="CA13" s="14"/>
      <c r="CB13" s="14"/>
      <c r="CC13" s="14"/>
    </row>
    <row r="14" spans="1:81">
      <c r="A14" s="12">
        <v>11</v>
      </c>
      <c r="B14" s="13" t="s">
        <v>93</v>
      </c>
      <c r="C14" s="12">
        <v>5</v>
      </c>
      <c r="D14" s="14">
        <f>SUM(Data_PL7[[#This Row],[T1.2021]:[T12.2021]])</f>
        <v>3009092451</v>
      </c>
      <c r="E14" s="14">
        <f>SUM(Data_PL7[[#This Row],[T1.2022]:[T12.2022]])</f>
        <v>14690021152</v>
      </c>
      <c r="F14" s="14">
        <f>SUM(Data_PL7[[#This Row],[T1.2023]:[T12.2023]])</f>
        <v>19132571517</v>
      </c>
      <c r="G14" s="14">
        <f>SUM(Data_PL7[[#This Row],[T01.2024]:[T12.2024]])</f>
        <v>50836279646</v>
      </c>
      <c r="H14" s="14">
        <f>SUM(Data_PL7[[#This Row],[T01.2025]:[T12.2025]])</f>
        <v>55101745592</v>
      </c>
      <c r="I14" s="14">
        <f>SUM(Data_PL7[[#This Row],[T01.2026]:[T12.2026]])</f>
        <v>19001448254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251616145</v>
      </c>
      <c r="R14" s="14">
        <v>680077987</v>
      </c>
      <c r="S14" s="14">
        <v>546329598</v>
      </c>
      <c r="T14" s="14">
        <v>967543289</v>
      </c>
      <c r="U14" s="14">
        <v>563525432</v>
      </c>
      <c r="V14" s="14">
        <v>496681104</v>
      </c>
      <c r="W14" s="14">
        <v>38696800</v>
      </c>
      <c r="X14" s="14">
        <v>1520204587</v>
      </c>
      <c r="Y14" s="14">
        <v>3287497220</v>
      </c>
      <c r="Z14" s="14">
        <v>563902784</v>
      </c>
      <c r="AA14" s="14">
        <v>802923682</v>
      </c>
      <c r="AB14" s="14">
        <v>1108487180</v>
      </c>
      <c r="AC14" s="14">
        <v>819028904</v>
      </c>
      <c r="AD14" s="14">
        <v>1282383810</v>
      </c>
      <c r="AE14" s="14">
        <v>1073636694</v>
      </c>
      <c r="AF14" s="14">
        <v>1462938929</v>
      </c>
      <c r="AG14" s="14">
        <v>2233639458</v>
      </c>
      <c r="AH14" s="14">
        <v>645459129</v>
      </c>
      <c r="AI14" s="14">
        <v>991254056</v>
      </c>
      <c r="AJ14" s="14">
        <v>1883160244</v>
      </c>
      <c r="AK14" s="14">
        <v>1145404547</v>
      </c>
      <c r="AL14" s="14">
        <v>1970368365</v>
      </c>
      <c r="AM14" s="14">
        <v>1459341885</v>
      </c>
      <c r="AN14" s="14">
        <v>1450399092</v>
      </c>
      <c r="AO14" s="14">
        <v>2363556660</v>
      </c>
      <c r="AP14" s="14">
        <v>1466584216</v>
      </c>
      <c r="AQ14" s="14">
        <v>2298997918</v>
      </c>
      <c r="AR14" s="14">
        <v>1849124450</v>
      </c>
      <c r="AS14" s="14">
        <v>1608920955</v>
      </c>
      <c r="AT14" s="14">
        <v>2846219487</v>
      </c>
      <c r="AU14" s="14">
        <v>1219456854</v>
      </c>
      <c r="AV14" s="14">
        <v>3715738043</v>
      </c>
      <c r="AW14" s="14">
        <v>4585159549</v>
      </c>
      <c r="AX14" s="14">
        <v>1693810954</v>
      </c>
      <c r="AY14" s="14">
        <v>2407466874</v>
      </c>
      <c r="AZ14" s="14">
        <v>2300964337</v>
      </c>
      <c r="BA14" s="14">
        <v>8205607205</v>
      </c>
      <c r="BB14" s="14">
        <v>7036529523</v>
      </c>
      <c r="BC14" s="14">
        <v>4608951194</v>
      </c>
      <c r="BD14" s="14">
        <v>1949627546</v>
      </c>
      <c r="BE14" s="14">
        <v>10266748080</v>
      </c>
      <c r="BF14" s="14">
        <v>4006424849</v>
      </c>
      <c r="BG14" s="14">
        <v>6313682258</v>
      </c>
      <c r="BH14" s="14">
        <v>5091544776</v>
      </c>
      <c r="BI14" s="14">
        <v>4077126734</v>
      </c>
      <c r="BJ14" s="14">
        <v>4686536575</v>
      </c>
      <c r="BK14" s="14">
        <v>4796729528</v>
      </c>
      <c r="BL14" s="14">
        <v>3449972349</v>
      </c>
      <c r="BM14" s="14">
        <v>4949095751</v>
      </c>
      <c r="BN14" s="14">
        <v>2811598286</v>
      </c>
      <c r="BO14" s="14">
        <v>6688603934</v>
      </c>
      <c r="BP14" s="14">
        <v>3413749635</v>
      </c>
      <c r="BQ14" s="14">
        <v>4816680917</v>
      </c>
      <c r="BR14" s="14">
        <v>3731798004</v>
      </c>
      <c r="BS14" s="14">
        <v>3202645336</v>
      </c>
      <c r="BT14" s="14">
        <v>6245695788</v>
      </c>
      <c r="BU14" s="14">
        <v>5821309126</v>
      </c>
      <c r="BV14" s="14"/>
      <c r="BW14" s="14"/>
      <c r="BX14" s="14"/>
      <c r="BY14" s="14"/>
      <c r="BZ14" s="14"/>
      <c r="CA14" s="14"/>
      <c r="CB14" s="14"/>
      <c r="CC14" s="14"/>
    </row>
    <row r="15" spans="1:81">
      <c r="A15" s="12">
        <v>12</v>
      </c>
      <c r="B15" s="13" t="s">
        <v>94</v>
      </c>
      <c r="C15" s="12">
        <v>5</v>
      </c>
      <c r="D15" s="14">
        <f>SUM(Data_PL7[[#This Row],[T1.2021]:[T12.2021]])</f>
        <v>11203395485</v>
      </c>
      <c r="E15" s="14">
        <f>SUM(Data_PL7[[#This Row],[T1.2022]:[T12.2022]])</f>
        <v>29733399077</v>
      </c>
      <c r="F15" s="14">
        <f>SUM(Data_PL7[[#This Row],[T1.2023]:[T12.2023]])</f>
        <v>40274613810</v>
      </c>
      <c r="G15" s="14">
        <f>SUM(Data_PL7[[#This Row],[T01.2024]:[T12.2024]])</f>
        <v>70102214341</v>
      </c>
      <c r="H15" s="14">
        <f>SUM(Data_PL7[[#This Row],[T01.2025]:[T12.2025]])</f>
        <v>98715170412</v>
      </c>
      <c r="I15" s="14">
        <f>SUM(Data_PL7[[#This Row],[T01.2026]:[T12.2026]])</f>
        <v>31832287701</v>
      </c>
      <c r="J15" s="14">
        <v>457415751</v>
      </c>
      <c r="K15" s="14">
        <v>619384345</v>
      </c>
      <c r="L15" s="14">
        <v>707076077</v>
      </c>
      <c r="M15" s="14">
        <v>816715935</v>
      </c>
      <c r="N15" s="14">
        <v>827613489</v>
      </c>
      <c r="O15" s="14">
        <v>624184259</v>
      </c>
      <c r="P15" s="14">
        <v>2510720411</v>
      </c>
      <c r="Q15" s="14">
        <v>569609208</v>
      </c>
      <c r="R15" s="14">
        <v>536039299</v>
      </c>
      <c r="S15" s="14">
        <v>941857345</v>
      </c>
      <c r="T15" s="14">
        <v>3424596971</v>
      </c>
      <c r="U15" s="14">
        <v>-831817605</v>
      </c>
      <c r="V15" s="14">
        <v>1435430845</v>
      </c>
      <c r="W15" s="14">
        <v>1479188151</v>
      </c>
      <c r="X15" s="14">
        <v>1624743284</v>
      </c>
      <c r="Y15" s="14">
        <v>1725353483</v>
      </c>
      <c r="Z15" s="14">
        <v>1803134313</v>
      </c>
      <c r="AA15" s="14">
        <v>1872200320</v>
      </c>
      <c r="AB15" s="14">
        <v>1882239518</v>
      </c>
      <c r="AC15" s="14">
        <v>2444716491</v>
      </c>
      <c r="AD15" s="14">
        <v>2755381317</v>
      </c>
      <c r="AE15" s="14">
        <v>3239626198</v>
      </c>
      <c r="AF15" s="14">
        <v>3143544394</v>
      </c>
      <c r="AG15" s="14">
        <v>6327840763</v>
      </c>
      <c r="AH15" s="14">
        <v>2772788125</v>
      </c>
      <c r="AI15" s="14">
        <v>2947588122</v>
      </c>
      <c r="AJ15" s="14">
        <v>3098829707</v>
      </c>
      <c r="AK15" s="14">
        <v>3036290770</v>
      </c>
      <c r="AL15" s="14">
        <v>3448026712</v>
      </c>
      <c r="AM15" s="14">
        <v>3261800788</v>
      </c>
      <c r="AN15" s="14">
        <v>3348437381</v>
      </c>
      <c r="AO15" s="14">
        <v>1910475796</v>
      </c>
      <c r="AP15" s="14">
        <v>3536419913</v>
      </c>
      <c r="AQ15" s="14">
        <v>3592592574</v>
      </c>
      <c r="AR15" s="14">
        <v>3600549435</v>
      </c>
      <c r="AS15" s="14">
        <v>5720814487</v>
      </c>
      <c r="AT15" s="14">
        <v>5241377343</v>
      </c>
      <c r="AU15" s="14">
        <v>4647980221</v>
      </c>
      <c r="AV15" s="14">
        <v>4838115306</v>
      </c>
      <c r="AW15" s="14">
        <v>5132788494</v>
      </c>
      <c r="AX15" s="14">
        <v>5665606587</v>
      </c>
      <c r="AY15" s="14">
        <v>5470797521</v>
      </c>
      <c r="AZ15" s="14">
        <v>5239042307</v>
      </c>
      <c r="BA15" s="14">
        <v>6065017937</v>
      </c>
      <c r="BB15" s="14">
        <v>7524726581</v>
      </c>
      <c r="BC15" s="14">
        <v>7016385931</v>
      </c>
      <c r="BD15" s="14">
        <v>7426888275</v>
      </c>
      <c r="BE15" s="14">
        <v>5833487838</v>
      </c>
      <c r="BF15" s="14">
        <v>7638868570</v>
      </c>
      <c r="BG15" s="14">
        <v>7013534740</v>
      </c>
      <c r="BH15" s="14">
        <v>7332584934</v>
      </c>
      <c r="BI15" s="14">
        <v>7155903324</v>
      </c>
      <c r="BJ15" s="14">
        <v>7948694673</v>
      </c>
      <c r="BK15" s="14">
        <v>7721648228</v>
      </c>
      <c r="BL15" s="14">
        <v>7616453256</v>
      </c>
      <c r="BM15" s="14">
        <v>7931593154</v>
      </c>
      <c r="BN15" s="14">
        <v>9422194647</v>
      </c>
      <c r="BO15" s="14">
        <v>3775611792</v>
      </c>
      <c r="BP15" s="14">
        <v>9875644458</v>
      </c>
      <c r="BQ15" s="14">
        <v>15282438636</v>
      </c>
      <c r="BR15" s="14">
        <v>8394130638</v>
      </c>
      <c r="BS15" s="14">
        <v>7959394332</v>
      </c>
      <c r="BT15" s="14">
        <v>7329810589</v>
      </c>
      <c r="BU15" s="14">
        <v>8148952142</v>
      </c>
      <c r="BV15" s="14"/>
      <c r="BW15" s="14"/>
      <c r="BX15" s="14"/>
      <c r="BY15" s="14"/>
      <c r="BZ15" s="14"/>
      <c r="CA15" s="14"/>
      <c r="CB15" s="14"/>
      <c r="CC15" s="14"/>
    </row>
    <row r="16" spans="1:81">
      <c r="A16" s="9">
        <v>13</v>
      </c>
      <c r="B16" s="10" t="s">
        <v>95</v>
      </c>
      <c r="C16" s="9">
        <v>5</v>
      </c>
      <c r="D16" s="11">
        <f>SUM(Data_PL7[[#This Row],[T1.2021]:[T12.2021]])</f>
        <v>5337309604</v>
      </c>
      <c r="E16" s="11">
        <f>SUM(Data_PL7[[#This Row],[T1.2022]:[T12.2022]])</f>
        <v>-6044152136</v>
      </c>
      <c r="F16" s="11">
        <f>SUM(Data_PL7[[#This Row],[T1.2023]:[T12.2023]])</f>
        <v>113776714431</v>
      </c>
      <c r="G16" s="11">
        <f>SUM(Data_PL7[[#This Row],[T01.2024]:[T12.2024]])</f>
        <v>74232630581</v>
      </c>
      <c r="H16" s="11">
        <f>SUM(Data_PL7[[#This Row],[T01.2025]:[T12.2025]])</f>
        <v>38578546121</v>
      </c>
      <c r="I16" s="11">
        <f>SUM(Data_PL7[[#This Row],[T01.2026]:[T12.2026]])</f>
        <v>-10870908667</v>
      </c>
      <c r="J16" s="11">
        <v>-145242364</v>
      </c>
      <c r="K16" s="11">
        <v>-561242112</v>
      </c>
      <c r="L16" s="11">
        <v>1079880079</v>
      </c>
      <c r="M16" s="11">
        <v>412369142</v>
      </c>
      <c r="N16" s="11">
        <v>-831102586</v>
      </c>
      <c r="O16" s="11">
        <v>-937389304</v>
      </c>
      <c r="P16" s="11">
        <v>3147473719</v>
      </c>
      <c r="Q16" s="11">
        <v>1027070127</v>
      </c>
      <c r="R16" s="11">
        <v>2126978303</v>
      </c>
      <c r="S16" s="11">
        <v>469318201</v>
      </c>
      <c r="T16" s="11">
        <v>-2520958524</v>
      </c>
      <c r="U16" s="11">
        <v>2070154923</v>
      </c>
      <c r="V16" s="11">
        <v>-364468934</v>
      </c>
      <c r="W16" s="11">
        <v>-1428839181</v>
      </c>
      <c r="X16" s="11">
        <v>545981904</v>
      </c>
      <c r="Y16" s="11">
        <v>1650096564</v>
      </c>
      <c r="Z16" s="11">
        <v>2456936062</v>
      </c>
      <c r="AA16" s="11">
        <v>2026651135</v>
      </c>
      <c r="AB16" s="11">
        <v>1377966393</v>
      </c>
      <c r="AC16" s="11">
        <v>3101161984</v>
      </c>
      <c r="AD16" s="11">
        <v>885699606</v>
      </c>
      <c r="AE16" s="11">
        <v>-393669160</v>
      </c>
      <c r="AF16" s="11">
        <v>-1460282402</v>
      </c>
      <c r="AG16" s="11">
        <v>-14441386107</v>
      </c>
      <c r="AH16" s="11">
        <v>724630559</v>
      </c>
      <c r="AI16" s="11">
        <v>-2654785583</v>
      </c>
      <c r="AJ16" s="11">
        <v>-7224620343</v>
      </c>
      <c r="AK16" s="11">
        <v>-2938680602</v>
      </c>
      <c r="AL16" s="11">
        <v>2786324124</v>
      </c>
      <c r="AM16" s="11">
        <v>39020306342</v>
      </c>
      <c r="AN16" s="11">
        <v>4428971361</v>
      </c>
      <c r="AO16" s="11">
        <v>12407993027</v>
      </c>
      <c r="AP16" s="11">
        <v>22901435976</v>
      </c>
      <c r="AQ16" s="11">
        <v>17510693234</v>
      </c>
      <c r="AR16" s="11">
        <v>9200105319</v>
      </c>
      <c r="AS16" s="11">
        <v>17614341017</v>
      </c>
      <c r="AT16" s="11">
        <v>1933695736</v>
      </c>
      <c r="AU16" s="11">
        <v>-5270660796</v>
      </c>
      <c r="AV16" s="11">
        <v>-2937512643</v>
      </c>
      <c r="AW16" s="11">
        <v>2475246742</v>
      </c>
      <c r="AX16" s="11">
        <v>-4117202543</v>
      </c>
      <c r="AY16" s="11">
        <v>-10105774890</v>
      </c>
      <c r="AZ16" s="11">
        <v>-13571603862</v>
      </c>
      <c r="BA16" s="11">
        <v>-8460674377</v>
      </c>
      <c r="BB16" s="11">
        <v>9675868151</v>
      </c>
      <c r="BC16" s="11">
        <v>-4807983867</v>
      </c>
      <c r="BD16" s="11">
        <v>-4640581121</v>
      </c>
      <c r="BE16" s="11">
        <v>114059814051</v>
      </c>
      <c r="BF16" s="11">
        <v>5762022698</v>
      </c>
      <c r="BG16" s="11">
        <v>20541037329</v>
      </c>
      <c r="BH16" s="11">
        <v>8348281164</v>
      </c>
      <c r="BI16" s="11">
        <v>4412167173</v>
      </c>
      <c r="BJ16" s="11">
        <v>11097005663</v>
      </c>
      <c r="BK16" s="11">
        <v>1310222046</v>
      </c>
      <c r="BL16" s="11">
        <v>-1670593931</v>
      </c>
      <c r="BM16" s="11">
        <v>592817173</v>
      </c>
      <c r="BN16" s="11">
        <v>-11011661349</v>
      </c>
      <c r="BO16" s="11">
        <v>-1686591557</v>
      </c>
      <c r="BP16" s="11">
        <v>-6668379119</v>
      </c>
      <c r="BQ16" s="11">
        <v>7552218831</v>
      </c>
      <c r="BR16" s="11">
        <v>-1586656660</v>
      </c>
      <c r="BS16" s="11">
        <v>-6268283537</v>
      </c>
      <c r="BT16" s="11">
        <v>-6785612190</v>
      </c>
      <c r="BU16" s="11">
        <v>3769643720</v>
      </c>
      <c r="BV16" s="11"/>
      <c r="BW16" s="11"/>
      <c r="BX16" s="11"/>
      <c r="BY16" s="11"/>
      <c r="BZ16" s="11"/>
      <c r="CA16" s="11"/>
      <c r="CB16" s="11"/>
      <c r="CC16" s="11"/>
    </row>
    <row r="17" spans="1:81">
      <c r="A17" s="12">
        <v>14</v>
      </c>
      <c r="B17" s="13" t="s">
        <v>96</v>
      </c>
      <c r="C17" s="12">
        <v>5</v>
      </c>
      <c r="D17" s="14">
        <f>SUM(Data_PL7[[#This Row],[T1.2021]:[T12.2021]])</f>
        <v>18771710496</v>
      </c>
      <c r="E17" s="14">
        <f>SUM(Data_PL7[[#This Row],[T1.2022]:[T12.2022]])</f>
        <v>92779904880</v>
      </c>
      <c r="F17" s="14">
        <f>SUM(Data_PL7[[#This Row],[T1.2023]:[T12.2023]])</f>
        <v>17391162</v>
      </c>
      <c r="G17" s="14">
        <f>SUM(Data_PL7[[#This Row],[T01.2024]:[T12.2024]])</f>
        <v>1503561903</v>
      </c>
      <c r="H17" s="14">
        <f>SUM(Data_PL7[[#This Row],[T01.2025]:[T12.2025]])</f>
        <v>454238633</v>
      </c>
      <c r="I17" s="14">
        <f>SUM(Data_PL7[[#This Row],[T01.2026]:[T12.2026]])</f>
        <v>11703115</v>
      </c>
      <c r="J17" s="14">
        <v>0</v>
      </c>
      <c r="K17" s="14">
        <v>299375994</v>
      </c>
      <c r="L17" s="14">
        <v>787003464</v>
      </c>
      <c r="M17" s="14">
        <v>853324557</v>
      </c>
      <c r="N17" s="14">
        <v>610174630</v>
      </c>
      <c r="O17" s="14">
        <v>1291891103</v>
      </c>
      <c r="P17" s="14">
        <v>8989972067</v>
      </c>
      <c r="Q17" s="14">
        <v>40395118</v>
      </c>
      <c r="R17" s="14">
        <v>2077248</v>
      </c>
      <c r="S17" s="14">
        <v>399581022</v>
      </c>
      <c r="T17" s="14">
        <v>2510200174</v>
      </c>
      <c r="U17" s="14">
        <v>2987715119</v>
      </c>
      <c r="V17" s="14">
        <v>5351841304</v>
      </c>
      <c r="W17" s="14">
        <v>240544660</v>
      </c>
      <c r="X17" s="14">
        <v>164167319</v>
      </c>
      <c r="Y17" s="14">
        <v>0</v>
      </c>
      <c r="Z17" s="14">
        <v>397562937</v>
      </c>
      <c r="AA17" s="14">
        <v>263298162</v>
      </c>
      <c r="AB17" s="14">
        <v>116035636</v>
      </c>
      <c r="AC17" s="14">
        <v>406946130</v>
      </c>
      <c r="AD17" s="14">
        <v>1142849269</v>
      </c>
      <c r="AE17" s="14">
        <v>973159654</v>
      </c>
      <c r="AF17" s="14">
        <v>4531212183</v>
      </c>
      <c r="AG17" s="14">
        <v>79192287626</v>
      </c>
      <c r="AH17" s="14">
        <v>332026</v>
      </c>
      <c r="AI17" s="14">
        <v>0</v>
      </c>
      <c r="AJ17" s="14">
        <v>2</v>
      </c>
      <c r="AK17" s="14">
        <v>1</v>
      </c>
      <c r="AL17" s="14">
        <v>0</v>
      </c>
      <c r="AM17" s="14">
        <v>425</v>
      </c>
      <c r="AN17" s="14">
        <v>0</v>
      </c>
      <c r="AO17" s="14">
        <v>0</v>
      </c>
      <c r="AP17" s="14">
        <v>0</v>
      </c>
      <c r="AQ17" s="14">
        <v>0</v>
      </c>
      <c r="AR17" s="14">
        <v>8116</v>
      </c>
      <c r="AS17" s="14">
        <v>17050592</v>
      </c>
      <c r="AT17" s="14">
        <v>1945</v>
      </c>
      <c r="AU17" s="14">
        <v>12000</v>
      </c>
      <c r="AV17" s="14">
        <v>0</v>
      </c>
      <c r="AW17" s="14">
        <v>0</v>
      </c>
      <c r="AX17" s="14">
        <v>203</v>
      </c>
      <c r="AY17" s="14">
        <v>58510228</v>
      </c>
      <c r="AZ17" s="14">
        <v>52918371</v>
      </c>
      <c r="BA17" s="14">
        <v>177726993</v>
      </c>
      <c r="BB17" s="14">
        <v>999</v>
      </c>
      <c r="BC17" s="14">
        <v>196700</v>
      </c>
      <c r="BD17" s="14">
        <v>1398763491</v>
      </c>
      <c r="BE17" s="14">
        <v>-184569027</v>
      </c>
      <c r="BF17" s="14">
        <v>500207</v>
      </c>
      <c r="BG17" s="14">
        <v>2492480</v>
      </c>
      <c r="BH17" s="14">
        <v>2600082</v>
      </c>
      <c r="BI17" s="14">
        <v>33918440</v>
      </c>
      <c r="BJ17" s="14">
        <v>115000000</v>
      </c>
      <c r="BK17" s="14">
        <v>2020926</v>
      </c>
      <c r="BL17" s="14">
        <v>9788652</v>
      </c>
      <c r="BM17" s="14">
        <v>244500606</v>
      </c>
      <c r="BN17" s="14">
        <v>742</v>
      </c>
      <c r="BO17" s="14">
        <v>819591</v>
      </c>
      <c r="BP17" s="14">
        <v>110446</v>
      </c>
      <c r="BQ17" s="14">
        <v>42486461</v>
      </c>
      <c r="BR17" s="14">
        <v>4505</v>
      </c>
      <c r="BS17" s="14">
        <v>70001</v>
      </c>
      <c r="BT17" s="14">
        <v>1144804</v>
      </c>
      <c r="BU17" s="14">
        <v>10483805</v>
      </c>
      <c r="BV17" s="14"/>
      <c r="BW17" s="14"/>
      <c r="BX17" s="14"/>
      <c r="BY17" s="14"/>
      <c r="BZ17" s="14"/>
      <c r="CA17" s="14"/>
      <c r="CB17" s="14"/>
      <c r="CC17" s="14"/>
    </row>
    <row r="18" spans="1:81">
      <c r="A18" s="12">
        <v>15</v>
      </c>
      <c r="B18" s="13" t="s">
        <v>97</v>
      </c>
      <c r="C18" s="12">
        <v>5</v>
      </c>
      <c r="D18" s="14">
        <f>SUM(Data_PL7[[#This Row],[T1.2021]:[T12.2021]])</f>
        <v>3720756403</v>
      </c>
      <c r="E18" s="14">
        <f>SUM(Data_PL7[[#This Row],[T1.2022]:[T12.2022]])</f>
        <v>5507730098</v>
      </c>
      <c r="F18" s="14">
        <f>SUM(Data_PL7[[#This Row],[T1.2023]:[T12.2023]])</f>
        <v>198294222</v>
      </c>
      <c r="G18" s="14">
        <f>SUM(Data_PL7[[#This Row],[T01.2024]:[T12.2024]])</f>
        <v>8884638060</v>
      </c>
      <c r="H18" s="14">
        <f>SUM(Data_PL7[[#This Row],[T01.2025]:[T12.2025]])</f>
        <v>7634668922</v>
      </c>
      <c r="I18" s="14">
        <f>SUM(Data_PL7[[#This Row],[T01.2026]:[T12.2026]])</f>
        <v>368182201</v>
      </c>
      <c r="J18" s="14">
        <v>77565</v>
      </c>
      <c r="K18" s="14">
        <v>0</v>
      </c>
      <c r="L18" s="14">
        <v>0</v>
      </c>
      <c r="M18" s="14">
        <v>0</v>
      </c>
      <c r="N18" s="14">
        <v>6136364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3714542474</v>
      </c>
      <c r="V18" s="14">
        <v>0</v>
      </c>
      <c r="W18" s="14">
        <v>274745</v>
      </c>
      <c r="X18" s="14">
        <v>2093722658</v>
      </c>
      <c r="Y18" s="14">
        <v>631668424</v>
      </c>
      <c r="Z18" s="14">
        <v>567391744</v>
      </c>
      <c r="AA18" s="14">
        <v>150706725</v>
      </c>
      <c r="AB18" s="14">
        <v>2322906</v>
      </c>
      <c r="AC18" s="14">
        <v>1880704</v>
      </c>
      <c r="AD18" s="14">
        <v>593797145</v>
      </c>
      <c r="AE18" s="14">
        <v>15441</v>
      </c>
      <c r="AF18" s="14">
        <v>441600828</v>
      </c>
      <c r="AG18" s="14">
        <v>1024348778</v>
      </c>
      <c r="AH18" s="14">
        <v>1</v>
      </c>
      <c r="AI18" s="14">
        <v>236</v>
      </c>
      <c r="AJ18" s="14">
        <v>0</v>
      </c>
      <c r="AK18" s="14">
        <v>7135172</v>
      </c>
      <c r="AL18" s="14">
        <v>3500000</v>
      </c>
      <c r="AM18" s="14">
        <v>99064</v>
      </c>
      <c r="AN18" s="14">
        <v>0</v>
      </c>
      <c r="AO18" s="14">
        <v>-36000</v>
      </c>
      <c r="AP18" s="14">
        <v>0</v>
      </c>
      <c r="AQ18" s="14">
        <v>0</v>
      </c>
      <c r="AR18" s="14">
        <v>0</v>
      </c>
      <c r="AS18" s="14">
        <v>187595749</v>
      </c>
      <c r="AT18" s="14">
        <v>7958068</v>
      </c>
      <c r="AU18" s="14">
        <v>1</v>
      </c>
      <c r="AV18" s="14">
        <v>21796958</v>
      </c>
      <c r="AW18" s="14">
        <v>2</v>
      </c>
      <c r="AX18" s="14">
        <v>36200000</v>
      </c>
      <c r="AY18" s="14">
        <v>168183405</v>
      </c>
      <c r="AZ18" s="14">
        <v>6000002</v>
      </c>
      <c r="BA18" s="14">
        <v>601</v>
      </c>
      <c r="BB18" s="14">
        <v>2601033</v>
      </c>
      <c r="BC18" s="14">
        <v>170398064</v>
      </c>
      <c r="BD18" s="14">
        <v>202496</v>
      </c>
      <c r="BE18" s="14">
        <v>8471297430</v>
      </c>
      <c r="BF18" s="14">
        <v>1251667</v>
      </c>
      <c r="BG18" s="14">
        <v>130033300</v>
      </c>
      <c r="BH18" s="14">
        <v>0</v>
      </c>
      <c r="BI18" s="14">
        <v>17808640</v>
      </c>
      <c r="BJ18" s="14">
        <v>600</v>
      </c>
      <c r="BK18" s="14">
        <v>50477376</v>
      </c>
      <c r="BL18" s="14">
        <v>130663204</v>
      </c>
      <c r="BM18" s="14">
        <v>539898446</v>
      </c>
      <c r="BN18" s="14">
        <v>539664890</v>
      </c>
      <c r="BO18" s="14">
        <v>3515574706</v>
      </c>
      <c r="BP18" s="14">
        <v>1106262251</v>
      </c>
      <c r="BQ18" s="14">
        <v>1603033842</v>
      </c>
      <c r="BR18" s="14">
        <v>106808581</v>
      </c>
      <c r="BS18" s="14">
        <v>151000202</v>
      </c>
      <c r="BT18" s="14">
        <v>34000105</v>
      </c>
      <c r="BU18" s="14">
        <v>76373313</v>
      </c>
      <c r="BV18" s="14"/>
      <c r="BW18" s="14"/>
      <c r="BX18" s="14"/>
      <c r="BY18" s="14"/>
      <c r="BZ18" s="14"/>
      <c r="CA18" s="14"/>
      <c r="CB18" s="14"/>
      <c r="CC18" s="14"/>
    </row>
    <row r="19" spans="1:81">
      <c r="A19" s="9">
        <v>16</v>
      </c>
      <c r="B19" s="10" t="s">
        <v>98</v>
      </c>
      <c r="C19" s="9">
        <v>5</v>
      </c>
      <c r="D19" s="11">
        <f>SUM(Data_PL7[[#This Row],[T1.2021]:[T12.2021]])</f>
        <v>15050954093</v>
      </c>
      <c r="E19" s="11">
        <f>SUM(Data_PL7[[#This Row],[T1.2022]:[T12.2022]])</f>
        <v>87272174782</v>
      </c>
      <c r="F19" s="11">
        <f>SUM(Data_PL7[[#This Row],[T1.2023]:[T12.2023]])</f>
        <v>-180903060</v>
      </c>
      <c r="G19" s="11">
        <f>SUM(Data_PL7[[#This Row],[T01.2024]:[T12.2024]])</f>
        <v>-7381076157</v>
      </c>
      <c r="H19" s="11">
        <f>SUM(Data_PL7[[#This Row],[T01.2025]:[T12.2025]])</f>
        <v>-7180430289</v>
      </c>
      <c r="I19" s="11">
        <f>SUM(Data_PL7[[#This Row],[T01.2026]:[T12.2026]])</f>
        <v>-356479086</v>
      </c>
      <c r="J19" s="11">
        <v>-77565</v>
      </c>
      <c r="K19" s="11">
        <v>299375994</v>
      </c>
      <c r="L19" s="11">
        <v>787003464</v>
      </c>
      <c r="M19" s="11">
        <v>853324557</v>
      </c>
      <c r="N19" s="11">
        <v>604038266</v>
      </c>
      <c r="O19" s="11">
        <v>1291891103</v>
      </c>
      <c r="P19" s="11">
        <v>8989972067</v>
      </c>
      <c r="Q19" s="11">
        <v>40395118</v>
      </c>
      <c r="R19" s="11">
        <v>2077248</v>
      </c>
      <c r="S19" s="11">
        <v>399581022</v>
      </c>
      <c r="T19" s="11">
        <v>2510200174</v>
      </c>
      <c r="U19" s="11">
        <v>-726827355</v>
      </c>
      <c r="V19" s="11">
        <v>5351841304</v>
      </c>
      <c r="W19" s="11">
        <v>240269915</v>
      </c>
      <c r="X19" s="11">
        <v>-1929555339</v>
      </c>
      <c r="Y19" s="11">
        <v>-631668424</v>
      </c>
      <c r="Z19" s="11">
        <v>-169828807</v>
      </c>
      <c r="AA19" s="11">
        <v>112591437</v>
      </c>
      <c r="AB19" s="11">
        <v>113712730</v>
      </c>
      <c r="AC19" s="11">
        <v>405065426</v>
      </c>
      <c r="AD19" s="11">
        <v>549052124</v>
      </c>
      <c r="AE19" s="11">
        <v>973144213</v>
      </c>
      <c r="AF19" s="11">
        <v>4089611355</v>
      </c>
      <c r="AG19" s="11">
        <v>78167938848</v>
      </c>
      <c r="AH19" s="11">
        <v>332025</v>
      </c>
      <c r="AI19" s="11">
        <v>-236</v>
      </c>
      <c r="AJ19" s="11">
        <v>2</v>
      </c>
      <c r="AK19" s="11">
        <v>-7135171</v>
      </c>
      <c r="AL19" s="11">
        <v>-3500000</v>
      </c>
      <c r="AM19" s="11">
        <v>-98639</v>
      </c>
      <c r="AN19" s="11">
        <v>0</v>
      </c>
      <c r="AO19" s="11">
        <v>36000</v>
      </c>
      <c r="AP19" s="11">
        <v>0</v>
      </c>
      <c r="AQ19" s="11">
        <v>0</v>
      </c>
      <c r="AR19" s="11">
        <v>8116</v>
      </c>
      <c r="AS19" s="11">
        <v>-170545157</v>
      </c>
      <c r="AT19" s="11">
        <v>-7956123</v>
      </c>
      <c r="AU19" s="11">
        <v>11999</v>
      </c>
      <c r="AV19" s="11">
        <v>-21796958</v>
      </c>
      <c r="AW19" s="11">
        <v>-2</v>
      </c>
      <c r="AX19" s="11">
        <v>-36199797</v>
      </c>
      <c r="AY19" s="11">
        <v>-109673177</v>
      </c>
      <c r="AZ19" s="11">
        <v>46918369</v>
      </c>
      <c r="BA19" s="11">
        <v>177726392</v>
      </c>
      <c r="BB19" s="11">
        <v>-2600034</v>
      </c>
      <c r="BC19" s="11">
        <v>-170201364</v>
      </c>
      <c r="BD19" s="11">
        <v>1398560995</v>
      </c>
      <c r="BE19" s="11">
        <v>-8655866457</v>
      </c>
      <c r="BF19" s="11">
        <v>-751460</v>
      </c>
      <c r="BG19" s="11">
        <v>-127540820</v>
      </c>
      <c r="BH19" s="11">
        <v>2600082</v>
      </c>
      <c r="BI19" s="11">
        <v>16109800</v>
      </c>
      <c r="BJ19" s="11">
        <v>114999400</v>
      </c>
      <c r="BK19" s="11">
        <v>-48456450</v>
      </c>
      <c r="BL19" s="11">
        <v>-120874552</v>
      </c>
      <c r="BM19" s="11">
        <v>-295397840</v>
      </c>
      <c r="BN19" s="11">
        <v>-539664148</v>
      </c>
      <c r="BO19" s="11">
        <v>-3514755115</v>
      </c>
      <c r="BP19" s="11">
        <v>-1106151805</v>
      </c>
      <c r="BQ19" s="11">
        <v>-1560547381</v>
      </c>
      <c r="BR19" s="11">
        <v>-106804076</v>
      </c>
      <c r="BS19" s="11">
        <v>-150930201</v>
      </c>
      <c r="BT19" s="11">
        <v>-32855301</v>
      </c>
      <c r="BU19" s="11">
        <v>-65889508</v>
      </c>
      <c r="BV19" s="11"/>
      <c r="BW19" s="11"/>
      <c r="BX19" s="11"/>
      <c r="BY19" s="11"/>
      <c r="BZ19" s="11"/>
      <c r="CA19" s="11"/>
      <c r="CB19" s="11"/>
      <c r="CC19" s="11"/>
    </row>
    <row r="20" spans="1:81">
      <c r="A20" s="15">
        <v>17</v>
      </c>
      <c r="B20" s="10" t="s">
        <v>99</v>
      </c>
      <c r="C20" s="15">
        <v>5</v>
      </c>
      <c r="D20" s="16">
        <f>SUM(Data_PL7[[#This Row],[T1.2021]:[T12.2021]])</f>
        <v>20388263697</v>
      </c>
      <c r="E20" s="16">
        <f>SUM(Data_PL7[[#This Row],[T1.2022]:[T12.2022]])</f>
        <v>81228022646</v>
      </c>
      <c r="F20" s="16">
        <f>SUM(Data_PL7[[#This Row],[T1.2023]:[T12.2023]])</f>
        <v>113595811371</v>
      </c>
      <c r="G20" s="16">
        <f>SUM(Data_PL7[[#This Row],[T01.2024]:[T12.2024]])</f>
        <v>66851554424</v>
      </c>
      <c r="H20" s="16">
        <f>SUM(Data_PL7[[#This Row],[T01.2025]:[T12.2025]])</f>
        <v>31398115832</v>
      </c>
      <c r="I20" s="16">
        <f>SUM(Data_PL7[[#This Row],[T01.2026]:[T12.2026]])</f>
        <v>-11227387753</v>
      </c>
      <c r="J20" s="16">
        <v>-145319929</v>
      </c>
      <c r="K20" s="16">
        <v>-261866118</v>
      </c>
      <c r="L20" s="16">
        <v>1866883543</v>
      </c>
      <c r="M20" s="16">
        <v>1265693699</v>
      </c>
      <c r="N20" s="16">
        <v>-227064320</v>
      </c>
      <c r="O20" s="16">
        <v>354501799</v>
      </c>
      <c r="P20" s="16">
        <v>12137445786</v>
      </c>
      <c r="Q20" s="16">
        <v>1067465245</v>
      </c>
      <c r="R20" s="16">
        <v>2129055551</v>
      </c>
      <c r="S20" s="16">
        <v>868899223</v>
      </c>
      <c r="T20" s="16">
        <v>-10758350</v>
      </c>
      <c r="U20" s="16">
        <v>1343327568</v>
      </c>
      <c r="V20" s="16">
        <v>4987372370</v>
      </c>
      <c r="W20" s="16">
        <v>-1188569266</v>
      </c>
      <c r="X20" s="16">
        <v>-1383573435</v>
      </c>
      <c r="Y20" s="16">
        <v>1018428140</v>
      </c>
      <c r="Z20" s="16">
        <v>2287107255</v>
      </c>
      <c r="AA20" s="16">
        <v>2139242572</v>
      </c>
      <c r="AB20" s="16">
        <v>1491679123</v>
      </c>
      <c r="AC20" s="16">
        <v>3506227410</v>
      </c>
      <c r="AD20" s="16">
        <v>1434751730</v>
      </c>
      <c r="AE20" s="16">
        <v>579475053</v>
      </c>
      <c r="AF20" s="16">
        <v>2629328953</v>
      </c>
      <c r="AG20" s="16">
        <v>63726552741</v>
      </c>
      <c r="AH20" s="16">
        <v>724962584</v>
      </c>
      <c r="AI20" s="16">
        <v>-2654785819</v>
      </c>
      <c r="AJ20" s="16">
        <v>-7224620341</v>
      </c>
      <c r="AK20" s="16">
        <v>-2945815773</v>
      </c>
      <c r="AL20" s="16">
        <v>2782824124</v>
      </c>
      <c r="AM20" s="16">
        <v>39020207703</v>
      </c>
      <c r="AN20" s="16">
        <v>4428971361</v>
      </c>
      <c r="AO20" s="16">
        <v>12408029027</v>
      </c>
      <c r="AP20" s="16">
        <v>22901435976</v>
      </c>
      <c r="AQ20" s="16">
        <v>17510693234</v>
      </c>
      <c r="AR20" s="16">
        <v>9200113435</v>
      </c>
      <c r="AS20" s="16">
        <v>17443795860</v>
      </c>
      <c r="AT20" s="16">
        <v>1925739613</v>
      </c>
      <c r="AU20" s="16">
        <v>-5270648797</v>
      </c>
      <c r="AV20" s="16">
        <v>-2959309601</v>
      </c>
      <c r="AW20" s="16">
        <v>2475246740</v>
      </c>
      <c r="AX20" s="16">
        <v>-4153402340</v>
      </c>
      <c r="AY20" s="16">
        <v>-10215448067</v>
      </c>
      <c r="AZ20" s="16">
        <v>-13524685493</v>
      </c>
      <c r="BA20" s="16">
        <v>-8282947985</v>
      </c>
      <c r="BB20" s="16">
        <v>9673268117</v>
      </c>
      <c r="BC20" s="16">
        <v>-4978185231</v>
      </c>
      <c r="BD20" s="16">
        <v>-3242020126</v>
      </c>
      <c r="BE20" s="16">
        <v>105403947594</v>
      </c>
      <c r="BF20" s="16">
        <v>5761271238</v>
      </c>
      <c r="BG20" s="16">
        <v>20413496509</v>
      </c>
      <c r="BH20" s="16">
        <v>8350881246</v>
      </c>
      <c r="BI20" s="16">
        <v>4428276973</v>
      </c>
      <c r="BJ20" s="16">
        <v>11212005063</v>
      </c>
      <c r="BK20" s="16">
        <v>1261765596</v>
      </c>
      <c r="BL20" s="16">
        <v>-1791468483</v>
      </c>
      <c r="BM20" s="16">
        <v>297419333</v>
      </c>
      <c r="BN20" s="16">
        <v>-11551325497</v>
      </c>
      <c r="BO20" s="16">
        <v>-5201346672</v>
      </c>
      <c r="BP20" s="16">
        <v>-7774530924</v>
      </c>
      <c r="BQ20" s="16">
        <v>5991671450</v>
      </c>
      <c r="BR20" s="16">
        <v>-1693460736</v>
      </c>
      <c r="BS20" s="16">
        <v>-6419213738</v>
      </c>
      <c r="BT20" s="16">
        <v>-6818467491</v>
      </c>
      <c r="BU20" s="16">
        <v>3703754212</v>
      </c>
      <c r="BV20" s="16"/>
      <c r="BW20" s="16"/>
      <c r="BX20" s="16"/>
      <c r="BY20" s="16"/>
      <c r="BZ20" s="16"/>
      <c r="CA20" s="16"/>
      <c r="CB20" s="16"/>
      <c r="CC20" s="16"/>
    </row>
    <row r="21" spans="1:81">
      <c r="A21" s="12">
        <v>18</v>
      </c>
      <c r="B21" s="22" t="s">
        <v>100</v>
      </c>
      <c r="C21" s="12">
        <v>5</v>
      </c>
      <c r="D21" s="14">
        <f>SUM(Data_PL7[[#This Row],[T1.2021]:[T12.2021]])</f>
        <v>2854356918</v>
      </c>
      <c r="E21" s="14">
        <f>SUM(Data_PL7[[#This Row],[T1.2022]:[T12.2022]])</f>
        <v>19125239788</v>
      </c>
      <c r="F21" s="14">
        <f>SUM(Data_PL7[[#This Row],[T1.2023]:[T12.2023]])</f>
        <v>11001624815</v>
      </c>
      <c r="G21" s="14">
        <f>SUM(Data_PL7[[#This Row],[T01.2024]:[T12.2024]])</f>
        <v>11495266455</v>
      </c>
      <c r="H21" s="14">
        <f>SUM(Data_PL7[[#This Row],[T01.2025]:[T12.2025]])</f>
        <v>7500302208</v>
      </c>
      <c r="I21" s="14">
        <f>SUM(Data_PL7[[#This Row],[T01.2026]:[T12.2026]])</f>
        <v>-153060867</v>
      </c>
      <c r="J21" s="14">
        <v>0</v>
      </c>
      <c r="K21" s="14">
        <v>0</v>
      </c>
      <c r="L21" s="14">
        <v>373376709</v>
      </c>
      <c r="M21" s="14">
        <v>253138740</v>
      </c>
      <c r="N21" s="14">
        <v>0</v>
      </c>
      <c r="O21" s="14">
        <v>70900360</v>
      </c>
      <c r="P21" s="14">
        <v>2427489157</v>
      </c>
      <c r="Q21" s="14">
        <v>213493049</v>
      </c>
      <c r="R21" s="14">
        <v>425811110</v>
      </c>
      <c r="S21" s="14">
        <v>173779845</v>
      </c>
      <c r="T21" s="14">
        <v>0</v>
      </c>
      <c r="U21" s="14">
        <v>-1083632052</v>
      </c>
      <c r="V21" s="14">
        <v>997474474</v>
      </c>
      <c r="W21" s="14">
        <v>0</v>
      </c>
      <c r="X21" s="14">
        <v>0</v>
      </c>
      <c r="Y21" s="14">
        <v>203685628</v>
      </c>
      <c r="Z21" s="14">
        <v>457567861</v>
      </c>
      <c r="AA21" s="14">
        <v>427848514</v>
      </c>
      <c r="AB21" s="14">
        <v>298494225</v>
      </c>
      <c r="AC21" s="14">
        <v>701245482</v>
      </c>
      <c r="AD21" s="14">
        <v>286950346</v>
      </c>
      <c r="AE21" s="14">
        <v>115895011</v>
      </c>
      <c r="AF21" s="14">
        <v>525865791</v>
      </c>
      <c r="AG21" s="14">
        <v>15110212456</v>
      </c>
      <c r="AH21" s="14">
        <v>144992517</v>
      </c>
      <c r="AI21" s="14">
        <v>0</v>
      </c>
      <c r="AJ21" s="14">
        <v>0</v>
      </c>
      <c r="AK21" s="14">
        <v>0</v>
      </c>
      <c r="AL21" s="14">
        <v>0</v>
      </c>
      <c r="AM21" s="14">
        <v>5795561979</v>
      </c>
      <c r="AN21" s="14">
        <v>885794272</v>
      </c>
      <c r="AO21" s="14">
        <v>2481605805</v>
      </c>
      <c r="AP21" s="14">
        <v>4580287195</v>
      </c>
      <c r="AQ21" s="14">
        <v>3502138647</v>
      </c>
      <c r="AR21" s="14">
        <v>1840022687</v>
      </c>
      <c r="AS21" s="14">
        <v>-8228778287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11495266455</v>
      </c>
      <c r="BF21" s="14">
        <v>864190686</v>
      </c>
      <c r="BG21" s="14">
        <v>3020742780</v>
      </c>
      <c r="BH21" s="14">
        <v>1252632187</v>
      </c>
      <c r="BI21" s="14">
        <v>677293488</v>
      </c>
      <c r="BJ21" s="14">
        <v>1681800759</v>
      </c>
      <c r="BK21" s="14">
        <v>189264839</v>
      </c>
      <c r="BL21" s="14">
        <v>-1000088030</v>
      </c>
      <c r="BM21" s="14">
        <v>204199602</v>
      </c>
      <c r="BN21" s="14">
        <v>-1349170846</v>
      </c>
      <c r="BO21" s="14">
        <v>-516688622</v>
      </c>
      <c r="BP21" s="14">
        <v>-854033077</v>
      </c>
      <c r="BQ21" s="14">
        <v>3330158442</v>
      </c>
      <c r="BR21" s="23"/>
      <c r="BS21" s="14">
        <v>0</v>
      </c>
      <c r="BT21" s="14">
        <v>-153060867</v>
      </c>
      <c r="BU21" s="14"/>
      <c r="BV21" s="14"/>
      <c r="BW21" s="14"/>
      <c r="BX21" s="14"/>
      <c r="BY21" s="14"/>
      <c r="BZ21" s="14"/>
      <c r="CA21" s="14"/>
      <c r="CB21" s="14"/>
      <c r="CC21" s="14"/>
    </row>
    <row r="22" spans="1:81">
      <c r="A22" s="12">
        <v>19</v>
      </c>
      <c r="B22" s="13" t="s">
        <v>101</v>
      </c>
      <c r="C22" s="12">
        <v>5</v>
      </c>
      <c r="D22" s="14">
        <f>SUM(Data_PL7[[#This Row],[T1.2021]:[T12.2021]])</f>
        <v>0</v>
      </c>
      <c r="E22" s="14">
        <f>SUM(Data_PL7[[#This Row],[T1.2022]:[T12.2022]])</f>
        <v>0</v>
      </c>
      <c r="F22" s="14">
        <f>SUM(Data_PL7[[#This Row],[T1.2023]:[T12.2023]])</f>
        <v>0</v>
      </c>
      <c r="G22" s="14">
        <f>SUM(Data_PL7[[#This Row],[T01.2024]:[T12.2024]])</f>
        <v>1838941310</v>
      </c>
      <c r="H22" s="14">
        <f>SUM(Data_PL7[[#This Row],[T01.2025]:[T12.2025]])</f>
        <v>-1838941310</v>
      </c>
      <c r="I22" s="14">
        <f>SUM(Data_PL7[[#This Row],[T01.2026]:[T12.2026]])</f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1838941310</v>
      </c>
      <c r="BF22" s="14">
        <v>0</v>
      </c>
      <c r="BG22" s="14">
        <v>-8043000</v>
      </c>
      <c r="BH22" s="14">
        <v>0</v>
      </c>
      <c r="BI22" s="14">
        <v>0</v>
      </c>
      <c r="BJ22" s="14"/>
      <c r="BK22" s="14">
        <v>0</v>
      </c>
      <c r="BL22" s="14">
        <v>-1830898310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/>
      <c r="BS22" s="14">
        <v>0</v>
      </c>
      <c r="BT22" s="14"/>
      <c r="BU22" s="14"/>
      <c r="BV22" s="14"/>
      <c r="BW22" s="14"/>
      <c r="BX22" s="14"/>
      <c r="BY22" s="14"/>
      <c r="BZ22" s="14"/>
      <c r="CA22" s="14"/>
      <c r="CB22" s="14"/>
      <c r="CC22" s="14"/>
    </row>
    <row r="23" spans="1:81">
      <c r="A23" s="19">
        <v>20</v>
      </c>
      <c r="B23" s="10" t="s">
        <v>102</v>
      </c>
      <c r="C23" s="19">
        <v>5</v>
      </c>
      <c r="D23" s="20">
        <f>SUM(Data_PL7[[#This Row],[T1.2021]:[T12.2021]])</f>
        <v>17533906779</v>
      </c>
      <c r="E23" s="20">
        <f>SUM(Data_PL7[[#This Row],[T1.2022]:[T12.2022]])</f>
        <v>62102782858</v>
      </c>
      <c r="F23" s="20">
        <f>SUM(Data_PL7[[#This Row],[T1.2023]:[T12.2023]])</f>
        <v>102594186556</v>
      </c>
      <c r="G23" s="20">
        <f>SUM(Data_PL7[[#This Row],[T01.2024]:[T12.2024]])</f>
        <v>53517346659</v>
      </c>
      <c r="H23" s="20">
        <f>SUM(Data_PL7[[#This Row],[T01.2025]:[T12.2025]])</f>
        <v>25736754934</v>
      </c>
      <c r="I23" s="20">
        <f>SUM(Data_PL7[[#This Row],[T01.2026]:[T12.2026]])</f>
        <v>-11074326886</v>
      </c>
      <c r="J23" s="20">
        <v>-145319929</v>
      </c>
      <c r="K23" s="20">
        <v>-261866118</v>
      </c>
      <c r="L23" s="20">
        <v>1493506834</v>
      </c>
      <c r="M23" s="20">
        <v>1012554959</v>
      </c>
      <c r="N23" s="20">
        <v>-227064320</v>
      </c>
      <c r="O23" s="20">
        <v>283601439</v>
      </c>
      <c r="P23" s="20">
        <v>9709956629</v>
      </c>
      <c r="Q23" s="20">
        <v>853972196</v>
      </c>
      <c r="R23" s="20">
        <v>1703244441</v>
      </c>
      <c r="S23" s="20">
        <v>695119378</v>
      </c>
      <c r="T23" s="20">
        <v>-10758350</v>
      </c>
      <c r="U23" s="20">
        <v>2426959620</v>
      </c>
      <c r="V23" s="20">
        <v>3989897896</v>
      </c>
      <c r="W23" s="20">
        <v>-1188569266</v>
      </c>
      <c r="X23" s="20">
        <v>-1383573435</v>
      </c>
      <c r="Y23" s="20">
        <v>814742512</v>
      </c>
      <c r="Z23" s="20">
        <v>1829539394</v>
      </c>
      <c r="AA23" s="20">
        <v>1711394058</v>
      </c>
      <c r="AB23" s="20">
        <v>1193184898</v>
      </c>
      <c r="AC23" s="20">
        <v>2804981928</v>
      </c>
      <c r="AD23" s="20">
        <v>1147801384</v>
      </c>
      <c r="AE23" s="20">
        <v>463580042</v>
      </c>
      <c r="AF23" s="20">
        <v>2103463162</v>
      </c>
      <c r="AG23" s="20">
        <v>48616340285</v>
      </c>
      <c r="AH23" s="20">
        <v>579970067</v>
      </c>
      <c r="AI23" s="20">
        <v>-2654785819</v>
      </c>
      <c r="AJ23" s="20">
        <v>-7224620341</v>
      </c>
      <c r="AK23" s="20">
        <v>-2945815773</v>
      </c>
      <c r="AL23" s="20">
        <v>2782824124</v>
      </c>
      <c r="AM23" s="20">
        <v>33224645724</v>
      </c>
      <c r="AN23" s="20">
        <v>3543177089</v>
      </c>
      <c r="AO23" s="20">
        <v>9926423222</v>
      </c>
      <c r="AP23" s="20">
        <v>18321148781</v>
      </c>
      <c r="AQ23" s="20">
        <v>14008554587</v>
      </c>
      <c r="AR23" s="20">
        <v>7360090748</v>
      </c>
      <c r="AS23" s="20">
        <v>25672574147</v>
      </c>
      <c r="AT23" s="20">
        <v>1925739613</v>
      </c>
      <c r="AU23" s="20">
        <v>-5270648797</v>
      </c>
      <c r="AV23" s="20">
        <v>-2959309601</v>
      </c>
      <c r="AW23" s="20">
        <v>2475246740</v>
      </c>
      <c r="AX23" s="20">
        <v>-4153402340</v>
      </c>
      <c r="AY23" s="20">
        <v>-10215448067</v>
      </c>
      <c r="AZ23" s="20">
        <v>-13524685493</v>
      </c>
      <c r="BA23" s="20">
        <v>-8282947985</v>
      </c>
      <c r="BB23" s="20">
        <v>9673268117</v>
      </c>
      <c r="BC23" s="20">
        <v>-4978185231</v>
      </c>
      <c r="BD23" s="20">
        <v>-3242020126</v>
      </c>
      <c r="BE23" s="20">
        <v>92069739829</v>
      </c>
      <c r="BF23" s="20">
        <v>4897080552</v>
      </c>
      <c r="BG23" s="20">
        <v>17400796729</v>
      </c>
      <c r="BH23" s="20">
        <v>7098249059</v>
      </c>
      <c r="BI23" s="20">
        <v>3750983485</v>
      </c>
      <c r="BJ23" s="20">
        <v>9530204304</v>
      </c>
      <c r="BK23" s="20">
        <v>1072500757</v>
      </c>
      <c r="BL23" s="20">
        <v>1039517857</v>
      </c>
      <c r="BM23" s="20">
        <v>93219731</v>
      </c>
      <c r="BN23" s="20">
        <v>-10202154651</v>
      </c>
      <c r="BO23" s="20">
        <v>-4684658050</v>
      </c>
      <c r="BP23" s="20">
        <v>-6920497847</v>
      </c>
      <c r="BQ23" s="20">
        <v>2661513008</v>
      </c>
      <c r="BR23" s="20">
        <v>-1693460736</v>
      </c>
      <c r="BS23" s="20">
        <v>-6419213738</v>
      </c>
      <c r="BT23" s="20">
        <v>-6665406624</v>
      </c>
      <c r="BU23" s="20">
        <v>3703754212</v>
      </c>
      <c r="BV23" s="20"/>
      <c r="BW23" s="20"/>
      <c r="BX23" s="20"/>
      <c r="BY23" s="20"/>
      <c r="BZ23" s="20"/>
      <c r="CA23" s="20"/>
      <c r="CB23" s="20"/>
      <c r="CC23" s="20"/>
    </row>
    <row r="24" spans="1:81">
      <c r="A24" s="77"/>
      <c r="B24" s="76" t="s">
        <v>109</v>
      </c>
      <c r="C24" s="73"/>
      <c r="D24" s="81">
        <f>D23/D7</f>
        <v>0.2898457464179201</v>
      </c>
      <c r="E24" s="81">
        <f t="shared" ref="E24:I24" si="0">E23/E7</f>
        <v>0.18822900568373707</v>
      </c>
      <c r="F24" s="81">
        <f t="shared" si="0"/>
        <v>0.14965909665031615</v>
      </c>
      <c r="G24" s="81">
        <f t="shared" si="0"/>
        <v>4.4919110437374926E-2</v>
      </c>
      <c r="H24" s="81">
        <f t="shared" si="0"/>
        <v>1.6739071651129155E-2</v>
      </c>
      <c r="I24" s="81">
        <f t="shared" si="0"/>
        <v>-1.9952716831854019E-2</v>
      </c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  <c r="BZ24" s="79"/>
      <c r="CA24" s="79"/>
      <c r="CB24" s="79"/>
      <c r="CC24" s="79"/>
    </row>
  </sheetData>
  <protectedRanges>
    <protectedRange sqref="J4:BQ23 BS4:CC23 BR4:BR20 BR22:BR23" name="PL"/>
  </protectedRange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3ACD-193D-483C-8FC5-79E6E4E95BFB}">
  <sheetPr>
    <tabColor rgb="FFFFC000"/>
  </sheetPr>
  <dimension ref="A1:CC24"/>
  <sheetViews>
    <sheetView topLeftCell="B11" workbookViewId="0">
      <selection activeCell="B24" sqref="B24:D24"/>
    </sheetView>
  </sheetViews>
  <sheetFormatPr defaultRowHeight="14.5"/>
  <cols>
    <col min="1" max="1" width="7" hidden="1" customWidth="1"/>
    <col min="2" max="2" width="56" bestFit="1" customWidth="1"/>
    <col min="3" max="3" width="12.08984375" hidden="1" customWidth="1"/>
    <col min="4" max="4" width="14.54296875" bestFit="1" customWidth="1"/>
    <col min="5" max="6" width="15.6328125" bestFit="1" customWidth="1"/>
    <col min="7" max="7" width="16.08984375" bestFit="1" customWidth="1"/>
    <col min="8" max="8" width="17.36328125" bestFit="1" customWidth="1"/>
    <col min="9" max="9" width="15.6328125" bestFit="1" customWidth="1"/>
    <col min="10" max="16" width="15.54296875" customWidth="1"/>
    <col min="17" max="17" width="16.08984375" customWidth="1"/>
    <col min="18" max="20" width="15.54296875" customWidth="1"/>
    <col min="21" max="21" width="16.90625" customWidth="1"/>
    <col min="22" max="22" width="15.54296875" customWidth="1"/>
    <col min="23" max="23" width="16.08984375" customWidth="1"/>
    <col min="24" max="50" width="16.90625" customWidth="1"/>
    <col min="51" max="52" width="17.453125" customWidth="1"/>
    <col min="53" max="55" width="18" customWidth="1"/>
    <col min="56" max="56" width="16.90625" customWidth="1"/>
    <col min="57" max="57" width="18" customWidth="1"/>
    <col min="58" max="58" width="16.90625" bestFit="1" customWidth="1"/>
    <col min="59" max="65" width="18" bestFit="1" customWidth="1"/>
    <col min="66" max="66" width="17.453125" bestFit="1" customWidth="1"/>
    <col min="67" max="69" width="16.90625" bestFit="1" customWidth="1"/>
    <col min="70" max="70" width="18" bestFit="1" customWidth="1"/>
    <col min="71" max="81" width="18" customWidth="1"/>
  </cols>
  <sheetData>
    <row r="1" spans="1:81" ht="17.5">
      <c r="B1" s="1" t="s">
        <v>0</v>
      </c>
    </row>
    <row r="2" spans="1:81">
      <c r="B2" s="2" t="s">
        <v>1</v>
      </c>
      <c r="BF2" s="3"/>
    </row>
    <row r="3" spans="1:81" ht="28">
      <c r="A3" s="4" t="s">
        <v>2</v>
      </c>
      <c r="B3" s="5" t="s">
        <v>3</v>
      </c>
      <c r="C3" s="4" t="s">
        <v>4</v>
      </c>
      <c r="D3" s="70" t="s">
        <v>5</v>
      </c>
      <c r="E3" s="70" t="s">
        <v>6</v>
      </c>
      <c r="F3" s="70" t="s">
        <v>7</v>
      </c>
      <c r="G3" s="70" t="s">
        <v>8</v>
      </c>
      <c r="H3" s="70" t="s">
        <v>9</v>
      </c>
      <c r="I3" s="70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  <c r="BA3" s="4" t="s">
        <v>54</v>
      </c>
      <c r="BB3" s="4" t="s">
        <v>55</v>
      </c>
      <c r="BC3" s="4" t="s">
        <v>56</v>
      </c>
      <c r="BD3" s="4" t="s">
        <v>57</v>
      </c>
      <c r="BE3" s="4" t="s">
        <v>58</v>
      </c>
      <c r="BF3" s="4" t="s">
        <v>59</v>
      </c>
      <c r="BG3" s="4" t="s">
        <v>60</v>
      </c>
      <c r="BH3" s="4" t="s">
        <v>61</v>
      </c>
      <c r="BI3" s="4" t="s">
        <v>62</v>
      </c>
      <c r="BJ3" s="4" t="s">
        <v>63</v>
      </c>
      <c r="BK3" s="4" t="s">
        <v>64</v>
      </c>
      <c r="BL3" s="4" t="s">
        <v>65</v>
      </c>
      <c r="BM3" s="4" t="s">
        <v>66</v>
      </c>
      <c r="BN3" s="4" t="s">
        <v>67</v>
      </c>
      <c r="BO3" s="4" t="s">
        <v>68</v>
      </c>
      <c r="BP3" s="4" t="s">
        <v>69</v>
      </c>
      <c r="BQ3" s="4" t="s">
        <v>70</v>
      </c>
      <c r="BR3" s="4" t="s">
        <v>71</v>
      </c>
      <c r="BS3" s="4" t="s">
        <v>72</v>
      </c>
      <c r="BT3" s="4" t="s">
        <v>73</v>
      </c>
      <c r="BU3" s="4" t="s">
        <v>74</v>
      </c>
      <c r="BV3" s="4" t="s">
        <v>75</v>
      </c>
      <c r="BW3" s="4" t="s">
        <v>76</v>
      </c>
      <c r="BX3" s="4" t="s">
        <v>77</v>
      </c>
      <c r="BY3" s="4" t="s">
        <v>78</v>
      </c>
      <c r="BZ3" s="4" t="s">
        <v>79</v>
      </c>
      <c r="CA3" s="4" t="s">
        <v>80</v>
      </c>
      <c r="CB3" s="4" t="s">
        <v>81</v>
      </c>
      <c r="CC3" s="4" t="s">
        <v>82</v>
      </c>
    </row>
    <row r="4" spans="1:81">
      <c r="A4" s="6">
        <v>1</v>
      </c>
      <c r="B4" s="7" t="s">
        <v>83</v>
      </c>
      <c r="C4" s="6">
        <v>5</v>
      </c>
      <c r="D4" s="8">
        <f>SUM(Data_PL73[[#This Row],[T1.2021]:[T12.2021]])</f>
        <v>2131.962</v>
      </c>
      <c r="E4" s="8">
        <f>SUM(Data_PL73[[#This Row],[T1.2022]:[T12.2022]])</f>
        <v>9850.8649999999998</v>
      </c>
      <c r="F4" s="8">
        <f>SUM(Data_PL73[[#This Row],[T1.2023]:[T12.2023]])</f>
        <v>22582.090000000004</v>
      </c>
      <c r="G4" s="8">
        <f>SUM(Data_PL73[[#This Row],[T01.2024]:[T12.2024]])</f>
        <v>40044.8442</v>
      </c>
      <c r="H4" s="8">
        <f>SUM(Data_PL73[[#This Row],[T01.2025]:[T12.2025]])</f>
        <v>50376.160699999993</v>
      </c>
      <c r="I4" s="8">
        <f>SUM(Data_PL73[[#This Row],[T01.2026]:[T12.2026]])</f>
        <v>19871.663</v>
      </c>
      <c r="J4" s="8">
        <v>76.025000000000006</v>
      </c>
      <c r="K4" s="8">
        <v>61</v>
      </c>
      <c r="L4" s="8">
        <v>303.8</v>
      </c>
      <c r="M4" s="8">
        <v>215.35</v>
      </c>
      <c r="N4" s="8">
        <v>35.93</v>
      </c>
      <c r="O4" s="8">
        <v>30.437000000000001</v>
      </c>
      <c r="P4" s="8">
        <v>87.5</v>
      </c>
      <c r="Q4" s="8">
        <v>69.2</v>
      </c>
      <c r="R4" s="8">
        <v>115.5</v>
      </c>
      <c r="S4" s="8">
        <v>262.5</v>
      </c>
      <c r="T4" s="8">
        <v>284.8</v>
      </c>
      <c r="U4" s="8">
        <v>589.91999999999996</v>
      </c>
      <c r="V4" s="8">
        <v>250.8</v>
      </c>
      <c r="W4" s="8">
        <v>242</v>
      </c>
      <c r="X4" s="8">
        <v>710</v>
      </c>
      <c r="Y4" s="8">
        <v>815.18899999999996</v>
      </c>
      <c r="Z4" s="8">
        <v>578.20799999999997</v>
      </c>
      <c r="AA4" s="8">
        <v>678.9</v>
      </c>
      <c r="AB4" s="8">
        <v>421.5</v>
      </c>
      <c r="AC4" s="8">
        <v>1104.4680000000001</v>
      </c>
      <c r="AD4" s="8">
        <v>1030.32</v>
      </c>
      <c r="AE4" s="8">
        <v>1178.2750000000001</v>
      </c>
      <c r="AF4" s="8">
        <v>981.1</v>
      </c>
      <c r="AG4" s="8">
        <v>1860.105</v>
      </c>
      <c r="AH4" s="8">
        <v>651.79999999999995</v>
      </c>
      <c r="AI4" s="8">
        <v>653.07500000000005</v>
      </c>
      <c r="AJ4" s="8">
        <v>1875.95</v>
      </c>
      <c r="AK4" s="8">
        <v>1792.575</v>
      </c>
      <c r="AL4" s="8">
        <v>1632.875</v>
      </c>
      <c r="AM4" s="8">
        <v>1573.9749999999999</v>
      </c>
      <c r="AN4" s="8">
        <v>2078.5990000000002</v>
      </c>
      <c r="AO4" s="8">
        <v>2591.9430000000002</v>
      </c>
      <c r="AP4" s="8">
        <v>2246.875</v>
      </c>
      <c r="AQ4" s="8">
        <v>3057.3470000000002</v>
      </c>
      <c r="AR4" s="8">
        <v>2111.308</v>
      </c>
      <c r="AS4" s="8">
        <v>2315.768</v>
      </c>
      <c r="AT4" s="8">
        <v>3553.2</v>
      </c>
      <c r="AU4" s="8">
        <v>2285.0509999999999</v>
      </c>
      <c r="AV4" s="8">
        <v>2972.0680000000002</v>
      </c>
      <c r="AW4" s="8">
        <v>3202.752</v>
      </c>
      <c r="AX4" s="8">
        <v>3455.89</v>
      </c>
      <c r="AY4" s="8">
        <v>2432.3249999999998</v>
      </c>
      <c r="AZ4" s="8">
        <v>1986.8530000000001</v>
      </c>
      <c r="BA4" s="8">
        <v>5184.5942000000005</v>
      </c>
      <c r="BB4" s="8">
        <v>4932.5069999999996</v>
      </c>
      <c r="BC4" s="8">
        <v>4058.203</v>
      </c>
      <c r="BD4" s="8">
        <v>2606.2530000000002</v>
      </c>
      <c r="BE4" s="8">
        <v>3375.1480000000001</v>
      </c>
      <c r="BF4" s="8">
        <v>3612.7512999999999</v>
      </c>
      <c r="BG4" s="8">
        <v>6002.0379999999996</v>
      </c>
      <c r="BH4" s="8">
        <v>4985.5379999999996</v>
      </c>
      <c r="BI4" s="8">
        <v>4060.3609999999999</v>
      </c>
      <c r="BJ4" s="8">
        <v>4785.7602999999999</v>
      </c>
      <c r="BK4" s="8">
        <v>3895.6950000000002</v>
      </c>
      <c r="BL4" s="8">
        <v>4652.4191000000001</v>
      </c>
      <c r="BM4" s="8">
        <v>5655.27</v>
      </c>
      <c r="BN4" s="8">
        <v>3106.2919999999999</v>
      </c>
      <c r="BO4" s="8">
        <v>3393.5369999999998</v>
      </c>
      <c r="BP4" s="8">
        <v>3040.82</v>
      </c>
      <c r="BQ4" s="8">
        <v>3185.6790000000001</v>
      </c>
      <c r="BR4" s="8">
        <v>4409.9920000000002</v>
      </c>
      <c r="BS4" s="8">
        <v>3267.6</v>
      </c>
      <c r="BT4" s="8">
        <v>6445.4459999999999</v>
      </c>
      <c r="BU4" s="8">
        <v>5748.625</v>
      </c>
      <c r="BV4" s="8"/>
      <c r="BW4" s="8"/>
      <c r="BX4" s="8"/>
      <c r="BY4" s="8"/>
      <c r="BZ4" s="8"/>
      <c r="CA4" s="8"/>
      <c r="CB4" s="8"/>
      <c r="CC4" s="8"/>
    </row>
    <row r="5" spans="1:81">
      <c r="A5" s="9">
        <v>2</v>
      </c>
      <c r="B5" s="10" t="s">
        <v>84</v>
      </c>
      <c r="C5" s="9">
        <v>5</v>
      </c>
      <c r="D5" s="9">
        <f>SUM(Data_PL73[[#This Row],[T1.2021]:[T12.2021]])</f>
        <v>60562275921</v>
      </c>
      <c r="E5" s="9">
        <f>SUM(Data_PL73[[#This Row],[T1.2022]:[T12.2022]])</f>
        <v>330330688073</v>
      </c>
      <c r="F5" s="9">
        <f>SUM(Data_PL73[[#This Row],[T1.2023]:[T12.2023]])</f>
        <v>685554367311</v>
      </c>
      <c r="G5" s="9">
        <f>SUM(Data_PL73[[#This Row],[T01.2024]:[T12.2024]])</f>
        <v>1211387224737</v>
      </c>
      <c r="H5" s="9">
        <f>SUM(Data_PL73[[#This Row],[T01.2025]:[T12.2025]])</f>
        <v>1551998582223</v>
      </c>
      <c r="I5" s="9">
        <f>SUM(Data_PL73[[#This Row],[T01.2026]:[T12.2026]])</f>
        <v>556792402428</v>
      </c>
      <c r="J5" s="11">
        <v>2192940600</v>
      </c>
      <c r="K5" s="11">
        <v>1791822000</v>
      </c>
      <c r="L5" s="11">
        <v>8682084600</v>
      </c>
      <c r="M5" s="11">
        <v>6264332700</v>
      </c>
      <c r="N5" s="11">
        <v>1376973402</v>
      </c>
      <c r="O5" s="11">
        <v>904631370</v>
      </c>
      <c r="P5" s="11">
        <v>3085582842</v>
      </c>
      <c r="Q5" s="11">
        <v>2036756400</v>
      </c>
      <c r="R5" s="11">
        <v>4007834643</v>
      </c>
      <c r="S5" s="11">
        <v>8372308560</v>
      </c>
      <c r="T5" s="11">
        <v>8615033640</v>
      </c>
      <c r="U5" s="11">
        <v>13231975164</v>
      </c>
      <c r="V5" s="11">
        <v>7498036216</v>
      </c>
      <c r="W5" s="11">
        <v>6876982200</v>
      </c>
      <c r="X5" s="11">
        <v>21877405036</v>
      </c>
      <c r="Y5" s="11">
        <v>27424133378</v>
      </c>
      <c r="Z5" s="11">
        <v>18350378815</v>
      </c>
      <c r="AA5" s="11">
        <v>21902018748</v>
      </c>
      <c r="AB5" s="11">
        <v>15882148168</v>
      </c>
      <c r="AC5" s="11">
        <v>38706132850</v>
      </c>
      <c r="AD5" s="11">
        <v>36809694250</v>
      </c>
      <c r="AE5" s="11">
        <v>41577847270</v>
      </c>
      <c r="AF5" s="11">
        <v>34741567940</v>
      </c>
      <c r="AG5" s="11">
        <v>58684343202</v>
      </c>
      <c r="AH5" s="11">
        <v>24985455241</v>
      </c>
      <c r="AI5" s="11">
        <v>23042319009</v>
      </c>
      <c r="AJ5" s="11">
        <v>59212986698</v>
      </c>
      <c r="AK5" s="11">
        <v>54287237375</v>
      </c>
      <c r="AL5" s="11">
        <v>57641008821</v>
      </c>
      <c r="AM5" s="11">
        <v>50922412416</v>
      </c>
      <c r="AN5" s="11">
        <v>53533092198</v>
      </c>
      <c r="AO5" s="11">
        <v>78282463651</v>
      </c>
      <c r="AP5" s="11">
        <v>64916176630</v>
      </c>
      <c r="AQ5" s="11">
        <v>84671529098</v>
      </c>
      <c r="AR5" s="11">
        <v>62903041444</v>
      </c>
      <c r="AS5" s="11">
        <v>71156644730</v>
      </c>
      <c r="AT5" s="11">
        <v>95961616736</v>
      </c>
      <c r="AU5" s="11">
        <v>70105871996</v>
      </c>
      <c r="AV5" s="11">
        <v>92109508133</v>
      </c>
      <c r="AW5" s="11">
        <v>97489092894</v>
      </c>
      <c r="AX5" s="11">
        <v>102501453344</v>
      </c>
      <c r="AY5" s="11">
        <v>68093170109</v>
      </c>
      <c r="AZ5" s="11">
        <v>56451269692</v>
      </c>
      <c r="BA5" s="11">
        <v>160372945473</v>
      </c>
      <c r="BB5" s="11">
        <v>161501484254</v>
      </c>
      <c r="BC5" s="11">
        <v>119734804022</v>
      </c>
      <c r="BD5" s="11">
        <v>76175498864</v>
      </c>
      <c r="BE5" s="11">
        <v>110890509220</v>
      </c>
      <c r="BF5" s="11">
        <v>114976445897</v>
      </c>
      <c r="BG5" s="11">
        <v>188477338235</v>
      </c>
      <c r="BH5" s="11">
        <v>150730683132</v>
      </c>
      <c r="BI5" s="11">
        <v>125734240353</v>
      </c>
      <c r="BJ5" s="11">
        <v>153674258114</v>
      </c>
      <c r="BK5" s="11">
        <v>119843310993</v>
      </c>
      <c r="BL5" s="11">
        <v>138018360641</v>
      </c>
      <c r="BM5" s="11">
        <v>169442946928</v>
      </c>
      <c r="BN5" s="11">
        <v>91484253567</v>
      </c>
      <c r="BO5" s="11">
        <v>108928556660</v>
      </c>
      <c r="BP5" s="11">
        <v>89826973802</v>
      </c>
      <c r="BQ5" s="11">
        <v>100861213901</v>
      </c>
      <c r="BR5" s="11">
        <v>126786913920</v>
      </c>
      <c r="BS5" s="11">
        <v>96600110916</v>
      </c>
      <c r="BT5" s="11">
        <v>174261948689</v>
      </c>
      <c r="BU5" s="11">
        <v>159143428903</v>
      </c>
      <c r="BV5" s="11"/>
      <c r="BW5" s="11"/>
      <c r="BX5" s="11"/>
      <c r="BY5" s="11"/>
      <c r="BZ5" s="11"/>
      <c r="CA5" s="11"/>
      <c r="CB5" s="11"/>
      <c r="CC5" s="11"/>
    </row>
    <row r="6" spans="1:81">
      <c r="A6" s="12">
        <v>3</v>
      </c>
      <c r="B6" s="13" t="s">
        <v>85</v>
      </c>
      <c r="C6" s="12">
        <v>5</v>
      </c>
      <c r="D6" s="12">
        <f>SUM(Data_PL73[[#This Row],[T1.2021]:[T12.2021]])</f>
        <v>68351150</v>
      </c>
      <c r="E6" s="12">
        <f>SUM(Data_PL73[[#This Row],[T1.2022]:[T12.2022]])</f>
        <v>398631999</v>
      </c>
      <c r="F6" s="12">
        <f>SUM(Data_PL73[[#This Row],[T1.2023]:[T12.2023]])</f>
        <v>35151625</v>
      </c>
      <c r="G6" s="12">
        <f>SUM(Data_PL73[[#This Row],[T01.2024]:[T12.2024]])</f>
        <v>19971229676</v>
      </c>
      <c r="H6" s="12">
        <f>SUM(Data_PL73[[#This Row],[T01.2025]:[T12.2025]])</f>
        <v>14472758187</v>
      </c>
      <c r="I6" s="12">
        <f>SUM(Data_PL73[[#This Row],[T01.2026]:[T12.2026]])</f>
        <v>1763882787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36461250</v>
      </c>
      <c r="P6" s="14">
        <v>0</v>
      </c>
      <c r="Q6" s="14">
        <v>686000</v>
      </c>
      <c r="R6" s="14">
        <v>0</v>
      </c>
      <c r="S6" s="14">
        <v>0</v>
      </c>
      <c r="T6" s="14">
        <v>0</v>
      </c>
      <c r="U6" s="14">
        <v>31203900</v>
      </c>
      <c r="V6" s="14">
        <v>0</v>
      </c>
      <c r="W6" s="14">
        <v>765658695</v>
      </c>
      <c r="X6" s="14">
        <v>-760221195</v>
      </c>
      <c r="Y6" s="14">
        <v>0</v>
      </c>
      <c r="Z6" s="14">
        <v>0</v>
      </c>
      <c r="AA6" s="14">
        <v>0</v>
      </c>
      <c r="AB6" s="14">
        <v>3076000</v>
      </c>
      <c r="AC6" s="14">
        <v>346771999</v>
      </c>
      <c r="AD6" s="14">
        <v>0</v>
      </c>
      <c r="AE6" s="14">
        <v>0</v>
      </c>
      <c r="AF6" s="14">
        <v>43346500</v>
      </c>
      <c r="AG6" s="14">
        <v>0</v>
      </c>
      <c r="AH6" s="14">
        <v>0</v>
      </c>
      <c r="AI6" s="14">
        <v>0</v>
      </c>
      <c r="AJ6" s="14">
        <v>453218</v>
      </c>
      <c r="AK6" s="14">
        <v>195177</v>
      </c>
      <c r="AL6" s="14">
        <v>9024000</v>
      </c>
      <c r="AM6" s="14">
        <v>18714230</v>
      </c>
      <c r="AN6" s="14">
        <v>6765000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1166125000</v>
      </c>
      <c r="AV6" s="14">
        <v>0</v>
      </c>
      <c r="AW6" s="14">
        <v>0</v>
      </c>
      <c r="AX6" s="14">
        <v>136455000</v>
      </c>
      <c r="AY6" s="14">
        <v>0</v>
      </c>
      <c r="AZ6" s="14">
        <v>0</v>
      </c>
      <c r="BA6" s="14">
        <v>6345077301</v>
      </c>
      <c r="BB6" s="14">
        <v>4671587529</v>
      </c>
      <c r="BC6" s="14">
        <v>2922205276</v>
      </c>
      <c r="BD6" s="14">
        <v>49359030</v>
      </c>
      <c r="BE6" s="14">
        <v>4680420540</v>
      </c>
      <c r="BF6" s="14">
        <v>513935495</v>
      </c>
      <c r="BG6" s="14">
        <v>477877176</v>
      </c>
      <c r="BH6" s="14">
        <v>477350452</v>
      </c>
      <c r="BI6" s="14">
        <v>304590498</v>
      </c>
      <c r="BJ6" s="14">
        <v>1607115262</v>
      </c>
      <c r="BK6" s="14">
        <v>708638196</v>
      </c>
      <c r="BL6" s="14">
        <v>26953743</v>
      </c>
      <c r="BM6" s="14">
        <v>1000293545</v>
      </c>
      <c r="BN6" s="14">
        <v>6773818500</v>
      </c>
      <c r="BO6" s="14">
        <v>0</v>
      </c>
      <c r="BP6" s="14">
        <v>1479093000</v>
      </c>
      <c r="BQ6" s="14">
        <v>1103092320</v>
      </c>
      <c r="BR6" s="14">
        <v>687876997</v>
      </c>
      <c r="BS6" s="14">
        <v>33305556</v>
      </c>
      <c r="BT6" s="14">
        <v>956126160</v>
      </c>
      <c r="BU6" s="14">
        <v>86574074</v>
      </c>
      <c r="BV6" s="14"/>
      <c r="BW6" s="14"/>
      <c r="BX6" s="14"/>
      <c r="BY6" s="14"/>
      <c r="BZ6" s="14"/>
      <c r="CA6" s="14"/>
      <c r="CB6" s="14"/>
      <c r="CC6" s="14"/>
    </row>
    <row r="7" spans="1:81">
      <c r="A7" s="15">
        <v>4</v>
      </c>
      <c r="B7" s="10" t="s">
        <v>86</v>
      </c>
      <c r="C7" s="15">
        <v>5</v>
      </c>
      <c r="D7" s="15">
        <f>SUM(Data_PL73[[#This Row],[T1.2021]:[T12.2021]])</f>
        <v>60493924771</v>
      </c>
      <c r="E7" s="15">
        <f>SUM(Data_PL73[[#This Row],[T1.2022]:[T12.2022]])</f>
        <v>329932056074</v>
      </c>
      <c r="F7" s="15">
        <f>SUM(Data_PL73[[#This Row],[T1.2023]:[T12.2023]])</f>
        <v>685519215686</v>
      </c>
      <c r="G7" s="15">
        <f>SUM(Data_PL73[[#This Row],[T01.2024]:[T12.2024]])</f>
        <v>1191415995061</v>
      </c>
      <c r="H7" s="15">
        <f>SUM(Data_PL73[[#This Row],[T01.2025]:[T12.2025]])</f>
        <v>1537525824036</v>
      </c>
      <c r="I7" s="15">
        <f>SUM(Data_PL73[[#This Row],[T01.2026]:[T12.2026]])</f>
        <v>555028519641</v>
      </c>
      <c r="J7" s="16">
        <v>2192940600</v>
      </c>
      <c r="K7" s="16">
        <v>1791822000</v>
      </c>
      <c r="L7" s="16">
        <v>8682084600</v>
      </c>
      <c r="M7" s="16">
        <v>6264332700</v>
      </c>
      <c r="N7" s="16">
        <v>1376973402</v>
      </c>
      <c r="O7" s="16">
        <v>868170120</v>
      </c>
      <c r="P7" s="16">
        <v>3085582842</v>
      </c>
      <c r="Q7" s="16">
        <v>2036070400</v>
      </c>
      <c r="R7" s="16">
        <v>4007834643</v>
      </c>
      <c r="S7" s="16">
        <v>8372308560</v>
      </c>
      <c r="T7" s="16">
        <v>8615033640</v>
      </c>
      <c r="U7" s="16">
        <v>13200771264</v>
      </c>
      <c r="V7" s="16">
        <v>7498036216</v>
      </c>
      <c r="W7" s="16">
        <v>6111323505</v>
      </c>
      <c r="X7" s="16">
        <v>22637626231</v>
      </c>
      <c r="Y7" s="16">
        <v>27424133378</v>
      </c>
      <c r="Z7" s="16">
        <v>18350378815</v>
      </c>
      <c r="AA7" s="16">
        <v>21902018748</v>
      </c>
      <c r="AB7" s="16">
        <v>15879072168</v>
      </c>
      <c r="AC7" s="16">
        <v>38359360851</v>
      </c>
      <c r="AD7" s="16">
        <v>36809694250</v>
      </c>
      <c r="AE7" s="16">
        <v>41577847270</v>
      </c>
      <c r="AF7" s="16">
        <v>34698221440</v>
      </c>
      <c r="AG7" s="16">
        <v>58684343202</v>
      </c>
      <c r="AH7" s="16">
        <v>24985455241</v>
      </c>
      <c r="AI7" s="16">
        <v>23042319009</v>
      </c>
      <c r="AJ7" s="16">
        <v>59212533480</v>
      </c>
      <c r="AK7" s="16">
        <v>54287042198</v>
      </c>
      <c r="AL7" s="16">
        <v>57631984821</v>
      </c>
      <c r="AM7" s="16">
        <v>50903698186</v>
      </c>
      <c r="AN7" s="16">
        <v>53526327198</v>
      </c>
      <c r="AO7" s="16">
        <v>78282463651</v>
      </c>
      <c r="AP7" s="16">
        <v>64916176630</v>
      </c>
      <c r="AQ7" s="16">
        <v>84671529098</v>
      </c>
      <c r="AR7" s="16">
        <v>62903041444</v>
      </c>
      <c r="AS7" s="16">
        <v>71156644730</v>
      </c>
      <c r="AT7" s="16">
        <v>95961616736</v>
      </c>
      <c r="AU7" s="16">
        <v>68939746996</v>
      </c>
      <c r="AV7" s="16">
        <v>92109508133</v>
      </c>
      <c r="AW7" s="16">
        <v>97489092894</v>
      </c>
      <c r="AX7" s="16">
        <v>102364998344</v>
      </c>
      <c r="AY7" s="16">
        <v>68093170109</v>
      </c>
      <c r="AZ7" s="16">
        <v>56451269692</v>
      </c>
      <c r="BA7" s="16">
        <v>154027868172</v>
      </c>
      <c r="BB7" s="16">
        <v>156829896725</v>
      </c>
      <c r="BC7" s="16">
        <v>116812598746</v>
      </c>
      <c r="BD7" s="16">
        <v>76126139834</v>
      </c>
      <c r="BE7" s="16">
        <v>106210088680</v>
      </c>
      <c r="BF7" s="16">
        <v>114462510402</v>
      </c>
      <c r="BG7" s="16">
        <v>187999461059</v>
      </c>
      <c r="BH7" s="16">
        <v>150253332680</v>
      </c>
      <c r="BI7" s="16">
        <v>125429649855</v>
      </c>
      <c r="BJ7" s="16">
        <v>152067142852</v>
      </c>
      <c r="BK7" s="16">
        <v>119134672797</v>
      </c>
      <c r="BL7" s="16">
        <v>137991406898</v>
      </c>
      <c r="BM7" s="16">
        <v>168442653383</v>
      </c>
      <c r="BN7" s="16">
        <v>84710435067</v>
      </c>
      <c r="BO7" s="16">
        <v>108928556660</v>
      </c>
      <c r="BP7" s="16">
        <v>88347880802</v>
      </c>
      <c r="BQ7" s="16">
        <v>99758121581</v>
      </c>
      <c r="BR7" s="16">
        <v>126099036923</v>
      </c>
      <c r="BS7" s="16">
        <v>96566805360</v>
      </c>
      <c r="BT7" s="16">
        <v>173305822529</v>
      </c>
      <c r="BU7" s="16">
        <v>159056854829</v>
      </c>
      <c r="BV7" s="16"/>
      <c r="BW7" s="16"/>
      <c r="BX7" s="16"/>
      <c r="BY7" s="16"/>
      <c r="BZ7" s="16"/>
      <c r="CA7" s="16"/>
      <c r="CB7" s="16"/>
      <c r="CC7" s="16"/>
    </row>
    <row r="8" spans="1:81">
      <c r="A8" s="17">
        <v>5</v>
      </c>
      <c r="B8" s="13" t="s">
        <v>87</v>
      </c>
      <c r="C8" s="17">
        <v>5</v>
      </c>
      <c r="D8" s="17">
        <f>SUM(Data_PL73[[#This Row],[T1.2021]:[T12.2021]])</f>
        <v>55288134722</v>
      </c>
      <c r="E8" s="17">
        <f>SUM(Data_PL73[[#This Row],[T1.2022]:[T12.2022]])</f>
        <v>299901216900</v>
      </c>
      <c r="F8" s="17">
        <f>SUM(Data_PL73[[#This Row],[T1.2023]:[T12.2023]])</f>
        <v>518594542678</v>
      </c>
      <c r="G8" s="17">
        <f>SUM(Data_PL73[[#This Row],[T01.2024]:[T12.2024]])</f>
        <v>998230253982</v>
      </c>
      <c r="H8" s="17">
        <f>SUM(Data_PL73[[#This Row],[T01.2025]:[T12.2025]])</f>
        <v>1343495797036</v>
      </c>
      <c r="I8" s="17">
        <f>SUM(Data_PL73[[#This Row],[T01.2026]:[T12.2026]])</f>
        <v>512422326416</v>
      </c>
      <c r="J8" s="18">
        <v>1714389259</v>
      </c>
      <c r="K8" s="18">
        <v>1513381552</v>
      </c>
      <c r="L8" s="18">
        <v>6687623393</v>
      </c>
      <c r="M8" s="18">
        <v>4774057263</v>
      </c>
      <c r="N8" s="18">
        <v>1087102095</v>
      </c>
      <c r="O8" s="18">
        <v>807656278</v>
      </c>
      <c r="P8" s="18">
        <v>2716172489</v>
      </c>
      <c r="Q8" s="18">
        <v>4315716140</v>
      </c>
      <c r="R8" s="18">
        <v>4265960659</v>
      </c>
      <c r="S8" s="18">
        <v>7443114351</v>
      </c>
      <c r="T8" s="18">
        <v>7773986301</v>
      </c>
      <c r="U8" s="18">
        <v>12188974942</v>
      </c>
      <c r="V8" s="18">
        <v>6843552810</v>
      </c>
      <c r="W8" s="18">
        <v>6912963718</v>
      </c>
      <c r="X8" s="18">
        <v>19836366360</v>
      </c>
      <c r="Y8" s="18">
        <v>21907875072</v>
      </c>
      <c r="Z8" s="18">
        <v>15580244606</v>
      </c>
      <c r="AA8" s="18">
        <v>18312738285</v>
      </c>
      <c r="AB8" s="18">
        <v>12006617281</v>
      </c>
      <c r="AC8" s="18">
        <v>32529935445</v>
      </c>
      <c r="AD8" s="18">
        <v>32281385317</v>
      </c>
      <c r="AE8" s="18">
        <v>38377094489</v>
      </c>
      <c r="AF8" s="18">
        <v>30963456194</v>
      </c>
      <c r="AG8" s="18">
        <v>64348987323</v>
      </c>
      <c r="AH8" s="18">
        <v>20792367485</v>
      </c>
      <c r="AI8" s="18">
        <v>21918378947</v>
      </c>
      <c r="AJ8" s="18">
        <v>61251223688</v>
      </c>
      <c r="AK8" s="18">
        <v>53942190282</v>
      </c>
      <c r="AL8" s="18">
        <v>50245648463</v>
      </c>
      <c r="AM8" s="18">
        <v>7904131770</v>
      </c>
      <c r="AN8" s="18">
        <v>44797235508</v>
      </c>
      <c r="AO8" s="18">
        <v>62222051344</v>
      </c>
      <c r="AP8" s="18">
        <v>37728980820</v>
      </c>
      <c r="AQ8" s="18">
        <v>61940025172</v>
      </c>
      <c r="AR8" s="18">
        <v>49113504898</v>
      </c>
      <c r="AS8" s="18">
        <v>46738804301</v>
      </c>
      <c r="AT8" s="18">
        <v>85841765176</v>
      </c>
      <c r="AU8" s="18">
        <v>68748321616</v>
      </c>
      <c r="AV8" s="18">
        <v>86824377307</v>
      </c>
      <c r="AW8" s="18">
        <v>85475594862</v>
      </c>
      <c r="AX8" s="18">
        <v>99208228636</v>
      </c>
      <c r="AY8" s="18">
        <v>69795611979</v>
      </c>
      <c r="AZ8" s="18">
        <v>61217801757</v>
      </c>
      <c r="BA8" s="18">
        <v>147970813832</v>
      </c>
      <c r="BB8" s="18">
        <v>132769623597</v>
      </c>
      <c r="BC8" s="18">
        <v>112138441893</v>
      </c>
      <c r="BD8" s="18">
        <v>70998442117</v>
      </c>
      <c r="BE8" s="18">
        <v>-22758768790</v>
      </c>
      <c r="BF8" s="18">
        <v>96299447936</v>
      </c>
      <c r="BG8" s="18">
        <v>154570631505</v>
      </c>
      <c r="BH8" s="18">
        <v>129509315823</v>
      </c>
      <c r="BI8" s="18">
        <v>109641808151</v>
      </c>
      <c r="BJ8" s="18">
        <v>129906078108</v>
      </c>
      <c r="BK8" s="18">
        <v>105463649620</v>
      </c>
      <c r="BL8" s="18">
        <v>128673842020</v>
      </c>
      <c r="BM8" s="18">
        <v>155101842643</v>
      </c>
      <c r="BN8" s="18">
        <v>83113314505</v>
      </c>
      <c r="BO8" s="18">
        <v>99966937216</v>
      </c>
      <c r="BP8" s="18">
        <v>80940600844</v>
      </c>
      <c r="BQ8" s="18">
        <v>70308328665</v>
      </c>
      <c r="BR8" s="18">
        <v>115080112871</v>
      </c>
      <c r="BS8" s="18">
        <v>90411470461</v>
      </c>
      <c r="BT8" s="18">
        <v>165844739865</v>
      </c>
      <c r="BU8" s="18">
        <v>141086003219</v>
      </c>
      <c r="BV8" s="18"/>
      <c r="BW8" s="18"/>
      <c r="BX8" s="18"/>
      <c r="BY8" s="18"/>
      <c r="BZ8" s="18"/>
      <c r="CA8" s="18"/>
      <c r="CB8" s="18"/>
      <c r="CC8" s="18"/>
    </row>
    <row r="9" spans="1:81">
      <c r="A9" s="19">
        <v>6</v>
      </c>
      <c r="B9" s="10" t="s">
        <v>88</v>
      </c>
      <c r="C9" s="19">
        <v>5</v>
      </c>
      <c r="D9" s="19">
        <f>SUM(Data_PL73[[#This Row],[T1.2021]:[T12.2021]])</f>
        <v>5205790049</v>
      </c>
      <c r="E9" s="19">
        <f>SUM(Data_PL73[[#This Row],[T1.2022]:[T12.2022]])</f>
        <v>30030839174</v>
      </c>
      <c r="F9" s="19">
        <f>SUM(Data_PL73[[#This Row],[T1.2023]:[T12.2023]])</f>
        <v>166924673008</v>
      </c>
      <c r="G9" s="19">
        <f>SUM(Data_PL73[[#This Row],[T01.2024]:[T12.2024]])</f>
        <v>193185741079</v>
      </c>
      <c r="H9" s="19">
        <f>SUM(Data_PL73[[#This Row],[T01.2025]:[T12.2025]])</f>
        <v>194030027000</v>
      </c>
      <c r="I9" s="19">
        <f>SUM(Data_PL73[[#This Row],[T01.2026]:[T12.2026]])</f>
        <v>42606193225</v>
      </c>
      <c r="J9" s="20">
        <v>478551341</v>
      </c>
      <c r="K9" s="20">
        <v>278440448</v>
      </c>
      <c r="L9" s="20">
        <v>1994461207</v>
      </c>
      <c r="M9" s="20">
        <v>1490275437</v>
      </c>
      <c r="N9" s="20">
        <v>289871307</v>
      </c>
      <c r="O9" s="20">
        <v>60513842</v>
      </c>
      <c r="P9" s="20">
        <v>369410353</v>
      </c>
      <c r="Q9" s="20">
        <v>-2279645740</v>
      </c>
      <c r="R9" s="20">
        <v>-258126016</v>
      </c>
      <c r="S9" s="20">
        <v>929194209</v>
      </c>
      <c r="T9" s="20">
        <v>841047339</v>
      </c>
      <c r="U9" s="20">
        <v>1011796322</v>
      </c>
      <c r="V9" s="20">
        <v>654483406</v>
      </c>
      <c r="W9" s="20">
        <v>-801640213</v>
      </c>
      <c r="X9" s="20">
        <v>2801259871</v>
      </c>
      <c r="Y9" s="20">
        <v>5516258306</v>
      </c>
      <c r="Z9" s="20">
        <v>2770134209</v>
      </c>
      <c r="AA9" s="20">
        <v>3589280463</v>
      </c>
      <c r="AB9" s="20">
        <v>3872454887</v>
      </c>
      <c r="AC9" s="20">
        <v>5829425406</v>
      </c>
      <c r="AD9" s="20">
        <v>4528308933</v>
      </c>
      <c r="AE9" s="20">
        <v>3200752781</v>
      </c>
      <c r="AF9" s="20">
        <v>3734765246</v>
      </c>
      <c r="AG9" s="20">
        <v>-5664644121</v>
      </c>
      <c r="AH9" s="20">
        <v>4193087756</v>
      </c>
      <c r="AI9" s="20">
        <v>1123940062</v>
      </c>
      <c r="AJ9" s="20">
        <v>-2038690208</v>
      </c>
      <c r="AK9" s="20">
        <v>344851916</v>
      </c>
      <c r="AL9" s="20">
        <v>7386336358</v>
      </c>
      <c r="AM9" s="20">
        <v>42999566416</v>
      </c>
      <c r="AN9" s="20">
        <v>8729091690</v>
      </c>
      <c r="AO9" s="20">
        <v>16060412307</v>
      </c>
      <c r="AP9" s="20">
        <v>27187195810</v>
      </c>
      <c r="AQ9" s="20">
        <v>22731503926</v>
      </c>
      <c r="AR9" s="20">
        <v>13789536546</v>
      </c>
      <c r="AS9" s="20">
        <v>24417840429</v>
      </c>
      <c r="AT9" s="20">
        <v>10119851560</v>
      </c>
      <c r="AU9" s="20">
        <v>191425380</v>
      </c>
      <c r="AV9" s="20">
        <v>5285130826</v>
      </c>
      <c r="AW9" s="20">
        <v>12013498032</v>
      </c>
      <c r="AX9" s="20">
        <v>3156769708</v>
      </c>
      <c r="AY9" s="20">
        <v>-1702441870</v>
      </c>
      <c r="AZ9" s="20">
        <v>-4766532065</v>
      </c>
      <c r="BA9" s="20">
        <v>6057054340</v>
      </c>
      <c r="BB9" s="20">
        <v>24060273128</v>
      </c>
      <c r="BC9" s="20">
        <v>4674156853</v>
      </c>
      <c r="BD9" s="20">
        <v>5127697717</v>
      </c>
      <c r="BE9" s="20">
        <v>128968857470</v>
      </c>
      <c r="BF9" s="20">
        <v>18163062466</v>
      </c>
      <c r="BG9" s="20">
        <v>33428829554</v>
      </c>
      <c r="BH9" s="20">
        <v>20744016857</v>
      </c>
      <c r="BI9" s="20">
        <v>15787841704</v>
      </c>
      <c r="BJ9" s="20">
        <v>22161064744</v>
      </c>
      <c r="BK9" s="20">
        <v>13671023177</v>
      </c>
      <c r="BL9" s="20">
        <v>9317564878</v>
      </c>
      <c r="BM9" s="20">
        <v>13340810740</v>
      </c>
      <c r="BN9" s="20">
        <v>1597120562</v>
      </c>
      <c r="BO9" s="20">
        <v>8961619444</v>
      </c>
      <c r="BP9" s="20">
        <v>7407279958</v>
      </c>
      <c r="BQ9" s="20">
        <v>29449792916</v>
      </c>
      <c r="BR9" s="20">
        <v>11018924052</v>
      </c>
      <c r="BS9" s="20">
        <v>6155334899</v>
      </c>
      <c r="BT9" s="20">
        <v>7461082664</v>
      </c>
      <c r="BU9" s="20">
        <v>17970851610</v>
      </c>
      <c r="BV9" s="20"/>
      <c r="BW9" s="20"/>
      <c r="BX9" s="20"/>
      <c r="BY9" s="20"/>
      <c r="BZ9" s="20"/>
      <c r="CA9" s="20"/>
      <c r="CB9" s="20"/>
      <c r="CC9" s="20"/>
    </row>
    <row r="10" spans="1:81">
      <c r="A10" s="19">
        <v>7</v>
      </c>
      <c r="B10" s="10" t="s">
        <v>89</v>
      </c>
      <c r="C10" s="19">
        <v>5</v>
      </c>
      <c r="D10" s="19">
        <f>SUM(Data_PL73[[#This Row],[T1.2021]:[T12.2021]])</f>
        <v>0</v>
      </c>
      <c r="E10" s="19">
        <f>SUM(Data_PL73[[#This Row],[T1.2022]:[T12.2022]])</f>
        <v>0</v>
      </c>
      <c r="F10" s="19">
        <f>SUM(Data_PL73[[#This Row],[T1.2023]:[T12.2023]])</f>
        <v>0</v>
      </c>
      <c r="G10" s="19">
        <f>SUM(Data_PL73[[#This Row],[T01.2024]:[T12.2024]])</f>
        <v>0</v>
      </c>
      <c r="H10" s="19">
        <f>SUM(Data_PL73[[#This Row],[T01.2025]:[T12.2025]])</f>
        <v>0</v>
      </c>
      <c r="I10" s="19">
        <f>SUM(Data_PL73[[#This Row],[T01.2026]:[T12.2026]])</f>
        <v>0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</row>
    <row r="11" spans="1:81">
      <c r="A11" s="12">
        <v>8</v>
      </c>
      <c r="B11" s="13" t="s">
        <v>90</v>
      </c>
      <c r="C11" s="12">
        <v>5</v>
      </c>
      <c r="D11" s="12">
        <f>SUM(Data_PL73[[#This Row],[T1.2021]:[T12.2021]])</f>
        <v>18328733000</v>
      </c>
      <c r="E11" s="12">
        <f>SUM(Data_PL73[[#This Row],[T1.2022]:[T12.2022]])</f>
        <v>17240601582</v>
      </c>
      <c r="F11" s="12">
        <f>SUM(Data_PL73[[#This Row],[T1.2023]:[T12.2023]])</f>
        <v>9282695737</v>
      </c>
      <c r="G11" s="12">
        <f>SUM(Data_PL73[[#This Row],[T01.2024]:[T12.2024]])</f>
        <v>15099094600</v>
      </c>
      <c r="H11" s="12">
        <f>SUM(Data_PL73[[#This Row],[T01.2025]:[T12.2025]])</f>
        <v>16906508752</v>
      </c>
      <c r="I11" s="12">
        <f>SUM(Data_PL73[[#This Row],[T01.2026]:[T12.2026]])</f>
        <v>3968224388</v>
      </c>
      <c r="J11" s="14">
        <v>1228117</v>
      </c>
      <c r="K11" s="14">
        <v>1370668</v>
      </c>
      <c r="L11" s="14">
        <v>503786</v>
      </c>
      <c r="M11" s="14">
        <v>991223</v>
      </c>
      <c r="N11" s="14">
        <v>924399</v>
      </c>
      <c r="O11" s="14">
        <v>2721429</v>
      </c>
      <c r="P11" s="14">
        <v>5630167167</v>
      </c>
      <c r="Q11" s="14">
        <v>4552274821</v>
      </c>
      <c r="R11" s="14">
        <v>4006107516</v>
      </c>
      <c r="S11" s="14">
        <v>1404451824</v>
      </c>
      <c r="T11" s="14">
        <v>1487413089</v>
      </c>
      <c r="U11" s="14">
        <v>1240578961</v>
      </c>
      <c r="V11" s="14">
        <v>1479346434</v>
      </c>
      <c r="W11" s="14">
        <v>1527456177</v>
      </c>
      <c r="X11" s="14">
        <v>1512346597</v>
      </c>
      <c r="Y11" s="14">
        <v>1655612808</v>
      </c>
      <c r="Z11" s="14">
        <v>2665641339</v>
      </c>
      <c r="AA11" s="14">
        <v>1264179580</v>
      </c>
      <c r="AB11" s="14">
        <v>1129143854</v>
      </c>
      <c r="AC11" s="14">
        <v>1236134244</v>
      </c>
      <c r="AD11" s="14">
        <v>1420307305</v>
      </c>
      <c r="AE11" s="14">
        <v>1826774837</v>
      </c>
      <c r="AF11" s="14">
        <v>1006924842</v>
      </c>
      <c r="AG11" s="14">
        <v>516733565</v>
      </c>
      <c r="AH11" s="14">
        <v>23897328</v>
      </c>
      <c r="AI11" s="14">
        <v>190776336</v>
      </c>
      <c r="AJ11" s="14">
        <v>16660712</v>
      </c>
      <c r="AK11" s="14">
        <v>967330723</v>
      </c>
      <c r="AL11" s="14">
        <v>867791673</v>
      </c>
      <c r="AM11" s="14">
        <v>866039044</v>
      </c>
      <c r="AN11" s="14">
        <v>810000497</v>
      </c>
      <c r="AO11" s="14">
        <v>1331407010</v>
      </c>
      <c r="AP11" s="14">
        <v>1045754825</v>
      </c>
      <c r="AQ11" s="14">
        <v>1146315118</v>
      </c>
      <c r="AR11" s="14">
        <v>946685267</v>
      </c>
      <c r="AS11" s="14">
        <v>1070037204</v>
      </c>
      <c r="AT11" s="14">
        <v>702840610</v>
      </c>
      <c r="AU11" s="14">
        <v>1100851130</v>
      </c>
      <c r="AV11" s="14">
        <v>994712341</v>
      </c>
      <c r="AW11" s="14">
        <v>1735368123</v>
      </c>
      <c r="AX11" s="14">
        <v>1021938222</v>
      </c>
      <c r="AY11" s="14">
        <v>578784271</v>
      </c>
      <c r="AZ11" s="14">
        <v>343643819</v>
      </c>
      <c r="BA11" s="14">
        <v>1242477440</v>
      </c>
      <c r="BB11" s="14">
        <v>1549112434</v>
      </c>
      <c r="BC11" s="14">
        <v>2779237425</v>
      </c>
      <c r="BD11" s="14">
        <v>865910053</v>
      </c>
      <c r="BE11" s="14">
        <v>2184218732</v>
      </c>
      <c r="BF11" s="14">
        <v>773999253</v>
      </c>
      <c r="BG11" s="14">
        <v>1788435256</v>
      </c>
      <c r="BH11" s="14">
        <v>931124505</v>
      </c>
      <c r="BI11" s="14">
        <v>1307926421</v>
      </c>
      <c r="BJ11" s="14">
        <v>2429341904</v>
      </c>
      <c r="BK11" s="14">
        <v>1641453607</v>
      </c>
      <c r="BL11" s="14">
        <v>1393514763</v>
      </c>
      <c r="BM11" s="14">
        <v>1498736488</v>
      </c>
      <c r="BN11" s="14">
        <v>1228780215</v>
      </c>
      <c r="BO11" s="14">
        <v>2716737103</v>
      </c>
      <c r="BP11" s="14">
        <v>515476780</v>
      </c>
      <c r="BQ11" s="14">
        <v>680982457</v>
      </c>
      <c r="BR11" s="14">
        <v>1053165322</v>
      </c>
      <c r="BS11" s="14">
        <v>307705069</v>
      </c>
      <c r="BT11" s="14">
        <v>839416558</v>
      </c>
      <c r="BU11" s="14">
        <v>1767937439</v>
      </c>
      <c r="BV11" s="14"/>
      <c r="BW11" s="14"/>
      <c r="BX11" s="14"/>
      <c r="BY11" s="14"/>
      <c r="BZ11" s="14"/>
      <c r="CA11" s="14"/>
      <c r="CB11" s="14"/>
      <c r="CC11" s="14"/>
    </row>
    <row r="12" spans="1:81">
      <c r="A12" s="9">
        <v>9</v>
      </c>
      <c r="B12" s="10" t="s">
        <v>91</v>
      </c>
      <c r="C12" s="9">
        <v>5</v>
      </c>
      <c r="D12" s="9">
        <f>SUM(Data_PL73[[#This Row],[T1.2021]:[T12.2021]])</f>
        <v>3984725509</v>
      </c>
      <c r="E12" s="9">
        <f>SUM(Data_PL73[[#This Row],[T1.2022]:[T12.2022]])</f>
        <v>8892172663</v>
      </c>
      <c r="F12" s="9">
        <f>SUM(Data_PL73[[#This Row],[T1.2023]:[T12.2023]])</f>
        <v>3023468987</v>
      </c>
      <c r="G12" s="9">
        <f>SUM(Data_PL73[[#This Row],[T01.2024]:[T12.2024]])</f>
        <v>13113711111</v>
      </c>
      <c r="H12" s="9">
        <f>SUM(Data_PL73[[#This Row],[T01.2025]:[T12.2025]])</f>
        <v>18541073627</v>
      </c>
      <c r="I12" s="9">
        <f>SUM(Data_PL73[[#This Row],[T01.2026]:[T12.2026]])</f>
        <v>6611590325</v>
      </c>
      <c r="J12" s="11">
        <v>167606071</v>
      </c>
      <c r="K12" s="11">
        <v>221668883</v>
      </c>
      <c r="L12" s="11">
        <v>208008837</v>
      </c>
      <c r="M12" s="11">
        <v>262181583</v>
      </c>
      <c r="N12" s="11">
        <v>294284803</v>
      </c>
      <c r="O12" s="11">
        <v>376440316</v>
      </c>
      <c r="P12" s="11">
        <v>341383390</v>
      </c>
      <c r="Q12" s="11">
        <v>424333601</v>
      </c>
      <c r="R12" s="11">
        <v>404885911</v>
      </c>
      <c r="S12" s="11">
        <v>376140889</v>
      </c>
      <c r="T12" s="11">
        <v>457278692</v>
      </c>
      <c r="U12" s="11">
        <v>450512533</v>
      </c>
      <c r="V12" s="11">
        <v>566186825</v>
      </c>
      <c r="W12" s="11">
        <v>636770194</v>
      </c>
      <c r="X12" s="11">
        <v>622676693</v>
      </c>
      <c r="Y12" s="11">
        <v>508923847</v>
      </c>
      <c r="Z12" s="11">
        <v>611802389</v>
      </c>
      <c r="AA12" s="11">
        <v>151684906</v>
      </c>
      <c r="AB12" s="11">
        <v>632905650</v>
      </c>
      <c r="AC12" s="11">
        <v>700652271</v>
      </c>
      <c r="AD12" s="11">
        <v>1025151505</v>
      </c>
      <c r="AE12" s="11">
        <v>1107933886</v>
      </c>
      <c r="AF12" s="11">
        <v>1595489167</v>
      </c>
      <c r="AG12" s="11">
        <v>731995330</v>
      </c>
      <c r="AH12" s="11">
        <v>74107271</v>
      </c>
      <c r="AI12" s="11">
        <v>30659803</v>
      </c>
      <c r="AJ12" s="11">
        <v>220600896</v>
      </c>
      <c r="AK12" s="11">
        <v>69167924</v>
      </c>
      <c r="AL12" s="11">
        <v>49408830</v>
      </c>
      <c r="AM12" s="11">
        <v>124156445</v>
      </c>
      <c r="AN12" s="11">
        <v>311284353</v>
      </c>
      <c r="AO12" s="11">
        <v>709793834</v>
      </c>
      <c r="AP12" s="11">
        <v>328510530</v>
      </c>
      <c r="AQ12" s="11">
        <v>475535318</v>
      </c>
      <c r="AR12" s="11">
        <v>86442609</v>
      </c>
      <c r="AS12" s="11">
        <v>543801174</v>
      </c>
      <c r="AT12" s="11">
        <v>801399604</v>
      </c>
      <c r="AU12" s="11">
        <v>695500231</v>
      </c>
      <c r="AV12" s="11">
        <v>663502461</v>
      </c>
      <c r="AW12" s="11">
        <v>1555671370</v>
      </c>
      <c r="AX12" s="11">
        <v>936492932</v>
      </c>
      <c r="AY12" s="11">
        <v>1103852896</v>
      </c>
      <c r="AZ12" s="11">
        <v>1608708972</v>
      </c>
      <c r="BA12" s="11">
        <v>1489581015</v>
      </c>
      <c r="BB12" s="11">
        <v>1372261307</v>
      </c>
      <c r="BC12" s="11">
        <v>636041020</v>
      </c>
      <c r="BD12" s="11">
        <v>1257673070</v>
      </c>
      <c r="BE12" s="11">
        <v>993026233</v>
      </c>
      <c r="BF12" s="11">
        <v>1529745602</v>
      </c>
      <c r="BG12" s="11">
        <v>1349010483</v>
      </c>
      <c r="BH12" s="11">
        <v>902730488</v>
      </c>
      <c r="BI12" s="11">
        <v>1450570894</v>
      </c>
      <c r="BJ12" s="11">
        <v>858169737</v>
      </c>
      <c r="BK12" s="11">
        <v>1483876982</v>
      </c>
      <c r="BL12" s="11">
        <v>1315247967</v>
      </c>
      <c r="BM12" s="11">
        <v>1366041150</v>
      </c>
      <c r="BN12" s="11">
        <v>1603769193</v>
      </c>
      <c r="BO12" s="11">
        <v>2900732378</v>
      </c>
      <c r="BP12" s="11">
        <v>1301741764</v>
      </c>
      <c r="BQ12" s="11">
        <v>2479436989</v>
      </c>
      <c r="BR12" s="11">
        <v>1532817392</v>
      </c>
      <c r="BS12" s="11">
        <v>1569283837</v>
      </c>
      <c r="BT12" s="11">
        <v>1510605035</v>
      </c>
      <c r="BU12" s="11">
        <v>1998884061</v>
      </c>
      <c r="BV12" s="11"/>
      <c r="BW12" s="11"/>
      <c r="BX12" s="11"/>
      <c r="BY12" s="11"/>
      <c r="BZ12" s="11"/>
      <c r="CA12" s="11"/>
      <c r="CB12" s="11"/>
      <c r="CC12" s="11"/>
    </row>
    <row r="13" spans="1:81">
      <c r="A13" s="12">
        <v>10</v>
      </c>
      <c r="B13" s="21" t="s">
        <v>92</v>
      </c>
      <c r="C13" s="12">
        <v>5</v>
      </c>
      <c r="D13" s="12">
        <f>SUM(Data_PL73[[#This Row],[T1.2021]:[T12.2021]])</f>
        <v>3929610603</v>
      </c>
      <c r="E13" s="12">
        <f>SUM(Data_PL73[[#This Row],[T1.2022]:[T12.2022]])</f>
        <v>7725836076</v>
      </c>
      <c r="F13" s="12">
        <f>SUM(Data_PL73[[#This Row],[T1.2023]:[T12.2023]])</f>
        <v>1165406526</v>
      </c>
      <c r="G13" s="12">
        <f>SUM(Data_PL73[[#This Row],[T01.2024]:[T12.2024]])</f>
        <v>10328501137</v>
      </c>
      <c r="H13" s="12">
        <f>SUM(Data_PL73[[#This Row],[T01.2025]:[T12.2025]])</f>
        <v>14263439054</v>
      </c>
      <c r="I13" s="12">
        <f>SUM(Data_PL73[[#This Row],[T01.2026]:[T12.2026]])</f>
        <v>4418197522</v>
      </c>
      <c r="J13" s="14">
        <v>167603935</v>
      </c>
      <c r="K13" s="14">
        <v>221659846</v>
      </c>
      <c r="L13" s="14">
        <v>208008837</v>
      </c>
      <c r="M13" s="14">
        <v>262170575</v>
      </c>
      <c r="N13" s="14">
        <v>294134531</v>
      </c>
      <c r="O13" s="14">
        <v>375347816</v>
      </c>
      <c r="P13" s="14">
        <v>340813568</v>
      </c>
      <c r="Q13" s="14">
        <v>399256526</v>
      </c>
      <c r="R13" s="14">
        <v>400979485</v>
      </c>
      <c r="S13" s="14">
        <v>368636370</v>
      </c>
      <c r="T13" s="14">
        <v>424483338</v>
      </c>
      <c r="U13" s="14">
        <v>466515776</v>
      </c>
      <c r="V13" s="14">
        <v>517655739</v>
      </c>
      <c r="W13" s="14">
        <v>651086182</v>
      </c>
      <c r="X13" s="14">
        <v>617884939</v>
      </c>
      <c r="Y13" s="14">
        <v>507919165</v>
      </c>
      <c r="Z13" s="14">
        <v>603465663</v>
      </c>
      <c r="AA13" s="14">
        <v>147007916</v>
      </c>
      <c r="AB13" s="14">
        <v>631302971</v>
      </c>
      <c r="AC13" s="14">
        <v>699695123</v>
      </c>
      <c r="AD13" s="14">
        <v>854484433</v>
      </c>
      <c r="AE13" s="14">
        <v>862022364</v>
      </c>
      <c r="AF13" s="14">
        <v>1093552795</v>
      </c>
      <c r="AG13" s="14">
        <v>539758786</v>
      </c>
      <c r="AH13" s="14">
        <v>44321388</v>
      </c>
      <c r="AI13" s="14">
        <v>0</v>
      </c>
      <c r="AJ13" s="14">
        <v>48722388</v>
      </c>
      <c r="AK13" s="14">
        <v>76187496</v>
      </c>
      <c r="AL13" s="14">
        <v>68801482</v>
      </c>
      <c r="AM13" s="14">
        <v>28249626</v>
      </c>
      <c r="AN13" s="14">
        <v>91396439</v>
      </c>
      <c r="AO13" s="14">
        <v>93845376</v>
      </c>
      <c r="AP13" s="14">
        <v>109400024</v>
      </c>
      <c r="AQ13" s="14">
        <v>129996535</v>
      </c>
      <c r="AR13" s="14">
        <v>157601782</v>
      </c>
      <c r="AS13" s="14">
        <v>316883990</v>
      </c>
      <c r="AT13" s="14">
        <v>460461775</v>
      </c>
      <c r="AU13" s="14">
        <v>563909516</v>
      </c>
      <c r="AV13" s="14">
        <v>587315920</v>
      </c>
      <c r="AW13" s="14">
        <v>905708142</v>
      </c>
      <c r="AX13" s="14">
        <v>974310029</v>
      </c>
      <c r="AY13" s="14">
        <v>1115056080</v>
      </c>
      <c r="AZ13" s="14">
        <v>1160823006</v>
      </c>
      <c r="BA13" s="14">
        <v>939585045</v>
      </c>
      <c r="BB13" s="14">
        <v>859444105</v>
      </c>
      <c r="BC13" s="14">
        <v>840165515</v>
      </c>
      <c r="BD13" s="14">
        <v>889159081</v>
      </c>
      <c r="BE13" s="14">
        <v>1032562923</v>
      </c>
      <c r="BF13" s="14">
        <v>1114824276</v>
      </c>
      <c r="BG13" s="14">
        <v>928379281</v>
      </c>
      <c r="BH13" s="14">
        <v>673966789</v>
      </c>
      <c r="BI13" s="14">
        <v>888393452</v>
      </c>
      <c r="BJ13" s="14">
        <v>1186588729</v>
      </c>
      <c r="BK13" s="14">
        <v>1448899822</v>
      </c>
      <c r="BL13" s="14">
        <v>1242023326</v>
      </c>
      <c r="BM13" s="14">
        <v>1303560910</v>
      </c>
      <c r="BN13" s="14">
        <v>1595764355</v>
      </c>
      <c r="BO13" s="14">
        <v>1368802426</v>
      </c>
      <c r="BP13" s="14">
        <v>1256132292</v>
      </c>
      <c r="BQ13" s="14">
        <v>1256103396</v>
      </c>
      <c r="BR13" s="14">
        <v>1240115065</v>
      </c>
      <c r="BS13" s="14">
        <v>1156279418</v>
      </c>
      <c r="BT13" s="14">
        <v>959718564</v>
      </c>
      <c r="BU13" s="14">
        <v>1062084475</v>
      </c>
      <c r="BV13" s="14"/>
      <c r="BW13" s="14"/>
      <c r="BX13" s="14"/>
      <c r="BY13" s="14"/>
      <c r="BZ13" s="14"/>
      <c r="CA13" s="14"/>
      <c r="CB13" s="14"/>
      <c r="CC13" s="14"/>
    </row>
    <row r="14" spans="1:81">
      <c r="A14" s="12">
        <v>11</v>
      </c>
      <c r="B14" s="13" t="s">
        <v>93</v>
      </c>
      <c r="C14" s="12">
        <v>5</v>
      </c>
      <c r="D14" s="12">
        <f>SUM(Data_PL73[[#This Row],[T1.2021]:[T12.2021]])</f>
        <v>3009092451</v>
      </c>
      <c r="E14" s="12">
        <f>SUM(Data_PL73[[#This Row],[T1.2022]:[T12.2022]])</f>
        <v>14690021152</v>
      </c>
      <c r="F14" s="12">
        <f>SUM(Data_PL73[[#This Row],[T1.2023]:[T12.2023]])</f>
        <v>19132571517</v>
      </c>
      <c r="G14" s="12">
        <f>SUM(Data_PL73[[#This Row],[T01.2024]:[T12.2024]])</f>
        <v>50836279646</v>
      </c>
      <c r="H14" s="12">
        <f>SUM(Data_PL73[[#This Row],[T01.2025]:[T12.2025]])</f>
        <v>55101745592</v>
      </c>
      <c r="I14" s="12">
        <f>SUM(Data_PL73[[#This Row],[T01.2026]:[T12.2026]])</f>
        <v>19001448254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251616145</v>
      </c>
      <c r="R14" s="14">
        <v>680077987</v>
      </c>
      <c r="S14" s="14">
        <v>546329598</v>
      </c>
      <c r="T14" s="14">
        <v>967543289</v>
      </c>
      <c r="U14" s="14">
        <v>563525432</v>
      </c>
      <c r="V14" s="14">
        <v>496681104</v>
      </c>
      <c r="W14" s="14">
        <v>38696800</v>
      </c>
      <c r="X14" s="14">
        <v>1520204587</v>
      </c>
      <c r="Y14" s="14">
        <v>3287497220</v>
      </c>
      <c r="Z14" s="14">
        <v>563902784</v>
      </c>
      <c r="AA14" s="14">
        <v>802923682</v>
      </c>
      <c r="AB14" s="14">
        <v>1108487180</v>
      </c>
      <c r="AC14" s="14">
        <v>819028904</v>
      </c>
      <c r="AD14" s="14">
        <v>1282383810</v>
      </c>
      <c r="AE14" s="14">
        <v>1073636694</v>
      </c>
      <c r="AF14" s="14">
        <v>1462938929</v>
      </c>
      <c r="AG14" s="14">
        <v>2233639458</v>
      </c>
      <c r="AH14" s="14">
        <v>645459129</v>
      </c>
      <c r="AI14" s="14">
        <v>991254056</v>
      </c>
      <c r="AJ14" s="14">
        <v>1883160244</v>
      </c>
      <c r="AK14" s="14">
        <v>1145404547</v>
      </c>
      <c r="AL14" s="14">
        <v>1970368365</v>
      </c>
      <c r="AM14" s="14">
        <v>1459341885</v>
      </c>
      <c r="AN14" s="14">
        <v>1450399092</v>
      </c>
      <c r="AO14" s="14">
        <v>2363556660</v>
      </c>
      <c r="AP14" s="14">
        <v>1466584216</v>
      </c>
      <c r="AQ14" s="14">
        <v>2298997918</v>
      </c>
      <c r="AR14" s="14">
        <v>1849124450</v>
      </c>
      <c r="AS14" s="14">
        <v>1608920955</v>
      </c>
      <c r="AT14" s="14">
        <v>2846219487</v>
      </c>
      <c r="AU14" s="14">
        <v>1219456854</v>
      </c>
      <c r="AV14" s="14">
        <v>3715738043</v>
      </c>
      <c r="AW14" s="14">
        <v>4585159549</v>
      </c>
      <c r="AX14" s="14">
        <v>1693810954</v>
      </c>
      <c r="AY14" s="14">
        <v>2407466874</v>
      </c>
      <c r="AZ14" s="14">
        <v>2300964337</v>
      </c>
      <c r="BA14" s="14">
        <v>8205607205</v>
      </c>
      <c r="BB14" s="14">
        <v>7036529523</v>
      </c>
      <c r="BC14" s="14">
        <v>4608951194</v>
      </c>
      <c r="BD14" s="14">
        <v>1949627546</v>
      </c>
      <c r="BE14" s="14">
        <v>10266748080</v>
      </c>
      <c r="BF14" s="14">
        <v>4006424849</v>
      </c>
      <c r="BG14" s="14">
        <v>6313682258</v>
      </c>
      <c r="BH14" s="14">
        <v>5091544776</v>
      </c>
      <c r="BI14" s="14">
        <v>4077126734</v>
      </c>
      <c r="BJ14" s="14">
        <v>4686536575</v>
      </c>
      <c r="BK14" s="14">
        <v>4796729528</v>
      </c>
      <c r="BL14" s="14">
        <v>3449972349</v>
      </c>
      <c r="BM14" s="14">
        <v>4949095751</v>
      </c>
      <c r="BN14" s="14">
        <v>2811598286</v>
      </c>
      <c r="BO14" s="14">
        <v>6688603934</v>
      </c>
      <c r="BP14" s="14">
        <v>3413749635</v>
      </c>
      <c r="BQ14" s="14">
        <v>4816680917</v>
      </c>
      <c r="BR14" s="14">
        <v>3731798004</v>
      </c>
      <c r="BS14" s="14">
        <v>3202645336</v>
      </c>
      <c r="BT14" s="14">
        <v>6245695788</v>
      </c>
      <c r="BU14" s="14">
        <v>5821309126</v>
      </c>
      <c r="BV14" s="14"/>
      <c r="BW14" s="14"/>
      <c r="BX14" s="14"/>
      <c r="BY14" s="14"/>
      <c r="BZ14" s="14"/>
      <c r="CA14" s="14"/>
      <c r="CB14" s="14"/>
      <c r="CC14" s="14"/>
    </row>
    <row r="15" spans="1:81">
      <c r="A15" s="12">
        <v>12</v>
      </c>
      <c r="B15" s="13" t="s">
        <v>94</v>
      </c>
      <c r="C15" s="12">
        <v>5</v>
      </c>
      <c r="D15" s="12">
        <f>SUM(Data_PL73[[#This Row],[T1.2021]:[T12.2021]])</f>
        <v>11203395485</v>
      </c>
      <c r="E15" s="12">
        <f>SUM(Data_PL73[[#This Row],[T1.2022]:[T12.2022]])</f>
        <v>29733399077</v>
      </c>
      <c r="F15" s="12">
        <f>SUM(Data_PL73[[#This Row],[T1.2023]:[T12.2023]])</f>
        <v>40274613810</v>
      </c>
      <c r="G15" s="12">
        <f>SUM(Data_PL73[[#This Row],[T01.2024]:[T12.2024]])</f>
        <v>70102214341</v>
      </c>
      <c r="H15" s="12">
        <f>SUM(Data_PL73[[#This Row],[T01.2025]:[T12.2025]])</f>
        <v>98715170412</v>
      </c>
      <c r="I15" s="12">
        <f>SUM(Data_PL73[[#This Row],[T01.2026]:[T12.2026]])</f>
        <v>31832287701</v>
      </c>
      <c r="J15" s="14">
        <v>457415751</v>
      </c>
      <c r="K15" s="14">
        <v>619384345</v>
      </c>
      <c r="L15" s="14">
        <v>707076077</v>
      </c>
      <c r="M15" s="14">
        <v>816715935</v>
      </c>
      <c r="N15" s="14">
        <v>827613489</v>
      </c>
      <c r="O15" s="14">
        <v>624184259</v>
      </c>
      <c r="P15" s="14">
        <v>2510720411</v>
      </c>
      <c r="Q15" s="14">
        <v>569609208</v>
      </c>
      <c r="R15" s="14">
        <v>536039299</v>
      </c>
      <c r="S15" s="14">
        <v>941857345</v>
      </c>
      <c r="T15" s="14">
        <v>3424596971</v>
      </c>
      <c r="U15" s="14">
        <v>-831817605</v>
      </c>
      <c r="V15" s="14">
        <v>1435430845</v>
      </c>
      <c r="W15" s="14">
        <v>1479188151</v>
      </c>
      <c r="X15" s="14">
        <v>1624743284</v>
      </c>
      <c r="Y15" s="14">
        <v>1725353483</v>
      </c>
      <c r="Z15" s="14">
        <v>1803134313</v>
      </c>
      <c r="AA15" s="14">
        <v>1872200320</v>
      </c>
      <c r="AB15" s="14">
        <v>1882239518</v>
      </c>
      <c r="AC15" s="14">
        <v>2444716491</v>
      </c>
      <c r="AD15" s="14">
        <v>2755381317</v>
      </c>
      <c r="AE15" s="14">
        <v>3239626198</v>
      </c>
      <c r="AF15" s="14">
        <v>3143544394</v>
      </c>
      <c r="AG15" s="14">
        <v>6327840763</v>
      </c>
      <c r="AH15" s="14">
        <v>2772788125</v>
      </c>
      <c r="AI15" s="14">
        <v>2947588122</v>
      </c>
      <c r="AJ15" s="14">
        <v>3098829707</v>
      </c>
      <c r="AK15" s="14">
        <v>3036290770</v>
      </c>
      <c r="AL15" s="14">
        <v>3448026712</v>
      </c>
      <c r="AM15" s="14">
        <v>3261800788</v>
      </c>
      <c r="AN15" s="14">
        <v>3348437381</v>
      </c>
      <c r="AO15" s="14">
        <v>1910475796</v>
      </c>
      <c r="AP15" s="14">
        <v>3536419913</v>
      </c>
      <c r="AQ15" s="14">
        <v>3592592574</v>
      </c>
      <c r="AR15" s="14">
        <v>3600549435</v>
      </c>
      <c r="AS15" s="14">
        <v>5720814487</v>
      </c>
      <c r="AT15" s="14">
        <v>5241377343</v>
      </c>
      <c r="AU15" s="14">
        <v>4647980221</v>
      </c>
      <c r="AV15" s="14">
        <v>4838115306</v>
      </c>
      <c r="AW15" s="14">
        <v>5132788494</v>
      </c>
      <c r="AX15" s="14">
        <v>5665606587</v>
      </c>
      <c r="AY15" s="14">
        <v>5470797521</v>
      </c>
      <c r="AZ15" s="14">
        <v>5239042307</v>
      </c>
      <c r="BA15" s="14">
        <v>6065017937</v>
      </c>
      <c r="BB15" s="14">
        <v>7524726581</v>
      </c>
      <c r="BC15" s="14">
        <v>7016385931</v>
      </c>
      <c r="BD15" s="14">
        <v>7426888275</v>
      </c>
      <c r="BE15" s="14">
        <v>5833487838</v>
      </c>
      <c r="BF15" s="14">
        <v>7638868570</v>
      </c>
      <c r="BG15" s="14">
        <v>7013534740</v>
      </c>
      <c r="BH15" s="14">
        <v>7332584934</v>
      </c>
      <c r="BI15" s="14">
        <v>7155903324</v>
      </c>
      <c r="BJ15" s="14">
        <v>7948694673</v>
      </c>
      <c r="BK15" s="14">
        <v>7721648228</v>
      </c>
      <c r="BL15" s="14">
        <v>7616453256</v>
      </c>
      <c r="BM15" s="14">
        <v>7931593154</v>
      </c>
      <c r="BN15" s="14">
        <v>9422194647</v>
      </c>
      <c r="BO15" s="14">
        <v>3775611792</v>
      </c>
      <c r="BP15" s="14">
        <v>9875644458</v>
      </c>
      <c r="BQ15" s="14">
        <v>15282438636</v>
      </c>
      <c r="BR15" s="14">
        <v>8394130638</v>
      </c>
      <c r="BS15" s="14">
        <v>7959394332</v>
      </c>
      <c r="BT15" s="14">
        <v>7329810589</v>
      </c>
      <c r="BU15" s="14">
        <v>8148952142</v>
      </c>
      <c r="BV15" s="14"/>
      <c r="BW15" s="14"/>
      <c r="BX15" s="14"/>
      <c r="BY15" s="14"/>
      <c r="BZ15" s="14"/>
      <c r="CA15" s="14"/>
      <c r="CB15" s="14"/>
      <c r="CC15" s="14"/>
    </row>
    <row r="16" spans="1:81">
      <c r="A16" s="9">
        <v>13</v>
      </c>
      <c r="B16" s="10" t="s">
        <v>95</v>
      </c>
      <c r="C16" s="9">
        <v>5</v>
      </c>
      <c r="D16" s="9">
        <f>SUM(Data_PL73[[#This Row],[T1.2021]:[T12.2021]])</f>
        <v>5337309604</v>
      </c>
      <c r="E16" s="9">
        <f>SUM(Data_PL73[[#This Row],[T1.2022]:[T12.2022]])</f>
        <v>-6044152136</v>
      </c>
      <c r="F16" s="9">
        <f>SUM(Data_PL73[[#This Row],[T1.2023]:[T12.2023]])</f>
        <v>113776714431</v>
      </c>
      <c r="G16" s="9">
        <f>SUM(Data_PL73[[#This Row],[T01.2024]:[T12.2024]])</f>
        <v>74232630581</v>
      </c>
      <c r="H16" s="9">
        <f>SUM(Data_PL73[[#This Row],[T01.2025]:[T12.2025]])</f>
        <v>38578546121</v>
      </c>
      <c r="I16" s="9">
        <f>SUM(Data_PL73[[#This Row],[T01.2026]:[T12.2026]])</f>
        <v>-10870908667</v>
      </c>
      <c r="J16" s="11">
        <v>-145242364</v>
      </c>
      <c r="K16" s="11">
        <v>-561242112</v>
      </c>
      <c r="L16" s="11">
        <v>1079880079</v>
      </c>
      <c r="M16" s="11">
        <v>412369142</v>
      </c>
      <c r="N16" s="11">
        <v>-831102586</v>
      </c>
      <c r="O16" s="11">
        <v>-937389304</v>
      </c>
      <c r="P16" s="11">
        <v>3147473719</v>
      </c>
      <c r="Q16" s="11">
        <v>1027070127</v>
      </c>
      <c r="R16" s="11">
        <v>2126978303</v>
      </c>
      <c r="S16" s="11">
        <v>469318201</v>
      </c>
      <c r="T16" s="11">
        <v>-2520958524</v>
      </c>
      <c r="U16" s="11">
        <v>2070154923</v>
      </c>
      <c r="V16" s="11">
        <v>-364468934</v>
      </c>
      <c r="W16" s="11">
        <v>-1428839181</v>
      </c>
      <c r="X16" s="11">
        <v>545981904</v>
      </c>
      <c r="Y16" s="11">
        <v>1650096564</v>
      </c>
      <c r="Z16" s="11">
        <v>2456936062</v>
      </c>
      <c r="AA16" s="11">
        <v>2026651135</v>
      </c>
      <c r="AB16" s="11">
        <v>1377966393</v>
      </c>
      <c r="AC16" s="11">
        <v>3101161984</v>
      </c>
      <c r="AD16" s="11">
        <v>885699606</v>
      </c>
      <c r="AE16" s="11">
        <v>-393669160</v>
      </c>
      <c r="AF16" s="11">
        <v>-1460282402</v>
      </c>
      <c r="AG16" s="11">
        <v>-14441386107</v>
      </c>
      <c r="AH16" s="11">
        <v>724630559</v>
      </c>
      <c r="AI16" s="11">
        <v>-2654785583</v>
      </c>
      <c r="AJ16" s="11">
        <v>-7224620343</v>
      </c>
      <c r="AK16" s="11">
        <v>-2938680602</v>
      </c>
      <c r="AL16" s="11">
        <v>2786324124</v>
      </c>
      <c r="AM16" s="11">
        <v>39020306342</v>
      </c>
      <c r="AN16" s="11">
        <v>4428971361</v>
      </c>
      <c r="AO16" s="11">
        <v>12407993027</v>
      </c>
      <c r="AP16" s="11">
        <v>22901435976</v>
      </c>
      <c r="AQ16" s="11">
        <v>17510693234</v>
      </c>
      <c r="AR16" s="11">
        <v>9200105319</v>
      </c>
      <c r="AS16" s="11">
        <v>17614341017</v>
      </c>
      <c r="AT16" s="11">
        <v>1933695736</v>
      </c>
      <c r="AU16" s="11">
        <v>-5270660796</v>
      </c>
      <c r="AV16" s="11">
        <v>-2937512643</v>
      </c>
      <c r="AW16" s="11">
        <v>2475246742</v>
      </c>
      <c r="AX16" s="11">
        <v>-4117202543</v>
      </c>
      <c r="AY16" s="11">
        <v>-10105774890</v>
      </c>
      <c r="AZ16" s="11">
        <v>-13571603862</v>
      </c>
      <c r="BA16" s="11">
        <v>-8460674377</v>
      </c>
      <c r="BB16" s="11">
        <v>9675868151</v>
      </c>
      <c r="BC16" s="11">
        <v>-4807983867</v>
      </c>
      <c r="BD16" s="11">
        <v>-4640581121</v>
      </c>
      <c r="BE16" s="11">
        <v>114059814051</v>
      </c>
      <c r="BF16" s="11">
        <v>5762022698</v>
      </c>
      <c r="BG16" s="11">
        <v>20541037329</v>
      </c>
      <c r="BH16" s="11">
        <v>8348281164</v>
      </c>
      <c r="BI16" s="11">
        <v>4412167173</v>
      </c>
      <c r="BJ16" s="11">
        <v>11097005663</v>
      </c>
      <c r="BK16" s="11">
        <v>1310222046</v>
      </c>
      <c r="BL16" s="11">
        <v>-1670593931</v>
      </c>
      <c r="BM16" s="11">
        <v>592817173</v>
      </c>
      <c r="BN16" s="11">
        <v>-11011661349</v>
      </c>
      <c r="BO16" s="11">
        <v>-1686591557</v>
      </c>
      <c r="BP16" s="11">
        <v>-6668379119</v>
      </c>
      <c r="BQ16" s="11">
        <v>7552218831</v>
      </c>
      <c r="BR16" s="11">
        <v>-1586656660</v>
      </c>
      <c r="BS16" s="11">
        <v>-6268283537</v>
      </c>
      <c r="BT16" s="11">
        <v>-6785612190</v>
      </c>
      <c r="BU16" s="11">
        <v>3769643720</v>
      </c>
      <c r="BV16" s="11"/>
      <c r="BW16" s="11"/>
      <c r="BX16" s="11"/>
      <c r="BY16" s="11"/>
      <c r="BZ16" s="11"/>
      <c r="CA16" s="11"/>
      <c r="CB16" s="11"/>
      <c r="CC16" s="11"/>
    </row>
    <row r="17" spans="1:81">
      <c r="A17" s="12">
        <v>14</v>
      </c>
      <c r="B17" s="13" t="s">
        <v>96</v>
      </c>
      <c r="C17" s="12">
        <v>5</v>
      </c>
      <c r="D17" s="12">
        <f>SUM(Data_PL73[[#This Row],[T1.2021]:[T12.2021]])</f>
        <v>18771710496</v>
      </c>
      <c r="E17" s="12">
        <f>SUM(Data_PL73[[#This Row],[T1.2022]:[T12.2022]])</f>
        <v>92779904880</v>
      </c>
      <c r="F17" s="12">
        <f>SUM(Data_PL73[[#This Row],[T1.2023]:[T12.2023]])</f>
        <v>17391162</v>
      </c>
      <c r="G17" s="12">
        <f>SUM(Data_PL73[[#This Row],[T01.2024]:[T12.2024]])</f>
        <v>1503561903</v>
      </c>
      <c r="H17" s="12">
        <f>SUM(Data_PL73[[#This Row],[T01.2025]:[T12.2025]])</f>
        <v>454238633</v>
      </c>
      <c r="I17" s="12">
        <f>SUM(Data_PL73[[#This Row],[T01.2026]:[T12.2026]])</f>
        <v>11703115</v>
      </c>
      <c r="J17" s="14">
        <v>0</v>
      </c>
      <c r="K17" s="14">
        <v>299375994</v>
      </c>
      <c r="L17" s="14">
        <v>787003464</v>
      </c>
      <c r="M17" s="14">
        <v>853324557</v>
      </c>
      <c r="N17" s="14">
        <v>610174630</v>
      </c>
      <c r="O17" s="14">
        <v>1291891103</v>
      </c>
      <c r="P17" s="14">
        <v>8989972067</v>
      </c>
      <c r="Q17" s="14">
        <v>40395118</v>
      </c>
      <c r="R17" s="14">
        <v>2077248</v>
      </c>
      <c r="S17" s="14">
        <v>399581022</v>
      </c>
      <c r="T17" s="14">
        <v>2510200174</v>
      </c>
      <c r="U17" s="14">
        <v>2987715119</v>
      </c>
      <c r="V17" s="14">
        <v>5351841304</v>
      </c>
      <c r="W17" s="14">
        <v>240544660</v>
      </c>
      <c r="X17" s="14">
        <v>164167319</v>
      </c>
      <c r="Y17" s="14">
        <v>0</v>
      </c>
      <c r="Z17" s="14">
        <v>397562937</v>
      </c>
      <c r="AA17" s="14">
        <v>263298162</v>
      </c>
      <c r="AB17" s="14">
        <v>116035636</v>
      </c>
      <c r="AC17" s="14">
        <v>406946130</v>
      </c>
      <c r="AD17" s="14">
        <v>1142849269</v>
      </c>
      <c r="AE17" s="14">
        <v>973159654</v>
      </c>
      <c r="AF17" s="14">
        <v>4531212183</v>
      </c>
      <c r="AG17" s="14">
        <v>79192287626</v>
      </c>
      <c r="AH17" s="14">
        <v>332026</v>
      </c>
      <c r="AI17" s="14">
        <v>0</v>
      </c>
      <c r="AJ17" s="14">
        <v>2</v>
      </c>
      <c r="AK17" s="14">
        <v>1</v>
      </c>
      <c r="AL17" s="14">
        <v>0</v>
      </c>
      <c r="AM17" s="14">
        <v>425</v>
      </c>
      <c r="AN17" s="14">
        <v>0</v>
      </c>
      <c r="AO17" s="14">
        <v>0</v>
      </c>
      <c r="AP17" s="14">
        <v>0</v>
      </c>
      <c r="AQ17" s="14">
        <v>0</v>
      </c>
      <c r="AR17" s="14">
        <v>8116</v>
      </c>
      <c r="AS17" s="14">
        <v>17050592</v>
      </c>
      <c r="AT17" s="14">
        <v>1945</v>
      </c>
      <c r="AU17" s="14">
        <v>12000</v>
      </c>
      <c r="AV17" s="14">
        <v>0</v>
      </c>
      <c r="AW17" s="14">
        <v>0</v>
      </c>
      <c r="AX17" s="14">
        <v>203</v>
      </c>
      <c r="AY17" s="14">
        <v>58510228</v>
      </c>
      <c r="AZ17" s="14">
        <v>52918371</v>
      </c>
      <c r="BA17" s="14">
        <v>177726993</v>
      </c>
      <c r="BB17" s="14">
        <v>999</v>
      </c>
      <c r="BC17" s="14">
        <v>196700</v>
      </c>
      <c r="BD17" s="14">
        <v>1398763491</v>
      </c>
      <c r="BE17" s="14">
        <v>-184569027</v>
      </c>
      <c r="BF17" s="14">
        <v>500207</v>
      </c>
      <c r="BG17" s="14">
        <v>2492480</v>
      </c>
      <c r="BH17" s="14">
        <v>2600082</v>
      </c>
      <c r="BI17" s="14">
        <v>33918440</v>
      </c>
      <c r="BJ17" s="14">
        <v>115000000</v>
      </c>
      <c r="BK17" s="14">
        <v>2020926</v>
      </c>
      <c r="BL17" s="14">
        <v>9788652</v>
      </c>
      <c r="BM17" s="14">
        <v>244500606</v>
      </c>
      <c r="BN17" s="14">
        <v>742</v>
      </c>
      <c r="BO17" s="14">
        <v>819591</v>
      </c>
      <c r="BP17" s="14">
        <v>110446</v>
      </c>
      <c r="BQ17" s="14">
        <v>42486461</v>
      </c>
      <c r="BR17" s="14">
        <v>4505</v>
      </c>
      <c r="BS17" s="14">
        <v>70001</v>
      </c>
      <c r="BT17" s="14">
        <v>1144804</v>
      </c>
      <c r="BU17" s="14">
        <v>10483805</v>
      </c>
      <c r="BV17" s="14"/>
      <c r="BW17" s="14"/>
      <c r="BX17" s="14"/>
      <c r="BY17" s="14"/>
      <c r="BZ17" s="14"/>
      <c r="CA17" s="14"/>
      <c r="CB17" s="14"/>
      <c r="CC17" s="14"/>
    </row>
    <row r="18" spans="1:81">
      <c r="A18" s="12">
        <v>15</v>
      </c>
      <c r="B18" s="13" t="s">
        <v>97</v>
      </c>
      <c r="C18" s="12">
        <v>5</v>
      </c>
      <c r="D18" s="12">
        <f>SUM(Data_PL73[[#This Row],[T1.2021]:[T12.2021]])</f>
        <v>3720756403</v>
      </c>
      <c r="E18" s="12">
        <f>SUM(Data_PL73[[#This Row],[T1.2022]:[T12.2022]])</f>
        <v>5507730098</v>
      </c>
      <c r="F18" s="12">
        <f>SUM(Data_PL73[[#This Row],[T1.2023]:[T12.2023]])</f>
        <v>198294222</v>
      </c>
      <c r="G18" s="12">
        <f>SUM(Data_PL73[[#This Row],[T01.2024]:[T12.2024]])</f>
        <v>8884638060</v>
      </c>
      <c r="H18" s="12">
        <f>SUM(Data_PL73[[#This Row],[T01.2025]:[T12.2025]])</f>
        <v>7634668922</v>
      </c>
      <c r="I18" s="12">
        <f>SUM(Data_PL73[[#This Row],[T01.2026]:[T12.2026]])</f>
        <v>368182201</v>
      </c>
      <c r="J18" s="14">
        <v>77565</v>
      </c>
      <c r="K18" s="14">
        <v>0</v>
      </c>
      <c r="L18" s="14">
        <v>0</v>
      </c>
      <c r="M18" s="14">
        <v>0</v>
      </c>
      <c r="N18" s="14">
        <v>6136364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3714542474</v>
      </c>
      <c r="V18" s="14">
        <v>0</v>
      </c>
      <c r="W18" s="14">
        <v>274745</v>
      </c>
      <c r="X18" s="14">
        <v>2093722658</v>
      </c>
      <c r="Y18" s="14">
        <v>631668424</v>
      </c>
      <c r="Z18" s="14">
        <v>567391744</v>
      </c>
      <c r="AA18" s="14">
        <v>150706725</v>
      </c>
      <c r="AB18" s="14">
        <v>2322906</v>
      </c>
      <c r="AC18" s="14">
        <v>1880704</v>
      </c>
      <c r="AD18" s="14">
        <v>593797145</v>
      </c>
      <c r="AE18" s="14">
        <v>15441</v>
      </c>
      <c r="AF18" s="14">
        <v>441600828</v>
      </c>
      <c r="AG18" s="14">
        <v>1024348778</v>
      </c>
      <c r="AH18" s="14">
        <v>1</v>
      </c>
      <c r="AI18" s="14">
        <v>236</v>
      </c>
      <c r="AJ18" s="14">
        <v>0</v>
      </c>
      <c r="AK18" s="14">
        <v>7135172</v>
      </c>
      <c r="AL18" s="14">
        <v>3500000</v>
      </c>
      <c r="AM18" s="14">
        <v>99064</v>
      </c>
      <c r="AN18" s="14">
        <v>0</v>
      </c>
      <c r="AO18" s="14">
        <v>-36000</v>
      </c>
      <c r="AP18" s="14">
        <v>0</v>
      </c>
      <c r="AQ18" s="14">
        <v>0</v>
      </c>
      <c r="AR18" s="14">
        <v>0</v>
      </c>
      <c r="AS18" s="14">
        <v>187595749</v>
      </c>
      <c r="AT18" s="14">
        <v>7958068</v>
      </c>
      <c r="AU18" s="14">
        <v>1</v>
      </c>
      <c r="AV18" s="14">
        <v>21796958</v>
      </c>
      <c r="AW18" s="14">
        <v>2</v>
      </c>
      <c r="AX18" s="14">
        <v>36200000</v>
      </c>
      <c r="AY18" s="14">
        <v>168183405</v>
      </c>
      <c r="AZ18" s="14">
        <v>6000002</v>
      </c>
      <c r="BA18" s="14">
        <v>601</v>
      </c>
      <c r="BB18" s="14">
        <v>2601033</v>
      </c>
      <c r="BC18" s="14">
        <v>170398064</v>
      </c>
      <c r="BD18" s="14">
        <v>202496</v>
      </c>
      <c r="BE18" s="14">
        <v>8471297430</v>
      </c>
      <c r="BF18" s="14">
        <v>1251667</v>
      </c>
      <c r="BG18" s="14">
        <v>130033300</v>
      </c>
      <c r="BH18" s="14">
        <v>0</v>
      </c>
      <c r="BI18" s="14">
        <v>17808640</v>
      </c>
      <c r="BJ18" s="14">
        <v>600</v>
      </c>
      <c r="BK18" s="14">
        <v>50477376</v>
      </c>
      <c r="BL18" s="14">
        <v>130663204</v>
      </c>
      <c r="BM18" s="14">
        <v>539898446</v>
      </c>
      <c r="BN18" s="14">
        <v>539664890</v>
      </c>
      <c r="BO18" s="14">
        <v>3515574706</v>
      </c>
      <c r="BP18" s="14">
        <v>1106262251</v>
      </c>
      <c r="BQ18" s="14">
        <v>1603033842</v>
      </c>
      <c r="BR18" s="14">
        <v>106808581</v>
      </c>
      <c r="BS18" s="14">
        <v>151000202</v>
      </c>
      <c r="BT18" s="14">
        <v>34000105</v>
      </c>
      <c r="BU18" s="14">
        <v>76373313</v>
      </c>
      <c r="BV18" s="14"/>
      <c r="BW18" s="14"/>
      <c r="BX18" s="14"/>
      <c r="BY18" s="14"/>
      <c r="BZ18" s="14"/>
      <c r="CA18" s="14"/>
      <c r="CB18" s="14"/>
      <c r="CC18" s="14"/>
    </row>
    <row r="19" spans="1:81">
      <c r="A19" s="9">
        <v>16</v>
      </c>
      <c r="B19" s="10" t="s">
        <v>98</v>
      </c>
      <c r="C19" s="9">
        <v>5</v>
      </c>
      <c r="D19" s="9">
        <f>SUM(Data_PL73[[#This Row],[T1.2021]:[T12.2021]])</f>
        <v>15050954093</v>
      </c>
      <c r="E19" s="9">
        <f>SUM(Data_PL73[[#This Row],[T1.2022]:[T12.2022]])</f>
        <v>87272174782</v>
      </c>
      <c r="F19" s="9">
        <f>SUM(Data_PL73[[#This Row],[T1.2023]:[T12.2023]])</f>
        <v>-180903060</v>
      </c>
      <c r="G19" s="9">
        <f>SUM(Data_PL73[[#This Row],[T01.2024]:[T12.2024]])</f>
        <v>-7381076157</v>
      </c>
      <c r="H19" s="9">
        <f>SUM(Data_PL73[[#This Row],[T01.2025]:[T12.2025]])</f>
        <v>-7180430289</v>
      </c>
      <c r="I19" s="9">
        <f>SUM(Data_PL73[[#This Row],[T01.2026]:[T12.2026]])</f>
        <v>-356479086</v>
      </c>
      <c r="J19" s="11">
        <v>-77565</v>
      </c>
      <c r="K19" s="11">
        <v>299375994</v>
      </c>
      <c r="L19" s="11">
        <v>787003464</v>
      </c>
      <c r="M19" s="11">
        <v>853324557</v>
      </c>
      <c r="N19" s="11">
        <v>604038266</v>
      </c>
      <c r="O19" s="11">
        <v>1291891103</v>
      </c>
      <c r="P19" s="11">
        <v>8989972067</v>
      </c>
      <c r="Q19" s="11">
        <v>40395118</v>
      </c>
      <c r="R19" s="11">
        <v>2077248</v>
      </c>
      <c r="S19" s="11">
        <v>399581022</v>
      </c>
      <c r="T19" s="11">
        <v>2510200174</v>
      </c>
      <c r="U19" s="11">
        <v>-726827355</v>
      </c>
      <c r="V19" s="11">
        <v>5351841304</v>
      </c>
      <c r="W19" s="11">
        <v>240269915</v>
      </c>
      <c r="X19" s="11">
        <v>-1929555339</v>
      </c>
      <c r="Y19" s="11">
        <v>-631668424</v>
      </c>
      <c r="Z19" s="11">
        <v>-169828807</v>
      </c>
      <c r="AA19" s="11">
        <v>112591437</v>
      </c>
      <c r="AB19" s="11">
        <v>113712730</v>
      </c>
      <c r="AC19" s="11">
        <v>405065426</v>
      </c>
      <c r="AD19" s="11">
        <v>549052124</v>
      </c>
      <c r="AE19" s="11">
        <v>973144213</v>
      </c>
      <c r="AF19" s="11">
        <v>4089611355</v>
      </c>
      <c r="AG19" s="11">
        <v>78167938848</v>
      </c>
      <c r="AH19" s="11">
        <v>332025</v>
      </c>
      <c r="AI19" s="11">
        <v>-236</v>
      </c>
      <c r="AJ19" s="11">
        <v>2</v>
      </c>
      <c r="AK19" s="11">
        <v>-7135171</v>
      </c>
      <c r="AL19" s="11">
        <v>-3500000</v>
      </c>
      <c r="AM19" s="11">
        <v>-98639</v>
      </c>
      <c r="AN19" s="11">
        <v>0</v>
      </c>
      <c r="AO19" s="11">
        <v>36000</v>
      </c>
      <c r="AP19" s="11">
        <v>0</v>
      </c>
      <c r="AQ19" s="11">
        <v>0</v>
      </c>
      <c r="AR19" s="11">
        <v>8116</v>
      </c>
      <c r="AS19" s="11">
        <v>-170545157</v>
      </c>
      <c r="AT19" s="11">
        <v>-7956123</v>
      </c>
      <c r="AU19" s="11">
        <v>11999</v>
      </c>
      <c r="AV19" s="11">
        <v>-21796958</v>
      </c>
      <c r="AW19" s="11">
        <v>-2</v>
      </c>
      <c r="AX19" s="11">
        <v>-36199797</v>
      </c>
      <c r="AY19" s="11">
        <v>-109673177</v>
      </c>
      <c r="AZ19" s="11">
        <v>46918369</v>
      </c>
      <c r="BA19" s="11">
        <v>177726392</v>
      </c>
      <c r="BB19" s="11">
        <v>-2600034</v>
      </c>
      <c r="BC19" s="11">
        <v>-170201364</v>
      </c>
      <c r="BD19" s="11">
        <v>1398560995</v>
      </c>
      <c r="BE19" s="11">
        <v>-8655866457</v>
      </c>
      <c r="BF19" s="11">
        <v>-751460</v>
      </c>
      <c r="BG19" s="11">
        <v>-127540820</v>
      </c>
      <c r="BH19" s="11">
        <v>2600082</v>
      </c>
      <c r="BI19" s="11">
        <v>16109800</v>
      </c>
      <c r="BJ19" s="11">
        <v>114999400</v>
      </c>
      <c r="BK19" s="11">
        <v>-48456450</v>
      </c>
      <c r="BL19" s="11">
        <v>-120874552</v>
      </c>
      <c r="BM19" s="11">
        <v>-295397840</v>
      </c>
      <c r="BN19" s="11">
        <v>-539664148</v>
      </c>
      <c r="BO19" s="11">
        <v>-3514755115</v>
      </c>
      <c r="BP19" s="11">
        <v>-1106151805</v>
      </c>
      <c r="BQ19" s="11">
        <v>-1560547381</v>
      </c>
      <c r="BR19" s="11">
        <v>-106804076</v>
      </c>
      <c r="BS19" s="11">
        <v>-150930201</v>
      </c>
      <c r="BT19" s="11">
        <v>-32855301</v>
      </c>
      <c r="BU19" s="11">
        <v>-65889508</v>
      </c>
      <c r="BV19" s="11"/>
      <c r="BW19" s="11"/>
      <c r="BX19" s="11"/>
      <c r="BY19" s="11"/>
      <c r="BZ19" s="11"/>
      <c r="CA19" s="11"/>
      <c r="CB19" s="11"/>
      <c r="CC19" s="11"/>
    </row>
    <row r="20" spans="1:81">
      <c r="A20" s="15">
        <v>17</v>
      </c>
      <c r="B20" s="10" t="s">
        <v>99</v>
      </c>
      <c r="C20" s="15">
        <v>5</v>
      </c>
      <c r="D20" s="15">
        <f>SUM(Data_PL73[[#This Row],[T1.2021]:[T12.2021]])</f>
        <v>20388263697</v>
      </c>
      <c r="E20" s="15">
        <f>SUM(Data_PL73[[#This Row],[T1.2022]:[T12.2022]])</f>
        <v>81228022646</v>
      </c>
      <c r="F20" s="15">
        <f>SUM(Data_PL73[[#This Row],[T1.2023]:[T12.2023]])</f>
        <v>113595811371</v>
      </c>
      <c r="G20" s="15">
        <f>SUM(Data_PL73[[#This Row],[T01.2024]:[T12.2024]])</f>
        <v>66851554424</v>
      </c>
      <c r="H20" s="15">
        <f>SUM(Data_PL73[[#This Row],[T01.2025]:[T12.2025]])</f>
        <v>31398115832</v>
      </c>
      <c r="I20" s="15">
        <f>SUM(Data_PL73[[#This Row],[T01.2026]:[T12.2026]])</f>
        <v>-11227387753</v>
      </c>
      <c r="J20" s="16">
        <v>-145319929</v>
      </c>
      <c r="K20" s="16">
        <v>-261866118</v>
      </c>
      <c r="L20" s="16">
        <v>1866883543</v>
      </c>
      <c r="M20" s="16">
        <v>1265693699</v>
      </c>
      <c r="N20" s="16">
        <v>-227064320</v>
      </c>
      <c r="O20" s="16">
        <v>354501799</v>
      </c>
      <c r="P20" s="16">
        <v>12137445786</v>
      </c>
      <c r="Q20" s="16">
        <v>1067465245</v>
      </c>
      <c r="R20" s="16">
        <v>2129055551</v>
      </c>
      <c r="S20" s="16">
        <v>868899223</v>
      </c>
      <c r="T20" s="16">
        <v>-10758350</v>
      </c>
      <c r="U20" s="16">
        <v>1343327568</v>
      </c>
      <c r="V20" s="16">
        <v>4987372370</v>
      </c>
      <c r="W20" s="16">
        <v>-1188569266</v>
      </c>
      <c r="X20" s="16">
        <v>-1383573435</v>
      </c>
      <c r="Y20" s="16">
        <v>1018428140</v>
      </c>
      <c r="Z20" s="16">
        <v>2287107255</v>
      </c>
      <c r="AA20" s="16">
        <v>2139242572</v>
      </c>
      <c r="AB20" s="16">
        <v>1491679123</v>
      </c>
      <c r="AC20" s="16">
        <v>3506227410</v>
      </c>
      <c r="AD20" s="16">
        <v>1434751730</v>
      </c>
      <c r="AE20" s="16">
        <v>579475053</v>
      </c>
      <c r="AF20" s="16">
        <v>2629328953</v>
      </c>
      <c r="AG20" s="16">
        <v>63726552741</v>
      </c>
      <c r="AH20" s="16">
        <v>724962584</v>
      </c>
      <c r="AI20" s="16">
        <v>-2654785819</v>
      </c>
      <c r="AJ20" s="16">
        <v>-7224620341</v>
      </c>
      <c r="AK20" s="16">
        <v>-2945815773</v>
      </c>
      <c r="AL20" s="16">
        <v>2782824124</v>
      </c>
      <c r="AM20" s="16">
        <v>39020207703</v>
      </c>
      <c r="AN20" s="16">
        <v>4428971361</v>
      </c>
      <c r="AO20" s="16">
        <v>12408029027</v>
      </c>
      <c r="AP20" s="16">
        <v>22901435976</v>
      </c>
      <c r="AQ20" s="16">
        <v>17510693234</v>
      </c>
      <c r="AR20" s="16">
        <v>9200113435</v>
      </c>
      <c r="AS20" s="16">
        <v>17443795860</v>
      </c>
      <c r="AT20" s="16">
        <v>1925739613</v>
      </c>
      <c r="AU20" s="16">
        <v>-5270648797</v>
      </c>
      <c r="AV20" s="16">
        <v>-2959309601</v>
      </c>
      <c r="AW20" s="16">
        <v>2475246740</v>
      </c>
      <c r="AX20" s="16">
        <v>-4153402340</v>
      </c>
      <c r="AY20" s="16">
        <v>-10215448067</v>
      </c>
      <c r="AZ20" s="16">
        <v>-13524685493</v>
      </c>
      <c r="BA20" s="16">
        <v>-8282947985</v>
      </c>
      <c r="BB20" s="16">
        <v>9673268117</v>
      </c>
      <c r="BC20" s="16">
        <v>-4978185231</v>
      </c>
      <c r="BD20" s="16">
        <v>-3242020126</v>
      </c>
      <c r="BE20" s="16">
        <v>105403947594</v>
      </c>
      <c r="BF20" s="16">
        <v>5761271238</v>
      </c>
      <c r="BG20" s="16">
        <v>20413496509</v>
      </c>
      <c r="BH20" s="16">
        <v>8350881246</v>
      </c>
      <c r="BI20" s="16">
        <v>4428276973</v>
      </c>
      <c r="BJ20" s="16">
        <v>11212005063</v>
      </c>
      <c r="BK20" s="16">
        <v>1261765596</v>
      </c>
      <c r="BL20" s="16">
        <v>-1791468483</v>
      </c>
      <c r="BM20" s="16">
        <v>297419333</v>
      </c>
      <c r="BN20" s="16">
        <v>-11551325497</v>
      </c>
      <c r="BO20" s="16">
        <v>-5201346672</v>
      </c>
      <c r="BP20" s="16">
        <v>-7774530924</v>
      </c>
      <c r="BQ20" s="16">
        <v>5991671450</v>
      </c>
      <c r="BR20" s="16">
        <v>-1693460736</v>
      </c>
      <c r="BS20" s="16">
        <v>-6419213738</v>
      </c>
      <c r="BT20" s="16">
        <v>-6818467491</v>
      </c>
      <c r="BU20" s="16">
        <v>3703754212</v>
      </c>
      <c r="BV20" s="16"/>
      <c r="BW20" s="16"/>
      <c r="BX20" s="16"/>
      <c r="BY20" s="16"/>
      <c r="BZ20" s="16"/>
      <c r="CA20" s="16"/>
      <c r="CB20" s="16"/>
      <c r="CC20" s="16"/>
    </row>
    <row r="21" spans="1:81">
      <c r="A21" s="12">
        <v>18</v>
      </c>
      <c r="B21" s="22" t="s">
        <v>100</v>
      </c>
      <c r="C21" s="12">
        <v>5</v>
      </c>
      <c r="D21" s="12">
        <f>SUM(Data_PL73[[#This Row],[T1.2021]:[T12.2021]])</f>
        <v>2854356918</v>
      </c>
      <c r="E21" s="12">
        <f>SUM(Data_PL73[[#This Row],[T1.2022]:[T12.2022]])</f>
        <v>19125239788</v>
      </c>
      <c r="F21" s="12">
        <f>SUM(Data_PL73[[#This Row],[T1.2023]:[T12.2023]])</f>
        <v>11001624815</v>
      </c>
      <c r="G21" s="12">
        <f>SUM(Data_PL73[[#This Row],[T01.2024]:[T12.2024]])</f>
        <v>11495266455</v>
      </c>
      <c r="H21" s="12">
        <f>SUM(Data_PL73[[#This Row],[T01.2025]:[T12.2025]])</f>
        <v>7500302208</v>
      </c>
      <c r="I21" s="12">
        <f>SUM(Data_PL73[[#This Row],[T01.2026]:[T12.2026]])</f>
        <v>-153060867</v>
      </c>
      <c r="J21" s="14">
        <v>0</v>
      </c>
      <c r="K21" s="14">
        <v>0</v>
      </c>
      <c r="L21" s="14">
        <v>373376709</v>
      </c>
      <c r="M21" s="14">
        <v>253138740</v>
      </c>
      <c r="N21" s="14">
        <v>0</v>
      </c>
      <c r="O21" s="14">
        <v>70900360</v>
      </c>
      <c r="P21" s="14">
        <v>2427489157</v>
      </c>
      <c r="Q21" s="14">
        <v>213493049</v>
      </c>
      <c r="R21" s="14">
        <v>425811110</v>
      </c>
      <c r="S21" s="14">
        <v>173779845</v>
      </c>
      <c r="T21" s="14">
        <v>0</v>
      </c>
      <c r="U21" s="14">
        <v>-1083632052</v>
      </c>
      <c r="V21" s="14">
        <v>997474474</v>
      </c>
      <c r="W21" s="14">
        <v>0</v>
      </c>
      <c r="X21" s="14">
        <v>0</v>
      </c>
      <c r="Y21" s="14">
        <v>203685628</v>
      </c>
      <c r="Z21" s="14">
        <v>457567861</v>
      </c>
      <c r="AA21" s="14">
        <v>427848514</v>
      </c>
      <c r="AB21" s="14">
        <v>298494225</v>
      </c>
      <c r="AC21" s="14">
        <v>701245482</v>
      </c>
      <c r="AD21" s="14">
        <v>286950346</v>
      </c>
      <c r="AE21" s="14">
        <v>115895011</v>
      </c>
      <c r="AF21" s="14">
        <v>525865791</v>
      </c>
      <c r="AG21" s="14">
        <v>15110212456</v>
      </c>
      <c r="AH21" s="14">
        <v>144992517</v>
      </c>
      <c r="AI21" s="14">
        <v>0</v>
      </c>
      <c r="AJ21" s="14">
        <v>0</v>
      </c>
      <c r="AK21" s="14">
        <v>0</v>
      </c>
      <c r="AL21" s="14">
        <v>0</v>
      </c>
      <c r="AM21" s="14">
        <v>5795561979</v>
      </c>
      <c r="AN21" s="14">
        <v>885794272</v>
      </c>
      <c r="AO21" s="14">
        <v>2481605805</v>
      </c>
      <c r="AP21" s="14">
        <v>4580287195</v>
      </c>
      <c r="AQ21" s="14">
        <v>3502138647</v>
      </c>
      <c r="AR21" s="14">
        <v>1840022687</v>
      </c>
      <c r="AS21" s="14">
        <v>-8228778287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11495266455</v>
      </c>
      <c r="BF21" s="14">
        <v>864190686</v>
      </c>
      <c r="BG21" s="14">
        <v>3020742780</v>
      </c>
      <c r="BH21" s="14">
        <v>1252632187</v>
      </c>
      <c r="BI21" s="14">
        <v>677293488</v>
      </c>
      <c r="BJ21" s="14">
        <v>1681800759</v>
      </c>
      <c r="BK21" s="14">
        <v>189264839</v>
      </c>
      <c r="BL21" s="14">
        <v>-1000088030</v>
      </c>
      <c r="BM21" s="14">
        <v>204199602</v>
      </c>
      <c r="BN21" s="14">
        <v>-1349170846</v>
      </c>
      <c r="BO21" s="14">
        <v>-516688622</v>
      </c>
      <c r="BP21" s="14">
        <v>-854033077</v>
      </c>
      <c r="BQ21" s="14">
        <v>3330158442</v>
      </c>
      <c r="BR21" s="23"/>
      <c r="BS21" s="14">
        <v>0</v>
      </c>
      <c r="BT21" s="14">
        <v>-153060867</v>
      </c>
      <c r="BU21" s="14"/>
      <c r="BV21" s="14"/>
      <c r="BW21" s="14"/>
      <c r="BX21" s="14"/>
      <c r="BY21" s="14"/>
      <c r="BZ21" s="14"/>
      <c r="CA21" s="14"/>
      <c r="CB21" s="14"/>
      <c r="CC21" s="14"/>
    </row>
    <row r="22" spans="1:81">
      <c r="A22" s="12">
        <v>19</v>
      </c>
      <c r="B22" s="13" t="s">
        <v>101</v>
      </c>
      <c r="C22" s="12">
        <v>5</v>
      </c>
      <c r="D22" s="12">
        <f>SUM(Data_PL73[[#This Row],[T1.2021]:[T12.2021]])</f>
        <v>0</v>
      </c>
      <c r="E22" s="12">
        <f>SUM(Data_PL73[[#This Row],[T1.2022]:[T12.2022]])</f>
        <v>0</v>
      </c>
      <c r="F22" s="12">
        <f>SUM(Data_PL73[[#This Row],[T1.2023]:[T12.2023]])</f>
        <v>0</v>
      </c>
      <c r="G22" s="12">
        <f>SUM(Data_PL73[[#This Row],[T01.2024]:[T12.2024]])</f>
        <v>1838941310</v>
      </c>
      <c r="H22" s="12">
        <f>SUM(Data_PL73[[#This Row],[T01.2025]:[T12.2025]])</f>
        <v>-1838941310</v>
      </c>
      <c r="I22" s="12">
        <f>SUM(Data_PL73[[#This Row],[T01.2026]:[T12.2026]])</f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1838941310</v>
      </c>
      <c r="BF22" s="14">
        <v>0</v>
      </c>
      <c r="BG22" s="14">
        <v>-8043000</v>
      </c>
      <c r="BH22" s="14">
        <v>0</v>
      </c>
      <c r="BI22" s="14">
        <v>0</v>
      </c>
      <c r="BJ22" s="14"/>
      <c r="BK22" s="14">
        <v>0</v>
      </c>
      <c r="BL22" s="14">
        <v>-1830898310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/>
      <c r="BS22" s="14">
        <v>0</v>
      </c>
      <c r="BT22" s="14"/>
      <c r="BU22" s="14"/>
      <c r="BV22" s="14"/>
      <c r="BW22" s="14"/>
      <c r="BX22" s="14"/>
      <c r="BY22" s="14"/>
      <c r="BZ22" s="14"/>
      <c r="CA22" s="14"/>
      <c r="CB22" s="14"/>
      <c r="CC22" s="14"/>
    </row>
    <row r="23" spans="1:81">
      <c r="A23" s="19">
        <v>20</v>
      </c>
      <c r="B23" s="10" t="s">
        <v>102</v>
      </c>
      <c r="C23" s="19">
        <v>5</v>
      </c>
      <c r="D23" s="19">
        <f>SUM(Data_PL73[[#This Row],[T1.2021]:[T12.2021]])</f>
        <v>17533906779</v>
      </c>
      <c r="E23" s="19">
        <f>SUM(Data_PL73[[#This Row],[T1.2022]:[T12.2022]])</f>
        <v>62102782858</v>
      </c>
      <c r="F23" s="19">
        <f>SUM(Data_PL73[[#This Row],[T1.2023]:[T12.2023]])</f>
        <v>102594186556</v>
      </c>
      <c r="G23" s="19">
        <f>SUM(Data_PL73[[#This Row],[T01.2024]:[T12.2024]])</f>
        <v>53517346659</v>
      </c>
      <c r="H23" s="19">
        <f>SUM(Data_PL73[[#This Row],[T01.2025]:[T12.2025]])</f>
        <v>25736754934</v>
      </c>
      <c r="I23" s="19">
        <f>SUM(Data_PL73[[#This Row],[T01.2026]:[T12.2026]])</f>
        <v>-11074326886</v>
      </c>
      <c r="J23" s="20">
        <v>-145319929</v>
      </c>
      <c r="K23" s="20">
        <v>-261866118</v>
      </c>
      <c r="L23" s="20">
        <v>1493506834</v>
      </c>
      <c r="M23" s="20">
        <v>1012554959</v>
      </c>
      <c r="N23" s="20">
        <v>-227064320</v>
      </c>
      <c r="O23" s="20">
        <v>283601439</v>
      </c>
      <c r="P23" s="20">
        <v>9709956629</v>
      </c>
      <c r="Q23" s="20">
        <v>853972196</v>
      </c>
      <c r="R23" s="20">
        <v>1703244441</v>
      </c>
      <c r="S23" s="20">
        <v>695119378</v>
      </c>
      <c r="T23" s="20">
        <v>-10758350</v>
      </c>
      <c r="U23" s="20">
        <v>2426959620</v>
      </c>
      <c r="V23" s="20">
        <v>3989897896</v>
      </c>
      <c r="W23" s="20">
        <v>-1188569266</v>
      </c>
      <c r="X23" s="20">
        <v>-1383573435</v>
      </c>
      <c r="Y23" s="20">
        <v>814742512</v>
      </c>
      <c r="Z23" s="20">
        <v>1829539394</v>
      </c>
      <c r="AA23" s="20">
        <v>1711394058</v>
      </c>
      <c r="AB23" s="20">
        <v>1193184898</v>
      </c>
      <c r="AC23" s="20">
        <v>2804981928</v>
      </c>
      <c r="AD23" s="20">
        <v>1147801384</v>
      </c>
      <c r="AE23" s="20">
        <v>463580042</v>
      </c>
      <c r="AF23" s="20">
        <v>2103463162</v>
      </c>
      <c r="AG23" s="20">
        <v>48616340285</v>
      </c>
      <c r="AH23" s="20">
        <v>579970067</v>
      </c>
      <c r="AI23" s="20">
        <v>-2654785819</v>
      </c>
      <c r="AJ23" s="20">
        <v>-7224620341</v>
      </c>
      <c r="AK23" s="20">
        <v>-2945815773</v>
      </c>
      <c r="AL23" s="20">
        <v>2782824124</v>
      </c>
      <c r="AM23" s="20">
        <v>33224645724</v>
      </c>
      <c r="AN23" s="20">
        <v>3543177089</v>
      </c>
      <c r="AO23" s="20">
        <v>9926423222</v>
      </c>
      <c r="AP23" s="20">
        <v>18321148781</v>
      </c>
      <c r="AQ23" s="20">
        <v>14008554587</v>
      </c>
      <c r="AR23" s="20">
        <v>7360090748</v>
      </c>
      <c r="AS23" s="20">
        <v>25672574147</v>
      </c>
      <c r="AT23" s="20">
        <v>1925739613</v>
      </c>
      <c r="AU23" s="20">
        <v>-5270648797</v>
      </c>
      <c r="AV23" s="20">
        <v>-2959309601</v>
      </c>
      <c r="AW23" s="20">
        <v>2475246740</v>
      </c>
      <c r="AX23" s="20">
        <v>-4153402340</v>
      </c>
      <c r="AY23" s="20">
        <v>-10215448067</v>
      </c>
      <c r="AZ23" s="20">
        <v>-13524685493</v>
      </c>
      <c r="BA23" s="20">
        <v>-8282947985</v>
      </c>
      <c r="BB23" s="20">
        <v>9673268117</v>
      </c>
      <c r="BC23" s="20">
        <v>-4978185231</v>
      </c>
      <c r="BD23" s="20">
        <v>-3242020126</v>
      </c>
      <c r="BE23" s="20">
        <v>92069739829</v>
      </c>
      <c r="BF23" s="20">
        <v>4897080552</v>
      </c>
      <c r="BG23" s="20">
        <v>17400796729</v>
      </c>
      <c r="BH23" s="20">
        <v>7098249059</v>
      </c>
      <c r="BI23" s="20">
        <v>3750983485</v>
      </c>
      <c r="BJ23" s="20">
        <v>9530204304</v>
      </c>
      <c r="BK23" s="20">
        <v>1072500757</v>
      </c>
      <c r="BL23" s="20">
        <v>1039517857</v>
      </c>
      <c r="BM23" s="20">
        <v>93219731</v>
      </c>
      <c r="BN23" s="20">
        <v>-10202154651</v>
      </c>
      <c r="BO23" s="20">
        <v>-4684658050</v>
      </c>
      <c r="BP23" s="20">
        <v>-6920497847</v>
      </c>
      <c r="BQ23" s="20">
        <v>2661513008</v>
      </c>
      <c r="BR23" s="20">
        <v>-1693460736</v>
      </c>
      <c r="BS23" s="20">
        <v>-6419213738</v>
      </c>
      <c r="BT23" s="20">
        <v>-6665406624</v>
      </c>
      <c r="BU23" s="20">
        <v>3703754212</v>
      </c>
      <c r="BV23" s="20"/>
      <c r="BW23" s="20"/>
      <c r="BX23" s="20"/>
      <c r="BY23" s="20"/>
      <c r="BZ23" s="20"/>
      <c r="CA23" s="20"/>
      <c r="CB23" s="20"/>
      <c r="CC23" s="20"/>
    </row>
    <row r="24" spans="1:81">
      <c r="A24" s="71"/>
      <c r="B24" s="72" t="s">
        <v>109</v>
      </c>
      <c r="C24" s="73"/>
      <c r="D24" s="80">
        <f>D23/D7</f>
        <v>0.2898457464179201</v>
      </c>
      <c r="E24" s="80">
        <f t="shared" ref="E24:I24" si="0">E23/E7</f>
        <v>0.18822900568373707</v>
      </c>
      <c r="F24" s="80">
        <f t="shared" si="0"/>
        <v>0.14965909665031615</v>
      </c>
      <c r="G24" s="80">
        <f t="shared" si="0"/>
        <v>4.4919110437374926E-2</v>
      </c>
      <c r="H24" s="80">
        <f t="shared" si="0"/>
        <v>1.6739071651129155E-2</v>
      </c>
      <c r="I24" s="80">
        <f t="shared" si="0"/>
        <v>-1.9952716831854019E-2</v>
      </c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75"/>
      <c r="BZ24" s="75"/>
      <c r="CA24" s="75"/>
      <c r="CB24" s="75"/>
      <c r="CC24" s="75"/>
    </row>
  </sheetData>
  <protectedRanges>
    <protectedRange sqref="J4:BQ23 BS4:CC23 BR4:BR20 BR22:BR23" name="PL"/>
  </protectedRanges>
  <phoneticPr fontId="20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BF2F2-4296-465C-86D3-873E8C3CEEAB}">
  <sheetPr>
    <tabColor rgb="FF00B0F0"/>
  </sheetPr>
  <dimension ref="A1:CC24"/>
  <sheetViews>
    <sheetView topLeftCell="B1" workbookViewId="0">
      <pane xSplit="2" ySplit="3" topLeftCell="D8" activePane="bottomRight" state="frozen"/>
      <selection activeCell="B1" sqref="B1"/>
      <selection pane="topRight" activeCell="D1" sqref="D1"/>
      <selection pane="bottomLeft" activeCell="B4" sqref="B4"/>
      <selection pane="bottomRight" activeCell="B24" sqref="B24:D24"/>
    </sheetView>
  </sheetViews>
  <sheetFormatPr defaultRowHeight="14.5"/>
  <cols>
    <col min="1" max="1" width="8.81640625" style="24" hidden="1" customWidth="1"/>
    <col min="2" max="2" width="56" bestFit="1" customWidth="1"/>
    <col min="3" max="3" width="15.1796875" hidden="1" customWidth="1"/>
    <col min="4" max="4" width="17.36328125" bestFit="1" customWidth="1"/>
    <col min="5" max="6" width="15.6328125" bestFit="1" customWidth="1"/>
    <col min="7" max="7" width="16.08984375" bestFit="1" customWidth="1"/>
    <col min="8" max="8" width="17.36328125" bestFit="1" customWidth="1"/>
    <col min="9" max="9" width="15.6328125" bestFit="1" customWidth="1"/>
    <col min="10" max="81" width="17.54296875" customWidth="1"/>
  </cols>
  <sheetData>
    <row r="1" spans="1:81" ht="17.5">
      <c r="B1" s="1" t="s">
        <v>103</v>
      </c>
    </row>
    <row r="2" spans="1:81">
      <c r="B2" s="2" t="s">
        <v>1</v>
      </c>
    </row>
    <row r="3" spans="1:81" ht="28">
      <c r="A3" s="25" t="s">
        <v>2</v>
      </c>
      <c r="B3" s="26" t="s">
        <v>3</v>
      </c>
      <c r="C3" s="27" t="s">
        <v>4</v>
      </c>
      <c r="D3" s="70" t="s">
        <v>5</v>
      </c>
      <c r="E3" s="70" t="s">
        <v>6</v>
      </c>
      <c r="F3" s="70" t="s">
        <v>7</v>
      </c>
      <c r="G3" s="70" t="s">
        <v>8</v>
      </c>
      <c r="H3" s="70" t="s">
        <v>9</v>
      </c>
      <c r="I3" s="70" t="s">
        <v>10</v>
      </c>
      <c r="J3" s="28" t="s">
        <v>11</v>
      </c>
      <c r="K3" s="28" t="s">
        <v>12</v>
      </c>
      <c r="L3" s="28" t="s">
        <v>13</v>
      </c>
      <c r="M3" s="28" t="s">
        <v>14</v>
      </c>
      <c r="N3" s="28" t="s">
        <v>15</v>
      </c>
      <c r="O3" s="28" t="s">
        <v>16</v>
      </c>
      <c r="P3" s="28" t="s">
        <v>17</v>
      </c>
      <c r="Q3" s="28" t="s">
        <v>18</v>
      </c>
      <c r="R3" s="28" t="s">
        <v>19</v>
      </c>
      <c r="S3" s="28" t="s">
        <v>20</v>
      </c>
      <c r="T3" s="28" t="s">
        <v>21</v>
      </c>
      <c r="U3" s="28" t="s">
        <v>22</v>
      </c>
      <c r="V3" s="28" t="s">
        <v>23</v>
      </c>
      <c r="W3" s="28" t="s">
        <v>24</v>
      </c>
      <c r="X3" s="28" t="s">
        <v>25</v>
      </c>
      <c r="Y3" s="28" t="s">
        <v>26</v>
      </c>
      <c r="Z3" s="28" t="s">
        <v>27</v>
      </c>
      <c r="AA3" s="28" t="s">
        <v>28</v>
      </c>
      <c r="AB3" s="28" t="s">
        <v>29</v>
      </c>
      <c r="AC3" s="28" t="s">
        <v>30</v>
      </c>
      <c r="AD3" s="28" t="s">
        <v>31</v>
      </c>
      <c r="AE3" s="28" t="s">
        <v>32</v>
      </c>
      <c r="AF3" s="28" t="s">
        <v>33</v>
      </c>
      <c r="AG3" s="28" t="s">
        <v>34</v>
      </c>
      <c r="AH3" s="28" t="s">
        <v>35</v>
      </c>
      <c r="AI3" s="28" t="s">
        <v>36</v>
      </c>
      <c r="AJ3" s="28" t="s">
        <v>37</v>
      </c>
      <c r="AK3" s="28" t="s">
        <v>38</v>
      </c>
      <c r="AL3" s="28" t="s">
        <v>39</v>
      </c>
      <c r="AM3" s="28" t="s">
        <v>40</v>
      </c>
      <c r="AN3" s="28" t="s">
        <v>41</v>
      </c>
      <c r="AO3" s="28" t="s">
        <v>42</v>
      </c>
      <c r="AP3" s="28" t="s">
        <v>43</v>
      </c>
      <c r="AQ3" s="28" t="s">
        <v>44</v>
      </c>
      <c r="AR3" s="28" t="s">
        <v>45</v>
      </c>
      <c r="AS3" s="28" t="s">
        <v>46</v>
      </c>
      <c r="AT3" s="28" t="s">
        <v>47</v>
      </c>
      <c r="AU3" s="28" t="s">
        <v>48</v>
      </c>
      <c r="AV3" s="28" t="s">
        <v>49</v>
      </c>
      <c r="AW3" s="28" t="s">
        <v>50</v>
      </c>
      <c r="AX3" s="28" t="s">
        <v>51</v>
      </c>
      <c r="AY3" s="28" t="s">
        <v>52</v>
      </c>
      <c r="AZ3" s="28" t="s">
        <v>53</v>
      </c>
      <c r="BA3" s="28" t="s">
        <v>54</v>
      </c>
      <c r="BB3" s="28" t="s">
        <v>55</v>
      </c>
      <c r="BC3" s="28" t="s">
        <v>56</v>
      </c>
      <c r="BD3" s="28" t="s">
        <v>57</v>
      </c>
      <c r="BE3" s="28" t="s">
        <v>58</v>
      </c>
      <c r="BF3" s="28" t="s">
        <v>59</v>
      </c>
      <c r="BG3" s="28" t="s">
        <v>60</v>
      </c>
      <c r="BH3" s="28" t="s">
        <v>61</v>
      </c>
      <c r="BI3" s="28" t="s">
        <v>62</v>
      </c>
      <c r="BJ3" s="28" t="s">
        <v>63</v>
      </c>
      <c r="BK3" s="28" t="s">
        <v>64</v>
      </c>
      <c r="BL3" s="28" t="s">
        <v>65</v>
      </c>
      <c r="BM3" s="28" t="s">
        <v>66</v>
      </c>
      <c r="BN3" s="28" t="s">
        <v>67</v>
      </c>
      <c r="BO3" s="28" t="s">
        <v>68</v>
      </c>
      <c r="BP3" s="28" t="s">
        <v>69</v>
      </c>
      <c r="BQ3" s="28" t="s">
        <v>70</v>
      </c>
      <c r="BR3" s="28" t="s">
        <v>71</v>
      </c>
      <c r="BS3" s="28" t="s">
        <v>72</v>
      </c>
      <c r="BT3" s="28" t="s">
        <v>73</v>
      </c>
      <c r="BU3" s="28" t="s">
        <v>74</v>
      </c>
      <c r="BV3" s="28" t="s">
        <v>75</v>
      </c>
      <c r="BW3" s="28" t="s">
        <v>76</v>
      </c>
      <c r="BX3" s="28" t="s">
        <v>77</v>
      </c>
      <c r="BY3" s="28" t="s">
        <v>78</v>
      </c>
      <c r="BZ3" s="28" t="s">
        <v>79</v>
      </c>
      <c r="CA3" s="28" t="s">
        <v>80</v>
      </c>
      <c r="CB3" s="28" t="s">
        <v>81</v>
      </c>
      <c r="CC3" s="28" t="s">
        <v>82</v>
      </c>
    </row>
    <row r="4" spans="1:81">
      <c r="A4" s="29">
        <v>1</v>
      </c>
      <c r="B4" s="7" t="s">
        <v>104</v>
      </c>
      <c r="C4" s="30">
        <v>6</v>
      </c>
      <c r="D4" s="8">
        <f>SUM(Data_PL8[[#This Row],[T1.2021]:[T12.2021]])</f>
        <v>417.15609999999998</v>
      </c>
      <c r="E4" s="8">
        <f>SUM(Data_PL8[[#This Row],[T1.2022]:[T12.2022]])</f>
        <v>6481.6244999999999</v>
      </c>
      <c r="F4" s="8">
        <f>SUM(Data_PL8[[#This Row],[T1.2023]:[T12.2023]])</f>
        <v>13557.320500000002</v>
      </c>
      <c r="G4" s="8">
        <f>SUM(Data_PL8[[#This Row],[T01.2024]:[T12.2024]])</f>
        <v>15932.977999999999</v>
      </c>
      <c r="H4" s="8">
        <f>SUM(Data_PL8[[#This Row],[T01.2025]:[T12.2025]])</f>
        <v>21888.602999999999</v>
      </c>
      <c r="I4" s="8">
        <f>SUM(Data_PL8[[#This Row],[T01.2026]:[T12.2026]])</f>
        <v>7582.15</v>
      </c>
      <c r="J4" s="31">
        <f>SUM('Dai loc:DLam'!J4)</f>
        <v>32</v>
      </c>
      <c r="K4" s="31">
        <f>SUM('Dai loc:DLam'!K4)</f>
        <v>61</v>
      </c>
      <c r="L4" s="31">
        <f>SUM('Dai loc:DLam'!L4)</f>
        <v>92</v>
      </c>
      <c r="M4" s="31">
        <f>SUM('Dai loc:DLam'!M4)</f>
        <v>57</v>
      </c>
      <c r="N4" s="31">
        <f>SUM('Dai loc:DLam'!N4)</f>
        <v>39</v>
      </c>
      <c r="O4" s="31">
        <f>SUM('Dai loc:DLam'!O4)</f>
        <v>24</v>
      </c>
      <c r="P4" s="31">
        <f>SUM('Dai loc:DLam'!P4)</f>
        <v>16</v>
      </c>
      <c r="Q4" s="31">
        <f>SUM('Dai loc:DLam'!Q4)</f>
        <v>0</v>
      </c>
      <c r="R4" s="31">
        <f>SUM('Dai loc:DLam'!R4)</f>
        <v>0</v>
      </c>
      <c r="S4" s="31">
        <f>SUM('Dai loc:DLam'!S4)</f>
        <v>0</v>
      </c>
      <c r="T4" s="31">
        <f>SUM('Dai loc:DLam'!T4)</f>
        <v>0.15609999999999999</v>
      </c>
      <c r="U4" s="31">
        <f>SUM('Dai loc:DLam'!U4)</f>
        <v>96</v>
      </c>
      <c r="V4" s="31">
        <f>SUM('Dai loc:DLam'!V4)</f>
        <v>73.775999999999996</v>
      </c>
      <c r="W4" s="31">
        <f>SUM('Dai loc:DLam'!W4)</f>
        <v>145</v>
      </c>
      <c r="X4" s="31">
        <f>SUM('Dai loc:DLam'!X4)</f>
        <v>215.24299999999999</v>
      </c>
      <c r="Y4" s="31">
        <f>SUM('Dai loc:DLam'!Y4)</f>
        <v>251.21899999999999</v>
      </c>
      <c r="Z4" s="31">
        <f>SUM('Dai loc:DLam'!Z4)</f>
        <v>359.68199999999996</v>
      </c>
      <c r="AA4" s="31">
        <f>SUM('Dai loc:DLam'!AA4)</f>
        <v>400.39100000000002</v>
      </c>
      <c r="AB4" s="31">
        <f>SUM('Dai loc:DLam'!AB4)</f>
        <v>311.19299999999998</v>
      </c>
      <c r="AC4" s="31">
        <f>SUM('Dai loc:DLam'!AC4)</f>
        <v>614.62400000000002</v>
      </c>
      <c r="AD4" s="31">
        <f>SUM('Dai loc:DLam'!AD4)</f>
        <v>617.43700000000001</v>
      </c>
      <c r="AE4" s="31">
        <f>SUM('Dai loc:DLam'!AE4)</f>
        <v>873.24300000000005</v>
      </c>
      <c r="AF4" s="31">
        <f>SUM('Dai loc:DLam'!AF4)</f>
        <v>1119.7015000000001</v>
      </c>
      <c r="AG4" s="31">
        <f>SUM('Dai loc:DLam'!AG4)</f>
        <v>1500.1149999999998</v>
      </c>
      <c r="AH4" s="31">
        <f>SUM('Dai loc:DLam'!AH4)</f>
        <v>571.26200000000006</v>
      </c>
      <c r="AI4" s="31">
        <f>SUM('Dai loc:DLam'!AI4)</f>
        <v>922.93600000000004</v>
      </c>
      <c r="AJ4" s="31">
        <f>SUM('Dai loc:DLam'!AJ4)</f>
        <v>1543.8834999999999</v>
      </c>
      <c r="AK4" s="31">
        <f>SUM('Dai loc:DLam'!AK4)</f>
        <v>1383.7149999999999</v>
      </c>
      <c r="AL4" s="31">
        <f>SUM('Dai loc:DLam'!AL4)</f>
        <v>1244.3119999999999</v>
      </c>
      <c r="AM4" s="31">
        <f>SUM('Dai loc:DLam'!AM4)</f>
        <v>1272.8310000000001</v>
      </c>
      <c r="AN4" s="31">
        <f>SUM('Dai loc:DLam'!AN4)</f>
        <v>1069</v>
      </c>
      <c r="AO4" s="31">
        <f>SUM('Dai loc:DLam'!AO4)</f>
        <v>979</v>
      </c>
      <c r="AP4" s="31">
        <f>SUM('Dai loc:DLam'!AP4)</f>
        <v>821.82999999999993</v>
      </c>
      <c r="AQ4" s="31">
        <f>SUM('Dai loc:DLam'!AQ4)</f>
        <v>1112.7159999999999</v>
      </c>
      <c r="AR4" s="31">
        <f>SUM('Dai loc:DLam'!AR4)</f>
        <v>1118.6555000000001</v>
      </c>
      <c r="AS4" s="31">
        <f>SUM('Dai loc:DLam'!AS4)</f>
        <v>1517.1795</v>
      </c>
      <c r="AT4" s="31">
        <f>SUM('Dai loc:DLam'!AT4)</f>
        <v>1965</v>
      </c>
      <c r="AU4" s="31">
        <f>SUM('Dai loc:DLam'!AU4)</f>
        <v>974</v>
      </c>
      <c r="AV4" s="31">
        <f>SUM('Dai loc:DLam'!AV4)</f>
        <v>1486</v>
      </c>
      <c r="AW4" s="31">
        <f>SUM('Dai loc:DLam'!AW4)</f>
        <v>1234</v>
      </c>
      <c r="AX4" s="31">
        <f>SUM('Dai loc:DLam'!AX4)</f>
        <v>1625.692</v>
      </c>
      <c r="AY4" s="31">
        <f>SUM('Dai loc:DLam'!AY4)</f>
        <v>1651</v>
      </c>
      <c r="AZ4" s="31">
        <f>SUM('Dai loc:DLam'!AZ4)</f>
        <v>1168.9090000000001</v>
      </c>
      <c r="BA4" s="31">
        <f>SUM('Dai loc:DLam'!BA4)</f>
        <v>1153.529</v>
      </c>
      <c r="BB4" s="31">
        <f>SUM('Dai loc:DLam'!BB4)</f>
        <v>1106.07</v>
      </c>
      <c r="BC4" s="31">
        <f>SUM('Dai loc:DLam'!BC4)</f>
        <v>1410.9270000000001</v>
      </c>
      <c r="BD4" s="31">
        <f>SUM('Dai loc:DLam'!BD4)</f>
        <v>1222.6030000000001</v>
      </c>
      <c r="BE4" s="31">
        <f>SUM('Dai loc:DLam'!BE4)</f>
        <v>935.24800000000005</v>
      </c>
      <c r="BF4" s="31">
        <f>SUM('Dai loc:DLam'!BF4)</f>
        <v>714.07600000000002</v>
      </c>
      <c r="BG4" s="31">
        <f>SUM('Dai loc:DLam'!BG4)</f>
        <v>1039.183</v>
      </c>
      <c r="BH4" s="31">
        <f>SUM('Dai loc:DLam'!BH4)</f>
        <v>1722.1559999999999</v>
      </c>
      <c r="BI4" s="31">
        <f>SUM('Dai loc:DLam'!BI4)</f>
        <v>1742.1480000000001</v>
      </c>
      <c r="BJ4" s="31">
        <f>SUM('Dai loc:DLam'!BJ4)</f>
        <v>1805.941</v>
      </c>
      <c r="BK4" s="31">
        <f>SUM('Dai loc:DLam'!BK4)</f>
        <v>2237.91</v>
      </c>
      <c r="BL4" s="31">
        <f>SUM('Dai loc:DLam'!BL4)</f>
        <v>2554.1999999999998</v>
      </c>
      <c r="BM4" s="31">
        <f>SUM('Dai loc:DLam'!BM4)</f>
        <v>2555.732</v>
      </c>
      <c r="BN4" s="31">
        <f>SUM('Dai loc:DLam'!BN4)</f>
        <v>2256.9270000000001</v>
      </c>
      <c r="BO4" s="31">
        <f>SUM('Dai loc:DLam'!BO4)</f>
        <v>2042.192</v>
      </c>
      <c r="BP4" s="31">
        <f>SUM('Dai loc:DLam'!BP4)</f>
        <v>1388.336</v>
      </c>
      <c r="BQ4" s="31">
        <f>SUM('Dai loc:DLam'!BQ4)</f>
        <v>1829.8020000000001</v>
      </c>
      <c r="BR4" s="31">
        <f>SUM('Dai loc:DLam'!BR4)</f>
        <v>1876.8150000000001</v>
      </c>
      <c r="BS4" s="31">
        <f>SUM('Dai loc:DLam'!BS4)</f>
        <v>1310.491</v>
      </c>
      <c r="BT4" s="31">
        <f>SUM('Dai loc:DLam'!BT4)</f>
        <v>2345.0729999999999</v>
      </c>
      <c r="BU4" s="31">
        <f>SUM('Dai loc:DLam'!BU4)</f>
        <v>2049.7709999999997</v>
      </c>
      <c r="BV4" s="31">
        <f>SUM('Dai loc:DLam'!BV4)</f>
        <v>0</v>
      </c>
      <c r="BW4" s="31">
        <f>SUM('Dai loc:DLam'!BW4)</f>
        <v>0</v>
      </c>
      <c r="BX4" s="31">
        <f>SUM('Dai loc:DLam'!BX4)</f>
        <v>0</v>
      </c>
      <c r="BY4" s="31">
        <f>SUM('Dai loc:DLam'!BY4)</f>
        <v>0</v>
      </c>
      <c r="BZ4" s="31">
        <f>SUM('Dai loc:DLam'!BZ4)</f>
        <v>0</v>
      </c>
      <c r="CA4" s="31">
        <f>SUM('Dai loc:DLam'!CA4)</f>
        <v>0</v>
      </c>
      <c r="CB4" s="31">
        <f>SUM('Dai loc:DLam'!CB4)</f>
        <v>0</v>
      </c>
      <c r="CC4" s="31">
        <f>SUM('Dai loc:DLam'!CC4)</f>
        <v>0</v>
      </c>
    </row>
    <row r="5" spans="1:81">
      <c r="A5" s="34">
        <v>2</v>
      </c>
      <c r="B5" s="10" t="s">
        <v>84</v>
      </c>
      <c r="C5" s="35">
        <v>6</v>
      </c>
      <c r="D5" s="35">
        <f>SUM(Data_PL8[[#This Row],[T1.2021]:[T12.2021]])</f>
        <v>4950646304</v>
      </c>
      <c r="E5" s="35">
        <f>SUM(Data_PL8[[#This Row],[T1.2022]:[T12.2022]])</f>
        <v>35845555207</v>
      </c>
      <c r="F5" s="35">
        <f>SUM(Data_PL8[[#This Row],[T1.2023]:[T12.2023]])</f>
        <v>68779491098</v>
      </c>
      <c r="G5" s="35">
        <f>SUM(Data_PL8[[#This Row],[T01.2024]:[T12.2024]])</f>
        <v>124696185425</v>
      </c>
      <c r="H5" s="35">
        <f>SUM(Data_PL8[[#This Row],[T01.2025]:[T12.2025]])</f>
        <v>173927684403</v>
      </c>
      <c r="I5" s="35">
        <f>SUM(Data_PL8[[#This Row],[T01.2026]:[T12.2026]])</f>
        <v>49102336080</v>
      </c>
      <c r="J5" s="11">
        <f>SUM('Dai loc:DLam'!J5)</f>
        <v>312737600</v>
      </c>
      <c r="K5" s="11">
        <f>SUM('Dai loc:DLam'!K5)</f>
        <v>606797380</v>
      </c>
      <c r="L5" s="11">
        <f>SUM('Dai loc:DLam'!L5)</f>
        <v>903716800</v>
      </c>
      <c r="M5" s="11">
        <f>SUM('Dai loc:DLam'!M5)</f>
        <v>952907750</v>
      </c>
      <c r="N5" s="11">
        <f>SUM('Dai loc:DLam'!N5)</f>
        <v>1013081774</v>
      </c>
      <c r="O5" s="11">
        <f>SUM('Dai loc:DLam'!O5)</f>
        <v>337909600</v>
      </c>
      <c r="P5" s="11">
        <f>SUM('Dai loc:DLam'!P5)</f>
        <v>212259000</v>
      </c>
      <c r="Q5" s="11">
        <f>SUM('Dai loc:DLam'!Q5)</f>
        <v>0</v>
      </c>
      <c r="R5" s="11">
        <f>SUM('Dai loc:DLam'!R5)</f>
        <v>0</v>
      </c>
      <c r="S5" s="11">
        <f>SUM('Dai loc:DLam'!S5)</f>
        <v>85659200</v>
      </c>
      <c r="T5" s="11">
        <f>SUM('Dai loc:DLam'!T5)</f>
        <v>525577200</v>
      </c>
      <c r="U5" s="11">
        <v>0</v>
      </c>
      <c r="V5" s="11">
        <v>0</v>
      </c>
      <c r="W5" s="11">
        <v>0</v>
      </c>
      <c r="X5" s="11">
        <v>0</v>
      </c>
      <c r="Y5" s="11">
        <v>867124500</v>
      </c>
      <c r="Z5" s="11">
        <v>1806629000</v>
      </c>
      <c r="AA5" s="11">
        <v>1808611000</v>
      </c>
      <c r="AB5" s="11">
        <v>1898558000</v>
      </c>
      <c r="AC5" s="11">
        <v>3939705500</v>
      </c>
      <c r="AD5" s="11">
        <v>3396159500</v>
      </c>
      <c r="AE5" s="11">
        <v>7207694201</v>
      </c>
      <c r="AF5" s="11">
        <v>5938251216</v>
      </c>
      <c r="AG5" s="11">
        <v>8982822290</v>
      </c>
      <c r="AH5" s="11">
        <v>2253383204</v>
      </c>
      <c r="AI5" s="11">
        <v>4265090683</v>
      </c>
      <c r="AJ5" s="11">
        <v>10639282713</v>
      </c>
      <c r="AK5" s="11">
        <v>6949558981</v>
      </c>
      <c r="AL5" s="11">
        <v>3324235725</v>
      </c>
      <c r="AM5" s="11">
        <v>5636906111</v>
      </c>
      <c r="AN5" s="11">
        <v>3501002041</v>
      </c>
      <c r="AO5" s="11">
        <v>4192925810</v>
      </c>
      <c r="AP5" s="11">
        <v>4197374650</v>
      </c>
      <c r="AQ5" s="11">
        <v>7583193100</v>
      </c>
      <c r="AR5" s="11">
        <v>7831508500</v>
      </c>
      <c r="AS5" s="11">
        <v>8405029580</v>
      </c>
      <c r="AT5" s="11">
        <v>18859106420</v>
      </c>
      <c r="AU5" s="11">
        <v>4569145960</v>
      </c>
      <c r="AV5" s="11">
        <v>9889167500</v>
      </c>
      <c r="AW5" s="11">
        <v>8988544600</v>
      </c>
      <c r="AX5" s="11">
        <v>8396397250</v>
      </c>
      <c r="AY5" s="11">
        <v>13981977600</v>
      </c>
      <c r="AZ5" s="11">
        <v>8695495766</v>
      </c>
      <c r="BA5" s="11">
        <v>9066018899</v>
      </c>
      <c r="BB5" s="11">
        <v>10085358702</v>
      </c>
      <c r="BC5" s="11">
        <v>12770520896</v>
      </c>
      <c r="BD5" s="11">
        <v>10341915406</v>
      </c>
      <c r="BE5" s="11">
        <v>9052536426</v>
      </c>
      <c r="BF5" s="11">
        <v>5422948492</v>
      </c>
      <c r="BG5" s="11">
        <v>8810676928</v>
      </c>
      <c r="BH5" s="11">
        <v>16279256392</v>
      </c>
      <c r="BI5" s="11">
        <v>14772471605</v>
      </c>
      <c r="BJ5" s="11">
        <v>17582066937</v>
      </c>
      <c r="BK5" s="11">
        <v>19496019197</v>
      </c>
      <c r="BL5" s="11">
        <v>21794142714</v>
      </c>
      <c r="BM5" s="11">
        <v>20947068360</v>
      </c>
      <c r="BN5" s="11">
        <v>16624308416</v>
      </c>
      <c r="BO5" s="11">
        <v>14529961948</v>
      </c>
      <c r="BP5" s="11">
        <v>7374095784</v>
      </c>
      <c r="BQ5" s="11">
        <v>10294667630</v>
      </c>
      <c r="BR5" s="11">
        <v>11775760050</v>
      </c>
      <c r="BS5" s="11">
        <v>8275817930</v>
      </c>
      <c r="BT5" s="11">
        <v>14654267870</v>
      </c>
      <c r="BU5" s="11">
        <v>14396490230</v>
      </c>
      <c r="BV5" s="11">
        <f>SUM('Dai loc:DLam'!BV5)</f>
        <v>0</v>
      </c>
      <c r="BW5" s="11">
        <f>SUM('Dai loc:DLam'!BW5)</f>
        <v>0</v>
      </c>
      <c r="BX5" s="11">
        <f>SUM('Dai loc:DLam'!BX5)</f>
        <v>0</v>
      </c>
      <c r="BY5" s="11">
        <f>SUM('Dai loc:DLam'!BY5)</f>
        <v>0</v>
      </c>
      <c r="BZ5" s="11">
        <f>SUM('Dai loc:DLam'!BZ5)</f>
        <v>0</v>
      </c>
      <c r="CA5" s="11">
        <f>SUM('Dai loc:DLam'!CA5)</f>
        <v>0</v>
      </c>
      <c r="CB5" s="11">
        <f>SUM('Dai loc:DLam'!CB5)</f>
        <v>0</v>
      </c>
      <c r="CC5" s="11">
        <f>SUM('Dai loc:DLam'!CC5)</f>
        <v>0</v>
      </c>
    </row>
    <row r="6" spans="1:81">
      <c r="A6" s="36">
        <v>3</v>
      </c>
      <c r="B6" s="13" t="s">
        <v>85</v>
      </c>
      <c r="C6" s="37">
        <v>6</v>
      </c>
      <c r="D6" s="37">
        <f>SUM(Data_PL8[[#This Row],[T1.2021]:[T12.2021]])</f>
        <v>0</v>
      </c>
      <c r="E6" s="37">
        <f>SUM(Data_PL8[[#This Row],[T1.2022]:[T12.2022]])</f>
        <v>0</v>
      </c>
      <c r="F6" s="37">
        <f>SUM(Data_PL8[[#This Row],[T1.2023]:[T12.2023]])</f>
        <v>0</v>
      </c>
      <c r="G6" s="37">
        <f>SUM(Data_PL8[[#This Row],[T01.2024]:[T12.2024]])</f>
        <v>0</v>
      </c>
      <c r="H6" s="37">
        <f>SUM(Data_PL8[[#This Row],[T01.2025]:[T12.2025]])</f>
        <v>0</v>
      </c>
      <c r="I6" s="37">
        <f>SUM(Data_PL8[[#This Row],[T01.2026]:[T12.2026]])</f>
        <v>0</v>
      </c>
      <c r="J6" s="14">
        <f>SUM('Dai loc:DLam'!J6)</f>
        <v>0</v>
      </c>
      <c r="K6" s="14">
        <f>SUM('Dai loc:DLam'!K6)</f>
        <v>0</v>
      </c>
      <c r="L6" s="14">
        <f>SUM('Dai loc:DLam'!L6)</f>
        <v>0</v>
      </c>
      <c r="M6" s="14">
        <f>SUM('Dai loc:DLam'!M6)</f>
        <v>0</v>
      </c>
      <c r="N6" s="14">
        <f>SUM('Dai loc:DLam'!N6)</f>
        <v>0</v>
      </c>
      <c r="O6" s="14">
        <f>SUM('Dai loc:DLam'!O6)</f>
        <v>0</v>
      </c>
      <c r="P6" s="14">
        <f>SUM('Dai loc:DLam'!P6)</f>
        <v>0</v>
      </c>
      <c r="Q6" s="14">
        <f>SUM('Dai loc:DLam'!Q6)</f>
        <v>0</v>
      </c>
      <c r="R6" s="14">
        <f>SUM('Dai loc:DLam'!R6)</f>
        <v>0</v>
      </c>
      <c r="S6" s="14">
        <f>SUM('Dai loc:DLam'!S6)</f>
        <v>0</v>
      </c>
      <c r="T6" s="14">
        <f>SUM('Dai loc:DLam'!T6)</f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38">
        <v>0</v>
      </c>
      <c r="AX6" s="38">
        <v>0</v>
      </c>
      <c r="AY6" s="38">
        <v>0</v>
      </c>
      <c r="AZ6" s="38">
        <v>0</v>
      </c>
      <c r="BA6" s="38">
        <v>0</v>
      </c>
      <c r="BB6" s="38">
        <v>0</v>
      </c>
      <c r="BC6" s="38">
        <v>0</v>
      </c>
      <c r="BD6" s="38">
        <v>0</v>
      </c>
      <c r="BE6" s="39">
        <v>0</v>
      </c>
      <c r="BF6" s="39">
        <v>0</v>
      </c>
      <c r="BG6" s="39">
        <v>0</v>
      </c>
      <c r="BH6" s="39">
        <v>0</v>
      </c>
      <c r="BI6" s="39">
        <v>0</v>
      </c>
      <c r="BJ6" s="39">
        <v>0</v>
      </c>
      <c r="BK6" s="39">
        <v>0</v>
      </c>
      <c r="BL6" s="39">
        <v>0</v>
      </c>
      <c r="BM6" s="39">
        <v>0</v>
      </c>
      <c r="BN6" s="39">
        <v>0</v>
      </c>
      <c r="BO6" s="39">
        <v>0</v>
      </c>
      <c r="BP6" s="39">
        <v>0</v>
      </c>
      <c r="BQ6" s="39">
        <v>0</v>
      </c>
      <c r="BR6" s="39"/>
      <c r="BS6" s="39">
        <v>0</v>
      </c>
      <c r="BT6" s="39"/>
      <c r="BU6" s="39"/>
      <c r="BV6" s="39">
        <f>SUM('Dai loc:DLam'!BV6)</f>
        <v>0</v>
      </c>
      <c r="BW6" s="39">
        <f>SUM('Dai loc:DLam'!BW6)</f>
        <v>0</v>
      </c>
      <c r="BX6" s="39">
        <f>SUM('Dai loc:DLam'!BX6)</f>
        <v>0</v>
      </c>
      <c r="BY6" s="39">
        <f>SUM('Dai loc:DLam'!BY6)</f>
        <v>0</v>
      </c>
      <c r="BZ6" s="39">
        <f>SUM('Dai loc:DLam'!BZ6)</f>
        <v>0</v>
      </c>
      <c r="CA6" s="39">
        <f>SUM('Dai loc:DLam'!CA6)</f>
        <v>0</v>
      </c>
      <c r="CB6" s="39">
        <f>SUM('Dai loc:DLam'!CB6)</f>
        <v>0</v>
      </c>
      <c r="CC6" s="39">
        <f>SUM('Dai loc:DLam'!CC6)</f>
        <v>0</v>
      </c>
    </row>
    <row r="7" spans="1:81">
      <c r="A7" s="40">
        <v>4</v>
      </c>
      <c r="B7" s="10" t="s">
        <v>86</v>
      </c>
      <c r="C7" s="41">
        <v>6</v>
      </c>
      <c r="D7" s="41">
        <f>SUM(Data_PL8[[#This Row],[T1.2021]:[T12.2021]])</f>
        <v>4950646304</v>
      </c>
      <c r="E7" s="41">
        <f>SUM(Data_PL8[[#This Row],[T1.2022]:[T12.2022]])</f>
        <v>35845555207</v>
      </c>
      <c r="F7" s="41">
        <f>SUM(Data_PL8[[#This Row],[T1.2023]:[T12.2023]])</f>
        <v>68779491098</v>
      </c>
      <c r="G7" s="41">
        <f>SUM(Data_PL8[[#This Row],[T01.2024]:[T12.2024]])</f>
        <v>124696185425</v>
      </c>
      <c r="H7" s="41">
        <f>SUM(Data_PL8[[#This Row],[T01.2025]:[T12.2025]])</f>
        <v>173927684403</v>
      </c>
      <c r="I7" s="41">
        <f>SUM(Data_PL8[[#This Row],[T01.2026]:[T12.2026]])</f>
        <v>49102336080</v>
      </c>
      <c r="J7" s="16">
        <f>SUM('Dai loc:DLam'!J7)</f>
        <v>312737600</v>
      </c>
      <c r="K7" s="16">
        <f>SUM('Dai loc:DLam'!K7)</f>
        <v>606797380</v>
      </c>
      <c r="L7" s="16">
        <f>SUM('Dai loc:DLam'!L7)</f>
        <v>903716800</v>
      </c>
      <c r="M7" s="16">
        <f>SUM('Dai loc:DLam'!M7)</f>
        <v>952907750</v>
      </c>
      <c r="N7" s="16">
        <f>SUM('Dai loc:DLam'!N7)</f>
        <v>1013081774</v>
      </c>
      <c r="O7" s="16">
        <f>SUM('Dai loc:DLam'!O7)</f>
        <v>337909600</v>
      </c>
      <c r="P7" s="16">
        <f>SUM('Dai loc:DLam'!P7)</f>
        <v>212259000</v>
      </c>
      <c r="Q7" s="16">
        <f>SUM('Dai loc:DLam'!Q7)</f>
        <v>0</v>
      </c>
      <c r="R7" s="16">
        <f>SUM('Dai loc:DLam'!R7)</f>
        <v>0</v>
      </c>
      <c r="S7" s="16">
        <f>SUM('Dai loc:DLam'!S7)</f>
        <v>85659200</v>
      </c>
      <c r="T7" s="16">
        <f>SUM('Dai loc:DLam'!T7)</f>
        <v>525577200</v>
      </c>
      <c r="U7" s="16">
        <v>0</v>
      </c>
      <c r="V7" s="16">
        <v>0</v>
      </c>
      <c r="W7" s="16">
        <v>0</v>
      </c>
      <c r="X7" s="16">
        <v>0</v>
      </c>
      <c r="Y7" s="16">
        <v>867124500</v>
      </c>
      <c r="Z7" s="16">
        <v>1806629000</v>
      </c>
      <c r="AA7" s="16">
        <v>1808611000</v>
      </c>
      <c r="AB7" s="16">
        <v>1898558000</v>
      </c>
      <c r="AC7" s="16">
        <v>3939705500</v>
      </c>
      <c r="AD7" s="16">
        <v>3396159500</v>
      </c>
      <c r="AE7" s="16">
        <v>7207694201</v>
      </c>
      <c r="AF7" s="16">
        <v>5938251216</v>
      </c>
      <c r="AG7" s="16">
        <v>8982822290</v>
      </c>
      <c r="AH7" s="16">
        <v>2253383204</v>
      </c>
      <c r="AI7" s="16">
        <v>4265090683</v>
      </c>
      <c r="AJ7" s="16">
        <v>10639282713</v>
      </c>
      <c r="AK7" s="16">
        <v>6949558981</v>
      </c>
      <c r="AL7" s="16">
        <v>3324235725</v>
      </c>
      <c r="AM7" s="16">
        <v>5636906111</v>
      </c>
      <c r="AN7" s="16">
        <v>3501002041</v>
      </c>
      <c r="AO7" s="16">
        <v>4192925810</v>
      </c>
      <c r="AP7" s="16">
        <v>4197374650</v>
      </c>
      <c r="AQ7" s="16">
        <v>7583193100</v>
      </c>
      <c r="AR7" s="16">
        <v>7831508500</v>
      </c>
      <c r="AS7" s="16">
        <v>8405029580</v>
      </c>
      <c r="AT7" s="16">
        <v>18859106420</v>
      </c>
      <c r="AU7" s="16">
        <v>4569145960</v>
      </c>
      <c r="AV7" s="16">
        <v>9889167500</v>
      </c>
      <c r="AW7" s="16">
        <v>8988544600</v>
      </c>
      <c r="AX7" s="16">
        <v>8396397250</v>
      </c>
      <c r="AY7" s="16">
        <v>13981977600</v>
      </c>
      <c r="AZ7" s="16">
        <v>8695495766</v>
      </c>
      <c r="BA7" s="16">
        <v>9066018899</v>
      </c>
      <c r="BB7" s="16">
        <v>10085358702</v>
      </c>
      <c r="BC7" s="16">
        <v>12770520896</v>
      </c>
      <c r="BD7" s="16">
        <v>10341915406</v>
      </c>
      <c r="BE7" s="42">
        <v>9052536426</v>
      </c>
      <c r="BF7" s="42">
        <v>5422948492</v>
      </c>
      <c r="BG7" s="42">
        <v>8810676928</v>
      </c>
      <c r="BH7" s="42">
        <v>16279256392</v>
      </c>
      <c r="BI7" s="42">
        <v>14772471605</v>
      </c>
      <c r="BJ7" s="42">
        <v>17582066937</v>
      </c>
      <c r="BK7" s="42">
        <v>19496019197</v>
      </c>
      <c r="BL7" s="42">
        <v>21794142714</v>
      </c>
      <c r="BM7" s="42">
        <v>20947068360</v>
      </c>
      <c r="BN7" s="42">
        <v>16624308416</v>
      </c>
      <c r="BO7" s="42">
        <v>14529961948</v>
      </c>
      <c r="BP7" s="42">
        <v>7374095784</v>
      </c>
      <c r="BQ7" s="42">
        <v>10294667630</v>
      </c>
      <c r="BR7" s="42">
        <v>11775760050</v>
      </c>
      <c r="BS7" s="42">
        <v>8275817930</v>
      </c>
      <c r="BT7" s="42">
        <v>14654267870</v>
      </c>
      <c r="BU7" s="42">
        <v>14396490230</v>
      </c>
      <c r="BV7" s="42">
        <f>SUM('Dai loc:DLam'!BV7)</f>
        <v>0</v>
      </c>
      <c r="BW7" s="42">
        <f>SUM('Dai loc:DLam'!BW7)</f>
        <v>0</v>
      </c>
      <c r="BX7" s="42">
        <f>SUM('Dai loc:DLam'!BX7)</f>
        <v>0</v>
      </c>
      <c r="BY7" s="42">
        <f>SUM('Dai loc:DLam'!BY7)</f>
        <v>0</v>
      </c>
      <c r="BZ7" s="42">
        <f>SUM('Dai loc:DLam'!BZ7)</f>
        <v>0</v>
      </c>
      <c r="CA7" s="42">
        <f>SUM('Dai loc:DLam'!CA7)</f>
        <v>0</v>
      </c>
      <c r="CB7" s="42">
        <f>SUM('Dai loc:DLam'!CB7)</f>
        <v>0</v>
      </c>
      <c r="CC7" s="42">
        <f>SUM('Dai loc:DLam'!CC7)</f>
        <v>0</v>
      </c>
    </row>
    <row r="8" spans="1:81" ht="15.5">
      <c r="A8" s="36">
        <v>5</v>
      </c>
      <c r="B8" s="13" t="s">
        <v>87</v>
      </c>
      <c r="C8" s="43">
        <v>6</v>
      </c>
      <c r="D8" s="37">
        <f>SUM(Data_PL8[[#This Row],[T1.2021]:[T12.2021]])</f>
        <v>4704715542</v>
      </c>
      <c r="E8" s="37">
        <f>SUM(Data_PL8[[#This Row],[T1.2022]:[T12.2022]])</f>
        <v>38057133750</v>
      </c>
      <c r="F8" s="37">
        <f>SUM(Data_PL8[[#This Row],[T1.2023]:[T12.2023]])</f>
        <v>83388707818</v>
      </c>
      <c r="G8" s="37">
        <f>SUM(Data_PL8[[#This Row],[T01.2024]:[T12.2024]])</f>
        <v>130705402599</v>
      </c>
      <c r="H8" s="37">
        <f>SUM(Data_PL8[[#This Row],[T01.2025]:[T12.2025]])</f>
        <v>173615125606</v>
      </c>
      <c r="I8" s="37">
        <f>SUM(Data_PL8[[#This Row],[T01.2026]:[T12.2026]])</f>
        <v>46648691386</v>
      </c>
      <c r="J8" s="14">
        <f>SUM('Dai loc:DLam'!J8)</f>
        <v>307386576</v>
      </c>
      <c r="K8" s="14">
        <f>SUM('Dai loc:DLam'!K8)</f>
        <v>594551595</v>
      </c>
      <c r="L8" s="14">
        <f>SUM('Dai loc:DLam'!L8)</f>
        <v>883311950</v>
      </c>
      <c r="M8" s="14">
        <f>SUM('Dai loc:DLam'!M8)</f>
        <v>901147615</v>
      </c>
      <c r="N8" s="14">
        <f>SUM('Dai loc:DLam'!N8)</f>
        <v>969467230</v>
      </c>
      <c r="O8" s="14">
        <f>SUM('Dai loc:DLam'!O8)</f>
        <v>308655184</v>
      </c>
      <c r="P8" s="14">
        <f>SUM('Dai loc:DLam'!P8)</f>
        <v>190295081</v>
      </c>
      <c r="Q8" s="14">
        <f>SUM('Dai loc:DLam'!Q8)</f>
        <v>0</v>
      </c>
      <c r="R8" s="14">
        <f>SUM('Dai loc:DLam'!R8)</f>
        <v>0</v>
      </c>
      <c r="S8" s="14">
        <f>SUM('Dai loc:DLam'!S8)</f>
        <v>84649200</v>
      </c>
      <c r="T8" s="14">
        <f>SUM('Dai loc:DLam'!T8)</f>
        <v>465251111</v>
      </c>
      <c r="U8" s="14">
        <v>0</v>
      </c>
      <c r="V8" s="14">
        <v>0</v>
      </c>
      <c r="W8" s="14">
        <v>0</v>
      </c>
      <c r="X8" s="14">
        <v>0</v>
      </c>
      <c r="Y8" s="14">
        <v>1043158263</v>
      </c>
      <c r="Z8" s="14">
        <v>2018502531</v>
      </c>
      <c r="AA8" s="14">
        <v>3246780250</v>
      </c>
      <c r="AB8" s="14">
        <v>2460816541</v>
      </c>
      <c r="AC8" s="14">
        <v>3098316370</v>
      </c>
      <c r="AD8" s="14">
        <v>3349405980</v>
      </c>
      <c r="AE8" s="14">
        <v>7265678210</v>
      </c>
      <c r="AF8" s="14">
        <v>6705345773</v>
      </c>
      <c r="AG8" s="14">
        <v>8869129832</v>
      </c>
      <c r="AH8" s="14">
        <v>3240340811</v>
      </c>
      <c r="AI8" s="14">
        <v>5619697963</v>
      </c>
      <c r="AJ8" s="14">
        <v>13421808004</v>
      </c>
      <c r="AK8" s="14">
        <v>9317382917</v>
      </c>
      <c r="AL8" s="14">
        <v>5227287464</v>
      </c>
      <c r="AM8" s="14">
        <v>7363604310</v>
      </c>
      <c r="AN8" s="14">
        <v>5177182851</v>
      </c>
      <c r="AO8" s="14">
        <v>5105270549</v>
      </c>
      <c r="AP8" s="14">
        <v>4755249704</v>
      </c>
      <c r="AQ8" s="14">
        <v>7896150860</v>
      </c>
      <c r="AR8" s="14">
        <v>9903541557</v>
      </c>
      <c r="AS8" s="14">
        <v>6361190828</v>
      </c>
      <c r="AT8" s="18">
        <v>19303813750</v>
      </c>
      <c r="AU8" s="14">
        <v>5445357498</v>
      </c>
      <c r="AV8" s="14">
        <v>9525099975</v>
      </c>
      <c r="AW8" s="44">
        <v>9177542757</v>
      </c>
      <c r="AX8" s="44">
        <v>9252785278</v>
      </c>
      <c r="AY8" s="44">
        <v>15202791010</v>
      </c>
      <c r="AZ8" s="44">
        <v>9266546963</v>
      </c>
      <c r="BA8" s="44">
        <v>9640445579</v>
      </c>
      <c r="BB8" s="44">
        <v>10348331156</v>
      </c>
      <c r="BC8" s="44">
        <v>12802871939</v>
      </c>
      <c r="BD8" s="45">
        <v>11067427637</v>
      </c>
      <c r="BE8" s="44">
        <v>9672389057</v>
      </c>
      <c r="BF8" s="44">
        <v>6459461109</v>
      </c>
      <c r="BG8" s="44">
        <v>9788053505</v>
      </c>
      <c r="BH8" s="44">
        <v>16279720003</v>
      </c>
      <c r="BI8" s="44">
        <v>15135281409</v>
      </c>
      <c r="BJ8" s="44">
        <v>16857467163</v>
      </c>
      <c r="BK8" s="44">
        <v>19925736275</v>
      </c>
      <c r="BL8" s="44">
        <v>20517811328</v>
      </c>
      <c r="BM8" s="44">
        <v>19931952590</v>
      </c>
      <c r="BN8" s="44">
        <v>16609887050</v>
      </c>
      <c r="BO8" s="44">
        <v>14135481149</v>
      </c>
      <c r="BP8" s="44">
        <v>7795260584</v>
      </c>
      <c r="BQ8" s="44">
        <v>10179013441</v>
      </c>
      <c r="BR8" s="44">
        <v>11302623439</v>
      </c>
      <c r="BS8" s="44">
        <v>8036742611</v>
      </c>
      <c r="BT8" s="44">
        <v>13652461082</v>
      </c>
      <c r="BU8" s="44">
        <v>13656864254</v>
      </c>
      <c r="BV8" s="44">
        <f>SUM('Dai loc:DLam'!BV8)</f>
        <v>0</v>
      </c>
      <c r="BW8" s="44">
        <f>SUM('Dai loc:DLam'!BW8)</f>
        <v>0</v>
      </c>
      <c r="BX8" s="44">
        <f>SUM('Dai loc:DLam'!BX8)</f>
        <v>0</v>
      </c>
      <c r="BY8" s="44">
        <f>SUM('Dai loc:DLam'!BY8)</f>
        <v>0</v>
      </c>
      <c r="BZ8" s="44">
        <f>SUM('Dai loc:DLam'!BZ8)</f>
        <v>0</v>
      </c>
      <c r="CA8" s="44">
        <f>SUM('Dai loc:DLam'!CA8)</f>
        <v>0</v>
      </c>
      <c r="CB8" s="44">
        <f>SUM('Dai loc:DLam'!CB8)</f>
        <v>0</v>
      </c>
      <c r="CC8" s="44">
        <f>SUM('Dai loc:DLam'!CC8)</f>
        <v>0</v>
      </c>
    </row>
    <row r="9" spans="1:81">
      <c r="A9" s="46">
        <v>6</v>
      </c>
      <c r="B9" s="10" t="s">
        <v>88</v>
      </c>
      <c r="C9" s="47">
        <v>6</v>
      </c>
      <c r="D9" s="47">
        <f>SUM(Data_PL8[[#This Row],[T1.2021]:[T12.2021]])</f>
        <v>245930762</v>
      </c>
      <c r="E9" s="47">
        <f>SUM(Data_PL8[[#This Row],[T1.2022]:[T12.2022]])</f>
        <v>-2211578543</v>
      </c>
      <c r="F9" s="47">
        <f>SUM(Data_PL8[[#This Row],[T1.2023]:[T12.2023]])</f>
        <v>-14609216720</v>
      </c>
      <c r="G9" s="47">
        <f>SUM(Data_PL8[[#This Row],[T01.2024]:[T12.2024]])</f>
        <v>-6009217174</v>
      </c>
      <c r="H9" s="47">
        <f>SUM(Data_PL8[[#This Row],[T01.2025]:[T12.2025]])</f>
        <v>312558797</v>
      </c>
      <c r="I9" s="47">
        <f>SUM(Data_PL8[[#This Row],[T01.2026]:[T12.2026]])</f>
        <v>2453644694</v>
      </c>
      <c r="J9" s="20">
        <f>SUM('Dai loc:DLam'!J9)</f>
        <v>5351024</v>
      </c>
      <c r="K9" s="20">
        <f>SUM('Dai loc:DLam'!K9)</f>
        <v>12245785</v>
      </c>
      <c r="L9" s="20">
        <f>SUM('Dai loc:DLam'!L9)</f>
        <v>20404850</v>
      </c>
      <c r="M9" s="20">
        <f>SUM('Dai loc:DLam'!M9)</f>
        <v>51760135</v>
      </c>
      <c r="N9" s="20">
        <f>SUM('Dai loc:DLam'!N9)</f>
        <v>43614544</v>
      </c>
      <c r="O9" s="20">
        <f>SUM('Dai loc:DLam'!O9)</f>
        <v>29254416</v>
      </c>
      <c r="P9" s="20">
        <f>SUM('Dai loc:DLam'!P9)</f>
        <v>21963919</v>
      </c>
      <c r="Q9" s="20">
        <f>SUM('Dai loc:DLam'!Q9)</f>
        <v>0</v>
      </c>
      <c r="R9" s="20">
        <f>SUM('Dai loc:DLam'!R9)</f>
        <v>0</v>
      </c>
      <c r="S9" s="20">
        <f>SUM('Dai loc:DLam'!S9)</f>
        <v>1010000</v>
      </c>
      <c r="T9" s="20">
        <f>SUM('Dai loc:DLam'!T9)</f>
        <v>60326089</v>
      </c>
      <c r="U9" s="20">
        <v>0</v>
      </c>
      <c r="V9" s="20">
        <v>0</v>
      </c>
      <c r="W9" s="20">
        <v>0</v>
      </c>
      <c r="X9" s="20">
        <v>0</v>
      </c>
      <c r="Y9" s="20">
        <v>-176033763</v>
      </c>
      <c r="Z9" s="20">
        <v>-211873531</v>
      </c>
      <c r="AA9" s="20">
        <v>-1438169250</v>
      </c>
      <c r="AB9" s="20">
        <v>-562258541</v>
      </c>
      <c r="AC9" s="20">
        <v>841389130</v>
      </c>
      <c r="AD9" s="20">
        <v>46753520</v>
      </c>
      <c r="AE9" s="20">
        <v>-57984009</v>
      </c>
      <c r="AF9" s="20">
        <v>-767094557</v>
      </c>
      <c r="AG9" s="20">
        <v>113692458</v>
      </c>
      <c r="AH9" s="20">
        <v>-986957607</v>
      </c>
      <c r="AI9" s="20">
        <v>-1354607280</v>
      </c>
      <c r="AJ9" s="20">
        <v>-2782525291</v>
      </c>
      <c r="AK9" s="20">
        <v>-2367823936</v>
      </c>
      <c r="AL9" s="20">
        <v>-1903051739</v>
      </c>
      <c r="AM9" s="20">
        <v>-1726698199</v>
      </c>
      <c r="AN9" s="20">
        <v>-1676180810</v>
      </c>
      <c r="AO9" s="20">
        <v>-912344739</v>
      </c>
      <c r="AP9" s="20">
        <v>-557875054</v>
      </c>
      <c r="AQ9" s="20">
        <v>-312957760</v>
      </c>
      <c r="AR9" s="20">
        <v>-2072033057</v>
      </c>
      <c r="AS9" s="20">
        <v>2043838752</v>
      </c>
      <c r="AT9" s="20">
        <v>-444707330</v>
      </c>
      <c r="AU9" s="20">
        <v>-876211538</v>
      </c>
      <c r="AV9" s="20">
        <v>364067525</v>
      </c>
      <c r="AW9" s="20">
        <v>-188998157</v>
      </c>
      <c r="AX9" s="20">
        <v>-856388028</v>
      </c>
      <c r="AY9" s="20">
        <v>-1220813410</v>
      </c>
      <c r="AZ9" s="20">
        <v>-571051197</v>
      </c>
      <c r="BA9" s="20">
        <v>-574426680</v>
      </c>
      <c r="BB9" s="20">
        <v>-262972454</v>
      </c>
      <c r="BC9" s="20">
        <v>-32351043</v>
      </c>
      <c r="BD9" s="20">
        <v>-725512231</v>
      </c>
      <c r="BE9" s="20">
        <v>-619852631</v>
      </c>
      <c r="BF9" s="20">
        <v>-1036512617</v>
      </c>
      <c r="BG9" s="20">
        <v>-977376577</v>
      </c>
      <c r="BH9" s="20">
        <v>-463611</v>
      </c>
      <c r="BI9" s="20">
        <v>-362809804</v>
      </c>
      <c r="BJ9" s="20">
        <v>724599774</v>
      </c>
      <c r="BK9" s="20">
        <v>-429717078</v>
      </c>
      <c r="BL9" s="20">
        <v>1276331386</v>
      </c>
      <c r="BM9" s="20">
        <v>1015115770</v>
      </c>
      <c r="BN9" s="20">
        <v>14421366</v>
      </c>
      <c r="BO9" s="20">
        <v>394480799</v>
      </c>
      <c r="BP9" s="20">
        <v>-421164800</v>
      </c>
      <c r="BQ9" s="20">
        <v>115654189</v>
      </c>
      <c r="BR9" s="20">
        <v>473136611</v>
      </c>
      <c r="BS9" s="20">
        <v>239075319</v>
      </c>
      <c r="BT9" s="20">
        <v>1001806788</v>
      </c>
      <c r="BU9" s="20">
        <v>739625976</v>
      </c>
      <c r="BV9" s="20">
        <f>SUM('Dai loc:DLam'!BV9)</f>
        <v>0</v>
      </c>
      <c r="BW9" s="20">
        <f>SUM('Dai loc:DLam'!BW9)</f>
        <v>0</v>
      </c>
      <c r="BX9" s="20">
        <f>SUM('Dai loc:DLam'!BX9)</f>
        <v>0</v>
      </c>
      <c r="BY9" s="20">
        <f>SUM('Dai loc:DLam'!BY9)</f>
        <v>0</v>
      </c>
      <c r="BZ9" s="20">
        <f>SUM('Dai loc:DLam'!BZ9)</f>
        <v>0</v>
      </c>
      <c r="CA9" s="20">
        <f>SUM('Dai loc:DLam'!CA9)</f>
        <v>0</v>
      </c>
      <c r="CB9" s="20">
        <f>SUM('Dai loc:DLam'!CB9)</f>
        <v>0</v>
      </c>
      <c r="CC9" s="20">
        <f>SUM('Dai loc:DLam'!CC9)</f>
        <v>0</v>
      </c>
    </row>
    <row r="10" spans="1:81">
      <c r="A10" s="46">
        <v>7</v>
      </c>
      <c r="B10" s="10" t="s">
        <v>89</v>
      </c>
      <c r="C10" s="47">
        <v>6</v>
      </c>
      <c r="D10" s="47">
        <f>SUM(Data_PL8[[#This Row],[T1.2021]:[T12.2021]])</f>
        <v>0</v>
      </c>
      <c r="E10" s="47">
        <f>SUM(Data_PL8[[#This Row],[T1.2022]:[T12.2022]])</f>
        <v>0</v>
      </c>
      <c r="F10" s="47">
        <f>SUM(Data_PL8[[#This Row],[T1.2023]:[T12.2023]])</f>
        <v>0</v>
      </c>
      <c r="G10" s="47">
        <f>SUM(Data_PL8[[#This Row],[T01.2024]:[T12.2024]])</f>
        <v>0</v>
      </c>
      <c r="H10" s="47">
        <f>SUM(Data_PL8[[#This Row],[T01.2025]:[T12.2025]])</f>
        <v>0</v>
      </c>
      <c r="I10" s="47">
        <f>SUM(Data_PL8[[#This Row],[T01.2026]:[T12.2026]])</f>
        <v>0</v>
      </c>
      <c r="J10" s="20">
        <f>SUM('Dai loc:DLam'!J10)</f>
        <v>0</v>
      </c>
      <c r="K10" s="20">
        <f>SUM('Dai loc:DLam'!K10)</f>
        <v>0</v>
      </c>
      <c r="L10" s="20">
        <f>SUM('Dai loc:DLam'!L10)</f>
        <v>0</v>
      </c>
      <c r="M10" s="20">
        <f>SUM('Dai loc:DLam'!M10)</f>
        <v>0</v>
      </c>
      <c r="N10" s="20">
        <f>SUM('Dai loc:DLam'!N10)</f>
        <v>0</v>
      </c>
      <c r="O10" s="20">
        <f>SUM('Dai loc:DLam'!O10)</f>
        <v>0</v>
      </c>
      <c r="P10" s="20">
        <f>SUM('Dai loc:DLam'!P10)</f>
        <v>0</v>
      </c>
      <c r="Q10" s="20">
        <f>SUM('Dai loc:DLam'!Q10)</f>
        <v>0</v>
      </c>
      <c r="R10" s="20">
        <f>SUM('Dai loc:DLam'!R10)</f>
        <v>0</v>
      </c>
      <c r="S10" s="20">
        <f>SUM('Dai loc:DLam'!S10)</f>
        <v>0</v>
      </c>
      <c r="T10" s="20">
        <f>SUM('Dai loc:DLam'!T10)</f>
        <v>0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>
        <f>SUM('Dai loc:DLam'!BV10)</f>
        <v>0</v>
      </c>
      <c r="BW10" s="20">
        <f>SUM('Dai loc:DLam'!BW10)</f>
        <v>0</v>
      </c>
      <c r="BX10" s="20">
        <f>SUM('Dai loc:DLam'!BX10)</f>
        <v>0</v>
      </c>
      <c r="BY10" s="20">
        <f>SUM('Dai loc:DLam'!BY10)</f>
        <v>0</v>
      </c>
      <c r="BZ10" s="20">
        <f>SUM('Dai loc:DLam'!BZ10)</f>
        <v>0</v>
      </c>
      <c r="CA10" s="20">
        <f>SUM('Dai loc:DLam'!CA10)</f>
        <v>0</v>
      </c>
      <c r="CB10" s="20">
        <f>SUM('Dai loc:DLam'!CB10)</f>
        <v>0</v>
      </c>
      <c r="CC10" s="20">
        <f>SUM('Dai loc:DLam'!CC10)</f>
        <v>0</v>
      </c>
    </row>
    <row r="11" spans="1:81">
      <c r="A11" s="36">
        <v>8</v>
      </c>
      <c r="B11" s="13" t="s">
        <v>90</v>
      </c>
      <c r="C11" s="37">
        <v>6</v>
      </c>
      <c r="D11" s="37">
        <f>SUM(Data_PL8[[#This Row],[T1.2021]:[T12.2021]])</f>
        <v>2530404</v>
      </c>
      <c r="E11" s="37">
        <f>SUM(Data_PL8[[#This Row],[T1.2022]:[T12.2022]])</f>
        <v>2185937</v>
      </c>
      <c r="F11" s="37">
        <f>SUM(Data_PL8[[#This Row],[T1.2023]:[T12.2023]])</f>
        <v>18611706</v>
      </c>
      <c r="G11" s="37">
        <f>SUM(Data_PL8[[#This Row],[T01.2024]:[T12.2024]])</f>
        <v>9933782</v>
      </c>
      <c r="H11" s="37">
        <f>SUM(Data_PL8[[#This Row],[T01.2025]:[T12.2025]])</f>
        <v>30416253</v>
      </c>
      <c r="I11" s="37">
        <f>SUM(Data_PL8[[#This Row],[T01.2026]:[T12.2026]])</f>
        <v>64439</v>
      </c>
      <c r="J11" s="14">
        <f>SUM('Dai loc:DLam'!J11)</f>
        <v>425596</v>
      </c>
      <c r="K11" s="14">
        <f>SUM('Dai loc:DLam'!K11)</f>
        <v>377488</v>
      </c>
      <c r="L11" s="14">
        <f>SUM('Dai loc:DLam'!L11)</f>
        <v>298250</v>
      </c>
      <c r="M11" s="14">
        <f>SUM('Dai loc:DLam'!M11)</f>
        <v>236564</v>
      </c>
      <c r="N11" s="14">
        <f>SUM('Dai loc:DLam'!N11)</f>
        <v>145459</v>
      </c>
      <c r="O11" s="14">
        <f>SUM('Dai loc:DLam'!O11)</f>
        <v>106755</v>
      </c>
      <c r="P11" s="14">
        <f>SUM('Dai loc:DLam'!P11)</f>
        <v>45345</v>
      </c>
      <c r="Q11" s="14">
        <f>SUM('Dai loc:DLam'!Q11)</f>
        <v>186733</v>
      </c>
      <c r="R11" s="14">
        <f>SUM('Dai loc:DLam'!R11)</f>
        <v>212109</v>
      </c>
      <c r="S11" s="14">
        <f>SUM('Dai loc:DLam'!S11)</f>
        <v>74497</v>
      </c>
      <c r="T11" s="14">
        <f>SUM('Dai loc:DLam'!T11)</f>
        <v>421608</v>
      </c>
      <c r="U11" s="14">
        <v>0</v>
      </c>
      <c r="V11" s="14">
        <v>193525</v>
      </c>
      <c r="W11" s="14">
        <v>41776</v>
      </c>
      <c r="X11" s="14">
        <v>63253</v>
      </c>
      <c r="Y11" s="14">
        <v>253599</v>
      </c>
      <c r="Z11" s="14">
        <v>146252</v>
      </c>
      <c r="AA11" s="14">
        <v>130471</v>
      </c>
      <c r="AB11" s="14">
        <v>87564</v>
      </c>
      <c r="AC11" s="14">
        <v>97977</v>
      </c>
      <c r="AD11" s="14">
        <v>59406</v>
      </c>
      <c r="AE11" s="14">
        <v>19128</v>
      </c>
      <c r="AF11" s="14">
        <v>237530</v>
      </c>
      <c r="AG11" s="14">
        <v>855456</v>
      </c>
      <c r="AH11" s="14">
        <v>1538411</v>
      </c>
      <c r="AI11" s="14">
        <v>490186</v>
      </c>
      <c r="AJ11" s="14">
        <v>416617</v>
      </c>
      <c r="AK11" s="14">
        <v>153598</v>
      </c>
      <c r="AL11" s="14">
        <v>175725</v>
      </c>
      <c r="AM11" s="14">
        <v>42514</v>
      </c>
      <c r="AN11" s="14">
        <v>78830</v>
      </c>
      <c r="AO11" s="14">
        <v>214369</v>
      </c>
      <c r="AP11" s="14">
        <v>78036</v>
      </c>
      <c r="AQ11" s="14">
        <v>43303</v>
      </c>
      <c r="AR11" s="14">
        <v>15370732</v>
      </c>
      <c r="AS11" s="14">
        <v>9385</v>
      </c>
      <c r="AT11" s="14">
        <v>12211</v>
      </c>
      <c r="AU11" s="14">
        <v>25165</v>
      </c>
      <c r="AV11" s="14">
        <v>19778</v>
      </c>
      <c r="AW11" s="38">
        <v>32521</v>
      </c>
      <c r="AX11" s="38">
        <v>24020</v>
      </c>
      <c r="AY11" s="38">
        <v>16492</v>
      </c>
      <c r="AZ11" s="38">
        <v>11977</v>
      </c>
      <c r="BA11" s="38">
        <v>14708</v>
      </c>
      <c r="BB11" s="38">
        <v>4723</v>
      </c>
      <c r="BC11" s="38">
        <v>16840</v>
      </c>
      <c r="BD11" s="38">
        <v>9746260</v>
      </c>
      <c r="BE11" s="39">
        <v>9087</v>
      </c>
      <c r="BF11" s="39">
        <v>15622</v>
      </c>
      <c r="BG11" s="39">
        <v>11487</v>
      </c>
      <c r="BH11" s="39">
        <v>8067</v>
      </c>
      <c r="BI11" s="39">
        <v>20954</v>
      </c>
      <c r="BJ11" s="39">
        <v>11723</v>
      </c>
      <c r="BK11" s="39">
        <v>8134</v>
      </c>
      <c r="BL11" s="39">
        <v>14534</v>
      </c>
      <c r="BM11" s="39">
        <v>10653</v>
      </c>
      <c r="BN11" s="39">
        <v>24933</v>
      </c>
      <c r="BO11" s="39">
        <v>46896</v>
      </c>
      <c r="BP11" s="39">
        <v>22423098</v>
      </c>
      <c r="BQ11" s="39">
        <v>7820152</v>
      </c>
      <c r="BR11" s="39">
        <v>10853</v>
      </c>
      <c r="BS11" s="39">
        <v>7889</v>
      </c>
      <c r="BT11" s="39">
        <v>4769</v>
      </c>
      <c r="BU11" s="39">
        <v>40928</v>
      </c>
      <c r="BV11" s="39">
        <f>SUM('Dai loc:DLam'!BV11)</f>
        <v>0</v>
      </c>
      <c r="BW11" s="39">
        <f>SUM('Dai loc:DLam'!BW11)</f>
        <v>0</v>
      </c>
      <c r="BX11" s="39">
        <f>SUM('Dai loc:DLam'!BX11)</f>
        <v>0</v>
      </c>
      <c r="BY11" s="39">
        <f>SUM('Dai loc:DLam'!BY11)</f>
        <v>0</v>
      </c>
      <c r="BZ11" s="39">
        <f>SUM('Dai loc:DLam'!BZ11)</f>
        <v>0</v>
      </c>
      <c r="CA11" s="39">
        <f>SUM('Dai loc:DLam'!CA11)</f>
        <v>0</v>
      </c>
      <c r="CB11" s="39">
        <f>SUM('Dai loc:DLam'!CB11)</f>
        <v>0</v>
      </c>
      <c r="CC11" s="39">
        <f>SUM('Dai loc:DLam'!CC11)</f>
        <v>0</v>
      </c>
    </row>
    <row r="12" spans="1:81">
      <c r="A12" s="34">
        <v>9</v>
      </c>
      <c r="B12" s="10" t="s">
        <v>91</v>
      </c>
      <c r="C12" s="35">
        <v>6</v>
      </c>
      <c r="D12" s="35">
        <f>SUM(Data_PL8[[#This Row],[T1.2021]:[T12.2021]])</f>
        <v>0</v>
      </c>
      <c r="E12" s="35">
        <f>SUM(Data_PL8[[#This Row],[T1.2022]:[T12.2022]])</f>
        <v>0</v>
      </c>
      <c r="F12" s="35">
        <f>SUM(Data_PL8[[#This Row],[T1.2023]:[T12.2023]])</f>
        <v>0</v>
      </c>
      <c r="G12" s="35">
        <f>SUM(Data_PL8[[#This Row],[T01.2024]:[T12.2024]])</f>
        <v>0</v>
      </c>
      <c r="H12" s="35">
        <f>SUM(Data_PL8[[#This Row],[T01.2025]:[T12.2025]])</f>
        <v>0</v>
      </c>
      <c r="I12" s="35">
        <f>SUM(Data_PL8[[#This Row],[T01.2026]:[T12.2026]])</f>
        <v>9654850</v>
      </c>
      <c r="J12" s="11">
        <f>SUM('Dai loc:DLam'!J12)</f>
        <v>0</v>
      </c>
      <c r="K12" s="11">
        <f>SUM('Dai loc:DLam'!K12)</f>
        <v>0</v>
      </c>
      <c r="L12" s="11">
        <f>SUM('Dai loc:DLam'!L12)</f>
        <v>0</v>
      </c>
      <c r="M12" s="11">
        <f>SUM('Dai loc:DLam'!M12)</f>
        <v>0</v>
      </c>
      <c r="N12" s="11">
        <f>SUM('Dai loc:DLam'!N12)</f>
        <v>0</v>
      </c>
      <c r="O12" s="11">
        <f>SUM('Dai loc:DLam'!O12)</f>
        <v>0</v>
      </c>
      <c r="P12" s="11">
        <f>SUM('Dai loc:DLam'!P12)</f>
        <v>0</v>
      </c>
      <c r="Q12" s="11">
        <f>SUM('Dai loc:DLam'!Q12)</f>
        <v>0</v>
      </c>
      <c r="R12" s="11">
        <f>SUM('Dai loc:DLam'!R12)</f>
        <v>0</v>
      </c>
      <c r="S12" s="11">
        <f>SUM('Dai loc:DLam'!S12)</f>
        <v>0</v>
      </c>
      <c r="T12" s="11">
        <f>SUM('Dai loc:DLam'!T12)</f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48">
        <v>0</v>
      </c>
      <c r="BF12" s="48">
        <v>0</v>
      </c>
      <c r="BG12" s="48">
        <v>0</v>
      </c>
      <c r="BH12" s="48">
        <v>0</v>
      </c>
      <c r="BI12" s="48">
        <v>0</v>
      </c>
      <c r="BJ12" s="48">
        <v>0</v>
      </c>
      <c r="BK12" s="48">
        <v>0</v>
      </c>
      <c r="BL12" s="48">
        <v>0</v>
      </c>
      <c r="BM12" s="48">
        <v>0</v>
      </c>
      <c r="BN12" s="48">
        <v>0</v>
      </c>
      <c r="BO12" s="48">
        <v>0</v>
      </c>
      <c r="BP12" s="48">
        <v>0</v>
      </c>
      <c r="BQ12" s="48">
        <v>0</v>
      </c>
      <c r="BR12" s="48"/>
      <c r="BS12" s="48">
        <v>9235200</v>
      </c>
      <c r="BT12" s="48"/>
      <c r="BU12" s="48">
        <v>419650</v>
      </c>
      <c r="BV12" s="48">
        <f>SUM('Dai loc:DLam'!BV12)</f>
        <v>0</v>
      </c>
      <c r="BW12" s="48">
        <f>SUM('Dai loc:DLam'!BW12)</f>
        <v>0</v>
      </c>
      <c r="BX12" s="48">
        <f>SUM('Dai loc:DLam'!BX12)</f>
        <v>0</v>
      </c>
      <c r="BY12" s="48">
        <f>SUM('Dai loc:DLam'!BY12)</f>
        <v>0</v>
      </c>
      <c r="BZ12" s="48">
        <f>SUM('Dai loc:DLam'!BZ12)</f>
        <v>0</v>
      </c>
      <c r="CA12" s="48">
        <f>SUM('Dai loc:DLam'!CA12)</f>
        <v>0</v>
      </c>
      <c r="CB12" s="48">
        <f>SUM('Dai loc:DLam'!CB12)</f>
        <v>0</v>
      </c>
      <c r="CC12" s="48">
        <f>SUM('Dai loc:DLam'!CC12)</f>
        <v>0</v>
      </c>
    </row>
    <row r="13" spans="1:81">
      <c r="A13" s="36">
        <v>10</v>
      </c>
      <c r="B13" s="21" t="s">
        <v>92</v>
      </c>
      <c r="C13" s="37">
        <v>6</v>
      </c>
      <c r="D13" s="37">
        <f>SUM(Data_PL8[[#This Row],[T1.2021]:[T12.2021]])</f>
        <v>0</v>
      </c>
      <c r="E13" s="37">
        <f>SUM(Data_PL8[[#This Row],[T1.2022]:[T12.2022]])</f>
        <v>0</v>
      </c>
      <c r="F13" s="37">
        <f>SUM(Data_PL8[[#This Row],[T1.2023]:[T12.2023]])</f>
        <v>0</v>
      </c>
      <c r="G13" s="37">
        <f>SUM(Data_PL8[[#This Row],[T01.2024]:[T12.2024]])</f>
        <v>0</v>
      </c>
      <c r="H13" s="37">
        <f>SUM(Data_PL8[[#This Row],[T01.2025]:[T12.2025]])</f>
        <v>0</v>
      </c>
      <c r="I13" s="37">
        <f>SUM(Data_PL8[[#This Row],[T01.2026]:[T12.2026]])</f>
        <v>0</v>
      </c>
      <c r="J13" s="14">
        <f>SUM('Dai loc:DLam'!J13)</f>
        <v>0</v>
      </c>
      <c r="K13" s="14">
        <f>SUM('Dai loc:DLam'!K13)</f>
        <v>0</v>
      </c>
      <c r="L13" s="14">
        <f>SUM('Dai loc:DLam'!L13)</f>
        <v>0</v>
      </c>
      <c r="M13" s="14">
        <f>SUM('Dai loc:DLam'!M13)</f>
        <v>0</v>
      </c>
      <c r="N13" s="14">
        <f>SUM('Dai loc:DLam'!N13)</f>
        <v>0</v>
      </c>
      <c r="O13" s="14">
        <f>SUM('Dai loc:DLam'!O13)</f>
        <v>0</v>
      </c>
      <c r="P13" s="14">
        <f>SUM('Dai loc:DLam'!P13)</f>
        <v>0</v>
      </c>
      <c r="Q13" s="14">
        <f>SUM('Dai loc:DLam'!Q13)</f>
        <v>0</v>
      </c>
      <c r="R13" s="14">
        <f>SUM('Dai loc:DLam'!R13)</f>
        <v>0</v>
      </c>
      <c r="S13" s="14">
        <f>SUM('Dai loc:DLam'!S13)</f>
        <v>0</v>
      </c>
      <c r="T13" s="14">
        <f>SUM('Dai loc:DLam'!T13)</f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38">
        <v>0</v>
      </c>
      <c r="AX13" s="38">
        <v>0</v>
      </c>
      <c r="AY13" s="38">
        <v>0</v>
      </c>
      <c r="AZ13" s="38">
        <v>0</v>
      </c>
      <c r="BA13" s="38">
        <v>0</v>
      </c>
      <c r="BB13" s="38">
        <v>0</v>
      </c>
      <c r="BC13" s="38">
        <v>0</v>
      </c>
      <c r="BD13" s="38">
        <v>0</v>
      </c>
      <c r="BE13" s="39">
        <v>0</v>
      </c>
      <c r="BF13" s="39">
        <v>0</v>
      </c>
      <c r="BG13" s="39">
        <v>0</v>
      </c>
      <c r="BH13" s="39">
        <v>0</v>
      </c>
      <c r="BI13" s="39">
        <v>0</v>
      </c>
      <c r="BJ13" s="39">
        <v>0</v>
      </c>
      <c r="BK13" s="39">
        <v>0</v>
      </c>
      <c r="BL13" s="39">
        <v>0</v>
      </c>
      <c r="BM13" s="39">
        <v>0</v>
      </c>
      <c r="BN13" s="39">
        <v>0</v>
      </c>
      <c r="BO13" s="39">
        <v>0</v>
      </c>
      <c r="BP13" s="39">
        <v>0</v>
      </c>
      <c r="BQ13" s="39">
        <v>0</v>
      </c>
      <c r="BR13" s="39"/>
      <c r="BS13" s="39"/>
      <c r="BT13" s="39"/>
      <c r="BU13" s="39"/>
      <c r="BV13" s="39">
        <f>SUM('Dai loc:DLam'!BV13)</f>
        <v>0</v>
      </c>
      <c r="BW13" s="39">
        <f>SUM('Dai loc:DLam'!BW13)</f>
        <v>0</v>
      </c>
      <c r="BX13" s="39">
        <f>SUM('Dai loc:DLam'!BX13)</f>
        <v>0</v>
      </c>
      <c r="BY13" s="39">
        <f>SUM('Dai loc:DLam'!BY13)</f>
        <v>0</v>
      </c>
      <c r="BZ13" s="39">
        <f>SUM('Dai loc:DLam'!BZ13)</f>
        <v>0</v>
      </c>
      <c r="CA13" s="39">
        <f>SUM('Dai loc:DLam'!CA13)</f>
        <v>0</v>
      </c>
      <c r="CB13" s="39">
        <f>SUM('Dai loc:DLam'!CB13)</f>
        <v>0</v>
      </c>
      <c r="CC13" s="39">
        <f>SUM('Dai loc:DLam'!CC13)</f>
        <v>0</v>
      </c>
    </row>
    <row r="14" spans="1:81">
      <c r="A14" s="36">
        <v>11</v>
      </c>
      <c r="B14" s="13" t="s">
        <v>93</v>
      </c>
      <c r="C14" s="37">
        <v>6</v>
      </c>
      <c r="D14" s="37">
        <f>SUM(Data_PL8[[#This Row],[T1.2021]:[T12.2021]])</f>
        <v>613806900</v>
      </c>
      <c r="E14" s="37">
        <f>SUM(Data_PL8[[#This Row],[T1.2022]:[T12.2022]])</f>
        <v>846137000</v>
      </c>
      <c r="F14" s="37">
        <f>SUM(Data_PL8[[#This Row],[T1.2023]:[T12.2023]])</f>
        <v>3257669600</v>
      </c>
      <c r="G14" s="37">
        <f>SUM(Data_PL8[[#This Row],[T01.2024]:[T12.2024]])</f>
        <v>3508089700</v>
      </c>
      <c r="H14" s="37">
        <f>SUM(Data_PL8[[#This Row],[T01.2025]:[T12.2025]])</f>
        <v>3127900000</v>
      </c>
      <c r="I14" s="37">
        <f>SUM(Data_PL8[[#This Row],[T01.2026]:[T12.2026]])</f>
        <v>1107700000</v>
      </c>
      <c r="J14" s="14">
        <f>SUM('Dai loc:DLam'!J14)</f>
        <v>124600000</v>
      </c>
      <c r="K14" s="14">
        <f>SUM('Dai loc:DLam'!K14)</f>
        <v>137482710</v>
      </c>
      <c r="L14" s="14">
        <f>SUM('Dai loc:DLam'!L14)</f>
        <v>167076390</v>
      </c>
      <c r="M14" s="14">
        <f>SUM('Dai loc:DLam'!M14)</f>
        <v>43940000</v>
      </c>
      <c r="N14" s="14">
        <f>SUM('Dai loc:DLam'!N14)</f>
        <v>54150000</v>
      </c>
      <c r="O14" s="14">
        <f>SUM('Dai loc:DLam'!O14)</f>
        <v>51400000</v>
      </c>
      <c r="P14" s="14">
        <f>SUM('Dai loc:DLam'!P14)</f>
        <v>31900000</v>
      </c>
      <c r="Q14" s="14">
        <f>SUM('Dai loc:DLam'!Q14)</f>
        <v>3257800</v>
      </c>
      <c r="R14" s="14">
        <f>SUM('Dai loc:DLam'!R14)</f>
        <v>0</v>
      </c>
      <c r="S14" s="14">
        <f>SUM('Dai loc:DLam'!S14)</f>
        <v>0</v>
      </c>
      <c r="T14" s="14">
        <f>SUM('Dai loc:DLam'!T14)</f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55956000</v>
      </c>
      <c r="AA14" s="14">
        <v>41117000</v>
      </c>
      <c r="AB14" s="14">
        <v>57464000</v>
      </c>
      <c r="AC14" s="14">
        <v>93500000</v>
      </c>
      <c r="AD14" s="14">
        <v>95700000</v>
      </c>
      <c r="AE14" s="14">
        <v>176000000</v>
      </c>
      <c r="AF14" s="14">
        <v>138700000</v>
      </c>
      <c r="AG14" s="14">
        <v>187700000</v>
      </c>
      <c r="AH14" s="14">
        <v>75300000</v>
      </c>
      <c r="AI14" s="14">
        <v>126000000</v>
      </c>
      <c r="AJ14" s="14">
        <v>157600000</v>
      </c>
      <c r="AK14" s="14">
        <v>240643000</v>
      </c>
      <c r="AL14" s="14">
        <v>89750000</v>
      </c>
      <c r="AM14" s="14">
        <v>145050000</v>
      </c>
      <c r="AN14" s="14">
        <v>84700000</v>
      </c>
      <c r="AO14" s="14">
        <v>66600000</v>
      </c>
      <c r="AP14" s="14">
        <v>38300000</v>
      </c>
      <c r="AQ14" s="14">
        <v>93600000</v>
      </c>
      <c r="AR14" s="14">
        <v>349438000</v>
      </c>
      <c r="AS14" s="14">
        <v>1790688600</v>
      </c>
      <c r="AT14" s="14">
        <v>1789900000</v>
      </c>
      <c r="AU14" s="14">
        <v>95542200</v>
      </c>
      <c r="AV14" s="14">
        <v>198747500</v>
      </c>
      <c r="AW14" s="38">
        <v>149800000</v>
      </c>
      <c r="AX14" s="38">
        <v>136700000</v>
      </c>
      <c r="AY14" s="38">
        <v>187000000</v>
      </c>
      <c r="AZ14" s="38">
        <v>154000000</v>
      </c>
      <c r="BA14" s="38">
        <v>132500000</v>
      </c>
      <c r="BB14" s="38">
        <v>185900000</v>
      </c>
      <c r="BC14" s="38">
        <v>180600000</v>
      </c>
      <c r="BD14" s="38">
        <v>156300000</v>
      </c>
      <c r="BE14" s="38">
        <v>141100000</v>
      </c>
      <c r="BF14" s="38">
        <v>91100000</v>
      </c>
      <c r="BG14" s="38">
        <v>139700000</v>
      </c>
      <c r="BH14" s="38">
        <v>291900000</v>
      </c>
      <c r="BI14" s="38">
        <v>255100000</v>
      </c>
      <c r="BJ14" s="38">
        <v>287700000</v>
      </c>
      <c r="BK14" s="38">
        <v>330500000</v>
      </c>
      <c r="BL14" s="38">
        <v>365500000</v>
      </c>
      <c r="BM14" s="38">
        <v>358900000</v>
      </c>
      <c r="BN14" s="38">
        <v>327900000</v>
      </c>
      <c r="BO14" s="38">
        <v>294000000</v>
      </c>
      <c r="BP14" s="38">
        <v>171600000</v>
      </c>
      <c r="BQ14" s="38">
        <v>214000000</v>
      </c>
      <c r="BR14" s="38">
        <v>252400000</v>
      </c>
      <c r="BS14" s="38">
        <v>167700000</v>
      </c>
      <c r="BT14" s="38">
        <v>349500000</v>
      </c>
      <c r="BU14" s="38">
        <v>338100000</v>
      </c>
      <c r="BV14" s="38">
        <f>SUM('Dai loc:DLam'!BV14)</f>
        <v>0</v>
      </c>
      <c r="BW14" s="38">
        <f>SUM('Dai loc:DLam'!BW14)</f>
        <v>0</v>
      </c>
      <c r="BX14" s="38">
        <f>SUM('Dai loc:DLam'!BX14)</f>
        <v>0</v>
      </c>
      <c r="BY14" s="38">
        <f>SUM('Dai loc:DLam'!BY14)</f>
        <v>0</v>
      </c>
      <c r="BZ14" s="38">
        <f>SUM('Dai loc:DLam'!BZ14)</f>
        <v>0</v>
      </c>
      <c r="CA14" s="38">
        <f>SUM('Dai loc:DLam'!CA14)</f>
        <v>0</v>
      </c>
      <c r="CB14" s="38">
        <f>SUM('Dai loc:DLam'!CB14)</f>
        <v>0</v>
      </c>
      <c r="CC14" s="38">
        <f>SUM('Dai loc:DLam'!CC14)</f>
        <v>0</v>
      </c>
    </row>
    <row r="15" spans="1:81">
      <c r="A15" s="36">
        <v>12</v>
      </c>
      <c r="B15" s="13" t="s">
        <v>94</v>
      </c>
      <c r="C15" s="37">
        <v>6</v>
      </c>
      <c r="D15" s="37">
        <f>SUM(Data_PL8[[#This Row],[T1.2021]:[T12.2021]])</f>
        <v>3482504390</v>
      </c>
      <c r="E15" s="37">
        <f>SUM(Data_PL8[[#This Row],[T1.2022]:[T12.2022]])</f>
        <v>3554786333</v>
      </c>
      <c r="F15" s="37">
        <f>SUM(Data_PL8[[#This Row],[T1.2023]:[T12.2023]])</f>
        <v>4726260715</v>
      </c>
      <c r="G15" s="37">
        <f>SUM(Data_PL8[[#This Row],[T01.2024]:[T12.2024]])</f>
        <v>2854734951</v>
      </c>
      <c r="H15" s="37">
        <f>SUM(Data_PL8[[#This Row],[T01.2025]:[T12.2025]])</f>
        <v>3920744156</v>
      </c>
      <c r="I15" s="37">
        <f>SUM(Data_PL8[[#This Row],[T01.2026]:[T12.2026]])</f>
        <v>2468576452</v>
      </c>
      <c r="J15" s="14">
        <f>SUM('Dai loc:DLam'!J15)</f>
        <v>512393321</v>
      </c>
      <c r="K15" s="14">
        <f>SUM('Dai loc:DLam'!K15)</f>
        <v>291931741</v>
      </c>
      <c r="L15" s="14">
        <f>SUM('Dai loc:DLam'!L15)</f>
        <v>308386505</v>
      </c>
      <c r="M15" s="14">
        <f>SUM('Dai loc:DLam'!M15)</f>
        <v>395071206</v>
      </c>
      <c r="N15" s="14">
        <f>SUM('Dai loc:DLam'!N15)</f>
        <v>319551728</v>
      </c>
      <c r="O15" s="14">
        <f>SUM('Dai loc:DLam'!O15)</f>
        <v>287977276</v>
      </c>
      <c r="P15" s="14">
        <f>SUM('Dai loc:DLam'!P15)</f>
        <v>231279900</v>
      </c>
      <c r="Q15" s="14">
        <f>SUM('Dai loc:DLam'!Q15)</f>
        <v>189966458</v>
      </c>
      <c r="R15" s="14">
        <f>SUM('Dai loc:DLam'!R15)</f>
        <v>267984020</v>
      </c>
      <c r="S15" s="14">
        <f>SUM('Dai loc:DLam'!S15)</f>
        <v>267140313</v>
      </c>
      <c r="T15" s="14">
        <f>SUM('Dai loc:DLam'!T15)</f>
        <v>405606537</v>
      </c>
      <c r="U15" s="14">
        <v>5215385</v>
      </c>
      <c r="V15" s="14">
        <v>54384111</v>
      </c>
      <c r="W15" s="14">
        <v>81006325</v>
      </c>
      <c r="X15" s="14">
        <v>120760187</v>
      </c>
      <c r="Y15" s="14">
        <v>135508222</v>
      </c>
      <c r="Z15" s="14">
        <v>128854203</v>
      </c>
      <c r="AA15" s="14">
        <v>158782511</v>
      </c>
      <c r="AB15" s="14">
        <v>144294348</v>
      </c>
      <c r="AC15" s="14">
        <v>130754061</v>
      </c>
      <c r="AD15" s="14">
        <v>151931954</v>
      </c>
      <c r="AE15" s="14">
        <v>136440059</v>
      </c>
      <c r="AF15" s="14">
        <v>1818058793</v>
      </c>
      <c r="AG15" s="14">
        <v>494011559</v>
      </c>
      <c r="AH15" s="14">
        <v>512428705</v>
      </c>
      <c r="AI15" s="14">
        <v>513524746</v>
      </c>
      <c r="AJ15" s="14">
        <v>289805194</v>
      </c>
      <c r="AK15" s="14">
        <v>385726708</v>
      </c>
      <c r="AL15" s="14">
        <v>356542104</v>
      </c>
      <c r="AM15" s="14">
        <v>323320047</v>
      </c>
      <c r="AN15" s="14">
        <v>340009205</v>
      </c>
      <c r="AO15" s="14">
        <v>692274279</v>
      </c>
      <c r="AP15" s="14">
        <v>332140369</v>
      </c>
      <c r="AQ15" s="14">
        <v>324903258</v>
      </c>
      <c r="AR15" s="14">
        <v>323801165</v>
      </c>
      <c r="AS15" s="14">
        <v>331784935</v>
      </c>
      <c r="AT15" s="14">
        <v>189486394</v>
      </c>
      <c r="AU15" s="14">
        <v>225236410</v>
      </c>
      <c r="AV15" s="14">
        <v>229978521</v>
      </c>
      <c r="AW15" s="38">
        <v>229889992</v>
      </c>
      <c r="AX15" s="38">
        <v>224134296</v>
      </c>
      <c r="AY15" s="38">
        <v>214897048</v>
      </c>
      <c r="AZ15" s="38">
        <v>230047625</v>
      </c>
      <c r="BA15" s="38">
        <v>229954420</v>
      </c>
      <c r="BB15" s="38">
        <v>228488322</v>
      </c>
      <c r="BC15" s="38">
        <v>213155072</v>
      </c>
      <c r="BD15" s="38">
        <v>300846378</v>
      </c>
      <c r="BE15" s="38">
        <v>338620473</v>
      </c>
      <c r="BF15" s="38">
        <v>390880567</v>
      </c>
      <c r="BG15" s="38">
        <v>288060338</v>
      </c>
      <c r="BH15" s="38">
        <v>278341956</v>
      </c>
      <c r="BI15" s="38">
        <v>277195306</v>
      </c>
      <c r="BJ15" s="38">
        <v>257971197</v>
      </c>
      <c r="BK15" s="38">
        <v>282882950</v>
      </c>
      <c r="BL15" s="38">
        <v>303895747</v>
      </c>
      <c r="BM15" s="38">
        <v>325151310</v>
      </c>
      <c r="BN15" s="38">
        <v>377683972</v>
      </c>
      <c r="BO15" s="38">
        <v>341492876</v>
      </c>
      <c r="BP15" s="38">
        <v>395204855</v>
      </c>
      <c r="BQ15" s="38">
        <v>401983082</v>
      </c>
      <c r="BR15" s="38">
        <v>638193690</v>
      </c>
      <c r="BS15" s="38">
        <v>962454402</v>
      </c>
      <c r="BT15" s="38">
        <v>406416217</v>
      </c>
      <c r="BU15" s="38">
        <v>461512143</v>
      </c>
      <c r="BV15" s="38">
        <f>SUM('Dai loc:DLam'!BV15)</f>
        <v>0</v>
      </c>
      <c r="BW15" s="38">
        <f>SUM('Dai loc:DLam'!BW15)</f>
        <v>0</v>
      </c>
      <c r="BX15" s="38">
        <f>SUM('Dai loc:DLam'!BX15)</f>
        <v>0</v>
      </c>
      <c r="BY15" s="38">
        <f>SUM('Dai loc:DLam'!BY15)</f>
        <v>0</v>
      </c>
      <c r="BZ15" s="38">
        <f>SUM('Dai loc:DLam'!BZ15)</f>
        <v>0</v>
      </c>
      <c r="CA15" s="38">
        <f>SUM('Dai loc:DLam'!CA15)</f>
        <v>0</v>
      </c>
      <c r="CB15" s="38">
        <f>SUM('Dai loc:DLam'!CB15)</f>
        <v>0</v>
      </c>
      <c r="CC15" s="38">
        <f>SUM('Dai loc:DLam'!CC15)</f>
        <v>0</v>
      </c>
    </row>
    <row r="16" spans="1:81">
      <c r="A16" s="34">
        <v>13</v>
      </c>
      <c r="B16" s="10" t="s">
        <v>95</v>
      </c>
      <c r="C16" s="35">
        <v>6</v>
      </c>
      <c r="D16" s="35">
        <f>SUM(Data_PL8[[#This Row],[T1.2021]:[T12.2021]])</f>
        <v>-3847850124</v>
      </c>
      <c r="E16" s="35">
        <f>SUM(Data_PL8[[#This Row],[T1.2022]:[T12.2022]])</f>
        <v>-6610315939</v>
      </c>
      <c r="F16" s="35">
        <f>SUM(Data_PL8[[#This Row],[T1.2023]:[T12.2023]])</f>
        <v>-22574535329</v>
      </c>
      <c r="G16" s="35">
        <f>SUM(Data_PL8[[#This Row],[T01.2024]:[T12.2024]])</f>
        <v>-12362108043</v>
      </c>
      <c r="H16" s="35">
        <f>SUM(Data_PL8[[#This Row],[T01.2025]:[T12.2025]])</f>
        <v>-6705669106</v>
      </c>
      <c r="I16" s="35">
        <f>SUM(Data_PL8[[#This Row],[T01.2026]:[T12.2026]])</f>
        <v>-1132222169</v>
      </c>
      <c r="J16" s="11">
        <f>SUM('Dai loc:DLam'!J16)</f>
        <v>-631216701</v>
      </c>
      <c r="K16" s="11">
        <f>SUM('Dai loc:DLam'!K16)</f>
        <v>-416791178</v>
      </c>
      <c r="L16" s="11">
        <f>SUM('Dai loc:DLam'!L16)</f>
        <v>-454759795</v>
      </c>
      <c r="M16" s="11">
        <f>SUM('Dai loc:DLam'!M16)</f>
        <v>-387014507</v>
      </c>
      <c r="N16" s="11">
        <f>SUM('Dai loc:DLam'!N16)</f>
        <v>-329941725</v>
      </c>
      <c r="O16" s="11">
        <f>SUM('Dai loc:DLam'!O16)</f>
        <v>-310016105</v>
      </c>
      <c r="P16" s="11">
        <f>SUM('Dai loc:DLam'!P16)</f>
        <v>-241170636</v>
      </c>
      <c r="Q16" s="11">
        <f>SUM('Dai loc:DLam'!Q16)</f>
        <v>-193037525</v>
      </c>
      <c r="R16" s="11">
        <f>SUM('Dai loc:DLam'!R16)</f>
        <v>-267771911</v>
      </c>
      <c r="S16" s="11">
        <f>SUM('Dai loc:DLam'!S16)</f>
        <v>-266055816</v>
      </c>
      <c r="T16" s="11">
        <f>SUM('Dai loc:DLam'!T16)</f>
        <v>-344858840</v>
      </c>
      <c r="U16" s="11">
        <v>-5215385</v>
      </c>
      <c r="V16" s="11">
        <v>-54190586</v>
      </c>
      <c r="W16" s="11">
        <v>-80964549</v>
      </c>
      <c r="X16" s="11">
        <v>-120696934</v>
      </c>
      <c r="Y16" s="11">
        <v>-311288386</v>
      </c>
      <c r="Z16" s="11">
        <v>-396537482</v>
      </c>
      <c r="AA16" s="11">
        <v>-1637938290</v>
      </c>
      <c r="AB16" s="11">
        <v>-763929325</v>
      </c>
      <c r="AC16" s="11">
        <v>617233046</v>
      </c>
      <c r="AD16" s="11">
        <v>-200819028</v>
      </c>
      <c r="AE16" s="11">
        <v>-370404940</v>
      </c>
      <c r="AF16" s="11">
        <v>-2723615820</v>
      </c>
      <c r="AG16" s="11">
        <v>-567163645</v>
      </c>
      <c r="AH16" s="11">
        <v>-1573147901</v>
      </c>
      <c r="AI16" s="11">
        <v>-1993641840</v>
      </c>
      <c r="AJ16" s="11">
        <v>-3229513868</v>
      </c>
      <c r="AK16" s="11">
        <v>-2994040046</v>
      </c>
      <c r="AL16" s="11">
        <v>-2349168118</v>
      </c>
      <c r="AM16" s="11">
        <v>-2195025732</v>
      </c>
      <c r="AN16" s="11">
        <v>-2100811185</v>
      </c>
      <c r="AO16" s="11">
        <v>-1671004649</v>
      </c>
      <c r="AP16" s="11">
        <v>-928237387</v>
      </c>
      <c r="AQ16" s="11">
        <v>-731417715</v>
      </c>
      <c r="AR16" s="11">
        <v>-2729901490</v>
      </c>
      <c r="AS16" s="11">
        <v>-78625398</v>
      </c>
      <c r="AT16" s="11">
        <v>-2424081513</v>
      </c>
      <c r="AU16" s="11">
        <v>-1196964983</v>
      </c>
      <c r="AV16" s="11">
        <v>-64638718</v>
      </c>
      <c r="AW16" s="11">
        <v>-568655628</v>
      </c>
      <c r="AX16" s="11">
        <v>-1217198304</v>
      </c>
      <c r="AY16" s="11">
        <v>-1622693966</v>
      </c>
      <c r="AZ16" s="11">
        <v>-955086845</v>
      </c>
      <c r="BA16" s="11">
        <v>-936866392</v>
      </c>
      <c r="BB16" s="11">
        <v>-677356053</v>
      </c>
      <c r="BC16" s="11">
        <v>-426089275</v>
      </c>
      <c r="BD16" s="11">
        <v>-1172912349</v>
      </c>
      <c r="BE16" s="48">
        <v>-1099564017</v>
      </c>
      <c r="BF16" s="48">
        <v>-1518477562</v>
      </c>
      <c r="BG16" s="48">
        <v>-1405125428</v>
      </c>
      <c r="BH16" s="48">
        <v>-570697500</v>
      </c>
      <c r="BI16" s="48">
        <v>-895084156</v>
      </c>
      <c r="BJ16" s="48">
        <v>178940300</v>
      </c>
      <c r="BK16" s="48">
        <v>-1043091894</v>
      </c>
      <c r="BL16" s="48">
        <v>606950173</v>
      </c>
      <c r="BM16" s="48">
        <v>331075113</v>
      </c>
      <c r="BN16" s="48">
        <v>-691137673</v>
      </c>
      <c r="BO16" s="48">
        <v>-240965181</v>
      </c>
      <c r="BP16" s="48">
        <v>-965546557</v>
      </c>
      <c r="BQ16" s="48">
        <v>-492508741</v>
      </c>
      <c r="BR16" s="48">
        <v>-417446226</v>
      </c>
      <c r="BS16" s="48">
        <v>-900306394</v>
      </c>
      <c r="BT16" s="48">
        <v>245895340</v>
      </c>
      <c r="BU16" s="48">
        <v>-60364889</v>
      </c>
      <c r="BV16" s="48">
        <f>SUM('Dai loc:DLam'!BV16)</f>
        <v>0</v>
      </c>
      <c r="BW16" s="48">
        <f>SUM('Dai loc:DLam'!BW16)</f>
        <v>0</v>
      </c>
      <c r="BX16" s="48">
        <f>SUM('Dai loc:DLam'!BX16)</f>
        <v>0</v>
      </c>
      <c r="BY16" s="48">
        <f>SUM('Dai loc:DLam'!BY16)</f>
        <v>0</v>
      </c>
      <c r="BZ16" s="48">
        <f>SUM('Dai loc:DLam'!BZ16)</f>
        <v>0</v>
      </c>
      <c r="CA16" s="48">
        <f>SUM('Dai loc:DLam'!CA16)</f>
        <v>0</v>
      </c>
      <c r="CB16" s="48">
        <f>SUM('Dai loc:DLam'!CB16)</f>
        <v>0</v>
      </c>
      <c r="CC16" s="48">
        <f>SUM('Dai loc:DLam'!CC16)</f>
        <v>0</v>
      </c>
    </row>
    <row r="17" spans="1:81">
      <c r="A17" s="36">
        <v>14</v>
      </c>
      <c r="B17" s="13" t="s">
        <v>96</v>
      </c>
      <c r="C17" s="37">
        <v>6</v>
      </c>
      <c r="D17" s="37">
        <f>SUM(Data_PL8[[#This Row],[T1.2021]:[T12.2021]])</f>
        <v>1770000</v>
      </c>
      <c r="E17" s="37">
        <f>SUM(Data_PL8[[#This Row],[T1.2022]:[T12.2022]])</f>
        <v>190000</v>
      </c>
      <c r="F17" s="37">
        <f>SUM(Data_PL8[[#This Row],[T1.2023]:[T12.2023]])</f>
        <v>411943144</v>
      </c>
      <c r="G17" s="37">
        <f>SUM(Data_PL8[[#This Row],[T01.2024]:[T12.2024]])</f>
        <v>37322058</v>
      </c>
      <c r="H17" s="37">
        <f>SUM(Data_PL8[[#This Row],[T01.2025]:[T12.2025]])</f>
        <v>223318560</v>
      </c>
      <c r="I17" s="37">
        <f>SUM(Data_PL8[[#This Row],[T01.2026]:[T12.2026]])</f>
        <v>149865373</v>
      </c>
      <c r="J17" s="14">
        <f>SUM('Dai loc:DLam'!J17)</f>
        <v>0</v>
      </c>
      <c r="K17" s="14">
        <f>SUM('Dai loc:DLam'!K17)</f>
        <v>0</v>
      </c>
      <c r="L17" s="14">
        <f>SUM('Dai loc:DLam'!L17)</f>
        <v>810000</v>
      </c>
      <c r="M17" s="14">
        <f>SUM('Dai loc:DLam'!M17)</f>
        <v>0</v>
      </c>
      <c r="N17" s="14">
        <f>SUM('Dai loc:DLam'!N17)</f>
        <v>960000</v>
      </c>
      <c r="O17" s="14">
        <f>SUM('Dai loc:DLam'!O17)</f>
        <v>0</v>
      </c>
      <c r="P17" s="14">
        <f>SUM('Dai loc:DLam'!P17)</f>
        <v>0</v>
      </c>
      <c r="Q17" s="14">
        <f>SUM('Dai loc:DLam'!Q17)</f>
        <v>0</v>
      </c>
      <c r="R17" s="14">
        <f>SUM('Dai loc:DLam'!R17)</f>
        <v>0</v>
      </c>
      <c r="S17" s="14">
        <f>SUM('Dai loc:DLam'!S17)</f>
        <v>0</v>
      </c>
      <c r="T17" s="14">
        <f>SUM('Dai loc:DLam'!T17)</f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190000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109815</v>
      </c>
      <c r="AL17" s="14">
        <v>58651962</v>
      </c>
      <c r="AM17" s="14">
        <v>310961198</v>
      </c>
      <c r="AN17" s="14">
        <v>7456238</v>
      </c>
      <c r="AO17" s="14">
        <v>12453000</v>
      </c>
      <c r="AP17" s="14">
        <v>0</v>
      </c>
      <c r="AQ17" s="14">
        <v>0</v>
      </c>
      <c r="AR17" s="14">
        <v>0</v>
      </c>
      <c r="AS17" s="14">
        <v>22310931</v>
      </c>
      <c r="AT17" s="14">
        <v>0</v>
      </c>
      <c r="AU17" s="14">
        <v>0</v>
      </c>
      <c r="AV17" s="14">
        <v>0</v>
      </c>
      <c r="AW17" s="38">
        <v>0</v>
      </c>
      <c r="AX17" s="38">
        <v>4695924</v>
      </c>
      <c r="AY17" s="38">
        <v>6427650</v>
      </c>
      <c r="AZ17" s="38"/>
      <c r="BA17" s="38">
        <v>6515785</v>
      </c>
      <c r="BB17" s="38">
        <v>5868055</v>
      </c>
      <c r="BC17" s="38">
        <v>2949074</v>
      </c>
      <c r="BD17" s="38">
        <v>4844907</v>
      </c>
      <c r="BE17" s="39">
        <v>6020663</v>
      </c>
      <c r="BF17" s="39">
        <v>6872690</v>
      </c>
      <c r="BG17" s="39">
        <v>0</v>
      </c>
      <c r="BH17" s="39">
        <v>5897640</v>
      </c>
      <c r="BI17" s="39">
        <v>14981280</v>
      </c>
      <c r="BJ17" s="39">
        <v>21977736</v>
      </c>
      <c r="BK17" s="39">
        <v>20040080</v>
      </c>
      <c r="BL17" s="39">
        <v>35343900</v>
      </c>
      <c r="BM17" s="39">
        <v>28282224</v>
      </c>
      <c r="BN17" s="39">
        <v>14984820</v>
      </c>
      <c r="BO17" s="39">
        <v>24570392</v>
      </c>
      <c r="BP17" s="39">
        <v>8366410</v>
      </c>
      <c r="BQ17" s="39">
        <v>42001388</v>
      </c>
      <c r="BR17" s="39">
        <v>8748278</v>
      </c>
      <c r="BS17" s="39">
        <v>10969252</v>
      </c>
      <c r="BT17" s="39">
        <v>13764543</v>
      </c>
      <c r="BU17" s="39">
        <v>116383300</v>
      </c>
      <c r="BV17" s="39">
        <f>SUM('Dai loc:DLam'!BV17)</f>
        <v>0</v>
      </c>
      <c r="BW17" s="39">
        <f>SUM('Dai loc:DLam'!BW17)</f>
        <v>0</v>
      </c>
      <c r="BX17" s="39">
        <f>SUM('Dai loc:DLam'!BX17)</f>
        <v>0</v>
      </c>
      <c r="BY17" s="39">
        <f>SUM('Dai loc:DLam'!BY17)</f>
        <v>0</v>
      </c>
      <c r="BZ17" s="39">
        <f>SUM('Dai loc:DLam'!BZ17)</f>
        <v>0</v>
      </c>
      <c r="CA17" s="39">
        <f>SUM('Dai loc:DLam'!CA17)</f>
        <v>0</v>
      </c>
      <c r="CB17" s="39">
        <f>SUM('Dai loc:DLam'!CB17)</f>
        <v>0</v>
      </c>
      <c r="CC17" s="39">
        <f>SUM('Dai loc:DLam'!CC17)</f>
        <v>0</v>
      </c>
    </row>
    <row r="18" spans="1:81">
      <c r="A18" s="36">
        <v>15</v>
      </c>
      <c r="B18" s="13" t="s">
        <v>97</v>
      </c>
      <c r="C18" s="37">
        <v>6</v>
      </c>
      <c r="D18" s="37">
        <f>SUM(Data_PL8[[#This Row],[T1.2021]:[T12.2021]])</f>
        <v>3300000</v>
      </c>
      <c r="E18" s="37">
        <f>SUM(Data_PL8[[#This Row],[T1.2022]:[T12.2022]])</f>
        <v>3420266062</v>
      </c>
      <c r="F18" s="37">
        <f>SUM(Data_PL8[[#This Row],[T1.2023]:[T12.2023]])</f>
        <v>469346186</v>
      </c>
      <c r="G18" s="37">
        <f>SUM(Data_PL8[[#This Row],[T01.2024]:[T12.2024]])</f>
        <v>231135145</v>
      </c>
      <c r="H18" s="37">
        <f>SUM(Data_PL8[[#This Row],[T01.2025]:[T12.2025]])</f>
        <v>171338420</v>
      </c>
      <c r="I18" s="37">
        <f>SUM(Data_PL8[[#This Row],[T01.2026]:[T12.2026]])</f>
        <v>662336263</v>
      </c>
      <c r="J18" s="14">
        <f>SUM('Dai loc:DLam'!J18)</f>
        <v>0</v>
      </c>
      <c r="K18" s="14">
        <f>SUM('Dai loc:DLam'!K18)</f>
        <v>2500000</v>
      </c>
      <c r="L18" s="14">
        <f>SUM('Dai loc:DLam'!L18)</f>
        <v>800000</v>
      </c>
      <c r="M18" s="14">
        <f>SUM('Dai loc:DLam'!M18)</f>
        <v>0</v>
      </c>
      <c r="N18" s="14">
        <f>SUM('Dai loc:DLam'!N18)</f>
        <v>0</v>
      </c>
      <c r="O18" s="14">
        <f>SUM('Dai loc:DLam'!O18)</f>
        <v>0</v>
      </c>
      <c r="P18" s="14">
        <f>SUM('Dai loc:DLam'!P18)</f>
        <v>0</v>
      </c>
      <c r="Q18" s="14">
        <f>SUM('Dai loc:DLam'!Q18)</f>
        <v>0</v>
      </c>
      <c r="R18" s="14">
        <f>SUM('Dai loc:DLam'!R18)</f>
        <v>0</v>
      </c>
      <c r="S18" s="14">
        <f>SUM('Dai loc:DLam'!S18)</f>
        <v>0</v>
      </c>
      <c r="T18" s="14">
        <f>SUM('Dai loc:DLam'!T18)</f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296296</v>
      </c>
      <c r="AD18" s="14">
        <v>0</v>
      </c>
      <c r="AE18" s="14">
        <v>16391</v>
      </c>
      <c r="AF18" s="14">
        <v>0</v>
      </c>
      <c r="AG18" s="14">
        <v>3419953375</v>
      </c>
      <c r="AH18" s="14">
        <v>0</v>
      </c>
      <c r="AI18" s="14">
        <v>0</v>
      </c>
      <c r="AJ18" s="14">
        <v>8284629</v>
      </c>
      <c r="AK18" s="14">
        <v>61546</v>
      </c>
      <c r="AL18" s="14">
        <v>52651</v>
      </c>
      <c r="AM18" s="14">
        <v>342751500</v>
      </c>
      <c r="AN18" s="14">
        <v>34965381</v>
      </c>
      <c r="AO18" s="14">
        <v>3001865</v>
      </c>
      <c r="AP18" s="14">
        <v>8601062</v>
      </c>
      <c r="AQ18" s="14">
        <v>12875003</v>
      </c>
      <c r="AR18" s="14">
        <v>11895000</v>
      </c>
      <c r="AS18" s="14">
        <v>46857549</v>
      </c>
      <c r="AT18" s="14">
        <v>25035000</v>
      </c>
      <c r="AU18" s="14">
        <v>4500869</v>
      </c>
      <c r="AV18" s="14">
        <v>15342970</v>
      </c>
      <c r="AW18" s="38">
        <v>1400000</v>
      </c>
      <c r="AX18" s="38">
        <v>4112330</v>
      </c>
      <c r="AY18" s="38">
        <v>3788889</v>
      </c>
      <c r="AZ18" s="38">
        <v>1603193</v>
      </c>
      <c r="BA18" s="38">
        <v>3600000</v>
      </c>
      <c r="BB18" s="38">
        <v>4730520</v>
      </c>
      <c r="BC18" s="38">
        <v>5100000</v>
      </c>
      <c r="BD18" s="38">
        <v>2300000</v>
      </c>
      <c r="BE18" s="39">
        <v>159621374</v>
      </c>
      <c r="BF18" s="39">
        <v>1000000</v>
      </c>
      <c r="BG18" s="39">
        <v>3800000</v>
      </c>
      <c r="BH18" s="39">
        <v>2500000</v>
      </c>
      <c r="BI18" s="39">
        <v>1000000</v>
      </c>
      <c r="BJ18" s="39">
        <v>6500000</v>
      </c>
      <c r="BK18" s="39">
        <v>1500000</v>
      </c>
      <c r="BL18" s="39">
        <v>128951632</v>
      </c>
      <c r="BM18" s="39">
        <v>13282176</v>
      </c>
      <c r="BN18" s="39">
        <v>4000000</v>
      </c>
      <c r="BO18" s="39">
        <v>500000</v>
      </c>
      <c r="BP18" s="39">
        <v>2295000</v>
      </c>
      <c r="BQ18" s="39">
        <v>6009612</v>
      </c>
      <c r="BR18" s="39">
        <v>136900483</v>
      </c>
      <c r="BS18" s="39">
        <v>48552980</v>
      </c>
      <c r="BT18" s="39">
        <v>4660403</v>
      </c>
      <c r="BU18" s="39">
        <v>472222397</v>
      </c>
      <c r="BV18" s="39">
        <f>SUM('Dai loc:DLam'!BV18)</f>
        <v>0</v>
      </c>
      <c r="BW18" s="39">
        <f>SUM('Dai loc:DLam'!BW18)</f>
        <v>0</v>
      </c>
      <c r="BX18" s="39">
        <f>SUM('Dai loc:DLam'!BX18)</f>
        <v>0</v>
      </c>
      <c r="BY18" s="39">
        <f>SUM('Dai loc:DLam'!BY18)</f>
        <v>0</v>
      </c>
      <c r="BZ18" s="39">
        <f>SUM('Dai loc:DLam'!BZ18)</f>
        <v>0</v>
      </c>
      <c r="CA18" s="39">
        <f>SUM('Dai loc:DLam'!CA18)</f>
        <v>0</v>
      </c>
      <c r="CB18" s="39">
        <f>SUM('Dai loc:DLam'!CB18)</f>
        <v>0</v>
      </c>
      <c r="CC18" s="39">
        <f>SUM('Dai loc:DLam'!CC18)</f>
        <v>0</v>
      </c>
    </row>
    <row r="19" spans="1:81">
      <c r="A19" s="34">
        <v>16</v>
      </c>
      <c r="B19" s="10" t="s">
        <v>98</v>
      </c>
      <c r="C19" s="35">
        <v>6</v>
      </c>
      <c r="D19" s="35">
        <f>SUM(Data_PL8[[#This Row],[T1.2021]:[T12.2021]])</f>
        <v>-1530000</v>
      </c>
      <c r="E19" s="35">
        <f>SUM(Data_PL8[[#This Row],[T1.2022]:[T12.2022]])</f>
        <v>-3420076062</v>
      </c>
      <c r="F19" s="35">
        <f>SUM(Data_PL8[[#This Row],[T1.2023]:[T12.2023]])</f>
        <v>-57403042</v>
      </c>
      <c r="G19" s="35">
        <f>SUM(Data_PL8[[#This Row],[T01.2024]:[T12.2024]])</f>
        <v>-193813087</v>
      </c>
      <c r="H19" s="35">
        <f>SUM(Data_PL8[[#This Row],[T01.2025]:[T12.2025]])</f>
        <v>51980140</v>
      </c>
      <c r="I19" s="35">
        <f>SUM(Data_PL8[[#This Row],[T01.2026]:[T12.2026]])</f>
        <v>-512470890</v>
      </c>
      <c r="J19" s="11">
        <f>SUM('Dai loc:DLam'!J19)</f>
        <v>0</v>
      </c>
      <c r="K19" s="11">
        <f>SUM('Dai loc:DLam'!K19)</f>
        <v>-2500000</v>
      </c>
      <c r="L19" s="11">
        <f>SUM('Dai loc:DLam'!L19)</f>
        <v>10000</v>
      </c>
      <c r="M19" s="11">
        <f>SUM('Dai loc:DLam'!M19)</f>
        <v>0</v>
      </c>
      <c r="N19" s="11">
        <f>SUM('Dai loc:DLam'!N19)</f>
        <v>960000</v>
      </c>
      <c r="O19" s="11">
        <f>SUM('Dai loc:DLam'!O19)</f>
        <v>0</v>
      </c>
      <c r="P19" s="11">
        <f>SUM('Dai loc:DLam'!P19)</f>
        <v>0</v>
      </c>
      <c r="Q19" s="11">
        <f>SUM('Dai loc:DLam'!Q19)</f>
        <v>0</v>
      </c>
      <c r="R19" s="11">
        <f>SUM('Dai loc:DLam'!R19)</f>
        <v>0</v>
      </c>
      <c r="S19" s="11">
        <f>SUM('Dai loc:DLam'!S19)</f>
        <v>0</v>
      </c>
      <c r="T19" s="11">
        <f>SUM('Dai loc:DLam'!T19)</f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190000</v>
      </c>
      <c r="AB19" s="11">
        <v>0</v>
      </c>
      <c r="AC19" s="11">
        <v>-296296</v>
      </c>
      <c r="AD19" s="11">
        <v>0</v>
      </c>
      <c r="AE19" s="11">
        <v>-16391</v>
      </c>
      <c r="AF19" s="11">
        <v>0</v>
      </c>
      <c r="AG19" s="11">
        <v>-3419953375</v>
      </c>
      <c r="AH19" s="11">
        <v>0</v>
      </c>
      <c r="AI19" s="11">
        <v>0</v>
      </c>
      <c r="AJ19" s="11">
        <v>-8284629</v>
      </c>
      <c r="AK19" s="11">
        <v>48269</v>
      </c>
      <c r="AL19" s="11">
        <v>58599311</v>
      </c>
      <c r="AM19" s="11">
        <v>-31790302</v>
      </c>
      <c r="AN19" s="11">
        <v>-27509143</v>
      </c>
      <c r="AO19" s="11">
        <v>9451135</v>
      </c>
      <c r="AP19" s="11">
        <v>-8601062</v>
      </c>
      <c r="AQ19" s="11">
        <v>-12875003</v>
      </c>
      <c r="AR19" s="11">
        <v>-11895000</v>
      </c>
      <c r="AS19" s="11">
        <v>-24546618</v>
      </c>
      <c r="AT19" s="11">
        <v>-25035000</v>
      </c>
      <c r="AU19" s="11">
        <v>-4500869</v>
      </c>
      <c r="AV19" s="11">
        <v>-15342970</v>
      </c>
      <c r="AW19" s="11">
        <v>-1400000</v>
      </c>
      <c r="AX19" s="11">
        <v>583594</v>
      </c>
      <c r="AY19" s="11">
        <v>2638761</v>
      </c>
      <c r="AZ19" s="11">
        <v>-1603193</v>
      </c>
      <c r="BA19" s="11">
        <v>2915785</v>
      </c>
      <c r="BB19" s="11">
        <v>1137535</v>
      </c>
      <c r="BC19" s="11">
        <v>-2150926</v>
      </c>
      <c r="BD19" s="11">
        <v>2544907</v>
      </c>
      <c r="BE19" s="48">
        <v>-153600711</v>
      </c>
      <c r="BF19" s="48">
        <v>5872690</v>
      </c>
      <c r="BG19" s="48">
        <v>-3800000</v>
      </c>
      <c r="BH19" s="48">
        <v>3397640</v>
      </c>
      <c r="BI19" s="48">
        <v>13981280</v>
      </c>
      <c r="BJ19" s="48">
        <v>15477736</v>
      </c>
      <c r="BK19" s="48">
        <v>18540080</v>
      </c>
      <c r="BL19" s="48">
        <v>-93607732</v>
      </c>
      <c r="BM19" s="48">
        <v>15000048</v>
      </c>
      <c r="BN19" s="48">
        <v>10984820</v>
      </c>
      <c r="BO19" s="48">
        <v>24070392</v>
      </c>
      <c r="BP19" s="48">
        <v>6071410</v>
      </c>
      <c r="BQ19" s="48">
        <v>35991776</v>
      </c>
      <c r="BR19" s="48">
        <v>-128152205</v>
      </c>
      <c r="BS19" s="48">
        <v>-37583728</v>
      </c>
      <c r="BT19" s="48">
        <v>9104140</v>
      </c>
      <c r="BU19" s="48">
        <v>-355839097</v>
      </c>
      <c r="BV19" s="48">
        <f>SUM('Dai loc:DLam'!BV19)</f>
        <v>0</v>
      </c>
      <c r="BW19" s="48">
        <f>SUM('Dai loc:DLam'!BW19)</f>
        <v>0</v>
      </c>
      <c r="BX19" s="48">
        <f>SUM('Dai loc:DLam'!BX19)</f>
        <v>0</v>
      </c>
      <c r="BY19" s="48">
        <f>SUM('Dai loc:DLam'!BY19)</f>
        <v>0</v>
      </c>
      <c r="BZ19" s="48">
        <f>SUM('Dai loc:DLam'!BZ19)</f>
        <v>0</v>
      </c>
      <c r="CA19" s="48">
        <f>SUM('Dai loc:DLam'!CA19)</f>
        <v>0</v>
      </c>
      <c r="CB19" s="48">
        <f>SUM('Dai loc:DLam'!CB19)</f>
        <v>0</v>
      </c>
      <c r="CC19" s="48">
        <f>SUM('Dai loc:DLam'!CC19)</f>
        <v>0</v>
      </c>
    </row>
    <row r="20" spans="1:81">
      <c r="A20" s="40">
        <v>17</v>
      </c>
      <c r="B20" s="10" t="s">
        <v>99</v>
      </c>
      <c r="C20" s="41">
        <v>6</v>
      </c>
      <c r="D20" s="41">
        <f>SUM(Data_PL8[[#This Row],[T1.2021]:[T12.2021]])</f>
        <v>-3849380124</v>
      </c>
      <c r="E20" s="41">
        <f>SUM(Data_PL8[[#This Row],[T1.2022]:[T12.2022]])</f>
        <v>-10030392001</v>
      </c>
      <c r="F20" s="41">
        <f>SUM(Data_PL8[[#This Row],[T1.2023]:[T12.2023]])</f>
        <v>-22631938371</v>
      </c>
      <c r="G20" s="41">
        <f>SUM(Data_PL8[[#This Row],[T01.2024]:[T12.2024]])</f>
        <v>-12555921130</v>
      </c>
      <c r="H20" s="41">
        <f>SUM(Data_PL8[[#This Row],[T01.2025]:[T12.2025]])</f>
        <v>-6653688966</v>
      </c>
      <c r="I20" s="41">
        <f>SUM(Data_PL8[[#This Row],[T01.2026]:[T12.2026]])</f>
        <v>-1644693059</v>
      </c>
      <c r="J20" s="16">
        <f>SUM('Dai loc:DLam'!J20)</f>
        <v>-631216701</v>
      </c>
      <c r="K20" s="16">
        <f>SUM('Dai loc:DLam'!K20)</f>
        <v>-419291178</v>
      </c>
      <c r="L20" s="16">
        <f>SUM('Dai loc:DLam'!L20)</f>
        <v>-454749795</v>
      </c>
      <c r="M20" s="16">
        <f>SUM('Dai loc:DLam'!M20)</f>
        <v>-387014507</v>
      </c>
      <c r="N20" s="16">
        <f>SUM('Dai loc:DLam'!N20)</f>
        <v>-328981725</v>
      </c>
      <c r="O20" s="16">
        <f>SUM('Dai loc:DLam'!O20)</f>
        <v>-310016105</v>
      </c>
      <c r="P20" s="16">
        <f>SUM('Dai loc:DLam'!P20)</f>
        <v>-241170636</v>
      </c>
      <c r="Q20" s="16">
        <f>SUM('Dai loc:DLam'!Q20)</f>
        <v>-193037525</v>
      </c>
      <c r="R20" s="16">
        <f>SUM('Dai loc:DLam'!R20)</f>
        <v>-267771911</v>
      </c>
      <c r="S20" s="16">
        <f>SUM('Dai loc:DLam'!S20)</f>
        <v>-266055816</v>
      </c>
      <c r="T20" s="16">
        <f>SUM('Dai loc:DLam'!T20)</f>
        <v>-344858840</v>
      </c>
      <c r="U20" s="16">
        <v>-5215385</v>
      </c>
      <c r="V20" s="16">
        <v>-54190586</v>
      </c>
      <c r="W20" s="16">
        <v>-80964549</v>
      </c>
      <c r="X20" s="16">
        <v>-120696934</v>
      </c>
      <c r="Y20" s="16">
        <v>-311288386</v>
      </c>
      <c r="Z20" s="16">
        <v>-396537482</v>
      </c>
      <c r="AA20" s="16">
        <v>-1637748290</v>
      </c>
      <c r="AB20" s="16">
        <v>-763929325</v>
      </c>
      <c r="AC20" s="16">
        <v>616936750</v>
      </c>
      <c r="AD20" s="16">
        <v>-200819028</v>
      </c>
      <c r="AE20" s="16">
        <v>-370421331</v>
      </c>
      <c r="AF20" s="16">
        <v>-2723615820</v>
      </c>
      <c r="AG20" s="16">
        <v>-3987117020</v>
      </c>
      <c r="AH20" s="16">
        <v>-1573147901</v>
      </c>
      <c r="AI20" s="16">
        <v>-1993641840</v>
      </c>
      <c r="AJ20" s="16">
        <v>-3237798497</v>
      </c>
      <c r="AK20" s="16">
        <v>-2993991777</v>
      </c>
      <c r="AL20" s="16">
        <v>-2290568807</v>
      </c>
      <c r="AM20" s="16">
        <v>-2226816034</v>
      </c>
      <c r="AN20" s="16">
        <v>-2128320328</v>
      </c>
      <c r="AO20" s="16">
        <v>-1661553514</v>
      </c>
      <c r="AP20" s="16">
        <v>-936838449</v>
      </c>
      <c r="AQ20" s="16">
        <v>-744292718</v>
      </c>
      <c r="AR20" s="16">
        <v>-2741796490</v>
      </c>
      <c r="AS20" s="16">
        <v>-103172016</v>
      </c>
      <c r="AT20" s="16">
        <v>-2449116513</v>
      </c>
      <c r="AU20" s="16">
        <v>-1201465852</v>
      </c>
      <c r="AV20" s="16">
        <v>-79981688</v>
      </c>
      <c r="AW20" s="16">
        <v>-570055628</v>
      </c>
      <c r="AX20" s="16">
        <v>-1216614710</v>
      </c>
      <c r="AY20" s="16">
        <v>-1620055205</v>
      </c>
      <c r="AZ20" s="16">
        <v>-956690038</v>
      </c>
      <c r="BA20" s="16">
        <v>-933950607</v>
      </c>
      <c r="BB20" s="16">
        <v>-676218518</v>
      </c>
      <c r="BC20" s="16">
        <v>-428240201</v>
      </c>
      <c r="BD20" s="16">
        <v>-1170367442</v>
      </c>
      <c r="BE20" s="42">
        <v>-1253164728</v>
      </c>
      <c r="BF20" s="42">
        <v>-1512604872</v>
      </c>
      <c r="BG20" s="42">
        <v>-1408925428</v>
      </c>
      <c r="BH20" s="42">
        <v>-567299860</v>
      </c>
      <c r="BI20" s="42">
        <v>-881102876</v>
      </c>
      <c r="BJ20" s="42">
        <v>194418036</v>
      </c>
      <c r="BK20" s="42">
        <v>-1024551814</v>
      </c>
      <c r="BL20" s="42">
        <v>513342441</v>
      </c>
      <c r="BM20" s="42">
        <v>346075161</v>
      </c>
      <c r="BN20" s="42">
        <v>-680152853</v>
      </c>
      <c r="BO20" s="42">
        <v>-216894789</v>
      </c>
      <c r="BP20" s="42">
        <v>-959475147</v>
      </c>
      <c r="BQ20" s="42">
        <v>-456516965</v>
      </c>
      <c r="BR20" s="42">
        <v>-545598431</v>
      </c>
      <c r="BS20" s="42">
        <v>-937890122</v>
      </c>
      <c r="BT20" s="42">
        <v>254999480</v>
      </c>
      <c r="BU20" s="42">
        <v>-416203986</v>
      </c>
      <c r="BV20" s="42">
        <f>SUM('Dai loc:DLam'!BV20)</f>
        <v>0</v>
      </c>
      <c r="BW20" s="42">
        <f>SUM('Dai loc:DLam'!BW20)</f>
        <v>0</v>
      </c>
      <c r="BX20" s="42">
        <f>SUM('Dai loc:DLam'!BX20)</f>
        <v>0</v>
      </c>
      <c r="BY20" s="42">
        <f>SUM('Dai loc:DLam'!BY20)</f>
        <v>0</v>
      </c>
      <c r="BZ20" s="42">
        <f>SUM('Dai loc:DLam'!BZ20)</f>
        <v>0</v>
      </c>
      <c r="CA20" s="42">
        <f>SUM('Dai loc:DLam'!CA20)</f>
        <v>0</v>
      </c>
      <c r="CB20" s="42">
        <f>SUM('Dai loc:DLam'!CB20)</f>
        <v>0</v>
      </c>
      <c r="CC20" s="42">
        <f>SUM('Dai loc:DLam'!CC20)</f>
        <v>0</v>
      </c>
    </row>
    <row r="21" spans="1:81">
      <c r="A21" s="49">
        <v>18</v>
      </c>
      <c r="B21" s="22" t="s">
        <v>100</v>
      </c>
      <c r="C21" s="37">
        <v>6</v>
      </c>
      <c r="D21" s="37">
        <f>SUM(Data_PL8[[#This Row],[T1.2021]:[T12.2021]])</f>
        <v>0</v>
      </c>
      <c r="E21" s="37">
        <f>SUM(Data_PL8[[#This Row],[T1.2022]:[T12.2022]])</f>
        <v>0</v>
      </c>
      <c r="F21" s="37">
        <f>SUM(Data_PL8[[#This Row],[T1.2023]:[T12.2023]])</f>
        <v>0</v>
      </c>
      <c r="G21" s="37">
        <f>SUM(Data_PL8[[#This Row],[T01.2024]:[T12.2024]])</f>
        <v>0</v>
      </c>
      <c r="H21" s="37">
        <f>SUM(Data_PL8[[#This Row],[T01.2025]:[T12.2025]])</f>
        <v>0</v>
      </c>
      <c r="I21" s="37">
        <f>SUM(Data_PL8[[#This Row],[T01.2026]:[T12.2026]])</f>
        <v>0</v>
      </c>
      <c r="J21" s="50">
        <f>SUM('Dai loc:DLam'!J21)</f>
        <v>0</v>
      </c>
      <c r="K21" s="50">
        <f>SUM('Dai loc:DLam'!K21)</f>
        <v>0</v>
      </c>
      <c r="L21" s="50">
        <f>SUM('Dai loc:DLam'!L21)</f>
        <v>0</v>
      </c>
      <c r="M21" s="50">
        <f>SUM('Dai loc:DLam'!M21)</f>
        <v>0</v>
      </c>
      <c r="N21" s="50">
        <f>SUM('Dai loc:DLam'!N21)</f>
        <v>0</v>
      </c>
      <c r="O21" s="50">
        <f>SUM('Dai loc:DLam'!O21)</f>
        <v>0</v>
      </c>
      <c r="P21" s="50">
        <f>SUM('Dai loc:DLam'!P21)</f>
        <v>0</v>
      </c>
      <c r="Q21" s="50">
        <f>SUM('Dai loc:DLam'!Q21)</f>
        <v>0</v>
      </c>
      <c r="R21" s="50">
        <f>SUM('Dai loc:DLam'!R21)</f>
        <v>0</v>
      </c>
      <c r="S21" s="50">
        <f>SUM('Dai loc:DLam'!S21)</f>
        <v>0</v>
      </c>
      <c r="T21" s="50">
        <f>SUM('Dai loc:DLam'!T21)</f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14">
        <v>0</v>
      </c>
      <c r="AU21" s="50">
        <v>0</v>
      </c>
      <c r="AV21" s="50">
        <v>0</v>
      </c>
      <c r="AW21" s="50">
        <v>0</v>
      </c>
      <c r="AX21" s="50">
        <v>0</v>
      </c>
      <c r="AY21" s="50">
        <v>0</v>
      </c>
      <c r="AZ21" s="50">
        <v>0</v>
      </c>
      <c r="BA21" s="50">
        <v>0</v>
      </c>
      <c r="BB21" s="50">
        <v>0</v>
      </c>
      <c r="BC21" s="50">
        <v>0</v>
      </c>
      <c r="BD21" s="50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/>
      <c r="BR21" s="51"/>
      <c r="BS21" s="51">
        <v>0</v>
      </c>
      <c r="BT21" s="51"/>
      <c r="BU21" s="51"/>
      <c r="BV21" s="51">
        <f>SUM('Dai loc:DLam'!BV21)</f>
        <v>0</v>
      </c>
      <c r="BW21" s="51">
        <f>SUM('Dai loc:DLam'!BW21)</f>
        <v>0</v>
      </c>
      <c r="BX21" s="51">
        <f>SUM('Dai loc:DLam'!BX21)</f>
        <v>0</v>
      </c>
      <c r="BY21" s="51">
        <f>SUM('Dai loc:DLam'!BY21)</f>
        <v>0</v>
      </c>
      <c r="BZ21" s="51">
        <f>SUM('Dai loc:DLam'!BZ21)</f>
        <v>0</v>
      </c>
      <c r="CA21" s="51">
        <f>SUM('Dai loc:DLam'!CA21)</f>
        <v>0</v>
      </c>
      <c r="CB21" s="51">
        <f>SUM('Dai loc:DLam'!CB21)</f>
        <v>0</v>
      </c>
      <c r="CC21" s="51">
        <f>SUM('Dai loc:DLam'!CC21)</f>
        <v>0</v>
      </c>
    </row>
    <row r="22" spans="1:81">
      <c r="A22" s="52">
        <v>19</v>
      </c>
      <c r="B22" s="13" t="s">
        <v>101</v>
      </c>
      <c r="C22" s="37">
        <v>6</v>
      </c>
      <c r="D22" s="37">
        <f>SUM(Data_PL8[[#This Row],[T1.2021]:[T12.2021]])</f>
        <v>0</v>
      </c>
      <c r="E22" s="37">
        <f>SUM(Data_PL8[[#This Row],[T1.2022]:[T12.2022]])</f>
        <v>0</v>
      </c>
      <c r="F22" s="37">
        <f>SUM(Data_PL8[[#This Row],[T1.2023]:[T12.2023]])</f>
        <v>0</v>
      </c>
      <c r="G22" s="37">
        <f>SUM(Data_PL8[[#This Row],[T01.2024]:[T12.2024]])</f>
        <v>0</v>
      </c>
      <c r="H22" s="37">
        <f>SUM(Data_PL8[[#This Row],[T01.2025]:[T12.2025]])</f>
        <v>0</v>
      </c>
      <c r="I22" s="37">
        <f>SUM(Data_PL8[[#This Row],[T01.2026]:[T12.2026]])</f>
        <v>0</v>
      </c>
      <c r="J22" s="38">
        <f>SUM('Dai loc:DLam'!J22)</f>
        <v>0</v>
      </c>
      <c r="K22" s="38">
        <f>SUM('Dai loc:DLam'!K22)</f>
        <v>0</v>
      </c>
      <c r="L22" s="38">
        <f>SUM('Dai loc:DLam'!L22)</f>
        <v>0</v>
      </c>
      <c r="M22" s="38">
        <f>SUM('Dai loc:DLam'!M22)</f>
        <v>0</v>
      </c>
      <c r="N22" s="38">
        <f>SUM('Dai loc:DLam'!N22)</f>
        <v>0</v>
      </c>
      <c r="O22" s="38">
        <f>SUM('Dai loc:DLam'!O22)</f>
        <v>0</v>
      </c>
      <c r="P22" s="38">
        <f>SUM('Dai loc:DLam'!P22)</f>
        <v>0</v>
      </c>
      <c r="Q22" s="38">
        <f>SUM('Dai loc:DLam'!Q22)</f>
        <v>0</v>
      </c>
      <c r="R22" s="38">
        <f>SUM('Dai loc:DLam'!R22)</f>
        <v>0</v>
      </c>
      <c r="S22" s="38">
        <f>SUM('Dai loc:DLam'!S22)</f>
        <v>0</v>
      </c>
      <c r="T22" s="38">
        <f>SUM('Dai loc:DLam'!T22)</f>
        <v>0</v>
      </c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38">
        <v>0</v>
      </c>
      <c r="AD22" s="38">
        <v>0</v>
      </c>
      <c r="AE22" s="38">
        <v>0</v>
      </c>
      <c r="AF22" s="38">
        <v>0</v>
      </c>
      <c r="AG22" s="38">
        <v>0</v>
      </c>
      <c r="AH22" s="38">
        <v>0</v>
      </c>
      <c r="AI22" s="38">
        <v>0</v>
      </c>
      <c r="AJ22" s="38">
        <v>0</v>
      </c>
      <c r="AK22" s="38">
        <v>0</v>
      </c>
      <c r="AL22" s="38">
        <v>0</v>
      </c>
      <c r="AM22" s="38">
        <v>0</v>
      </c>
      <c r="AN22" s="38">
        <v>0</v>
      </c>
      <c r="AO22" s="38">
        <v>0</v>
      </c>
      <c r="AP22" s="38">
        <v>0</v>
      </c>
      <c r="AQ22" s="38">
        <v>0</v>
      </c>
      <c r="AR22" s="38">
        <v>0</v>
      </c>
      <c r="AS22" s="38">
        <v>0</v>
      </c>
      <c r="AT22" s="14">
        <v>0</v>
      </c>
      <c r="AU22" s="38">
        <v>0</v>
      </c>
      <c r="AV22" s="38">
        <v>0</v>
      </c>
      <c r="AW22" s="38">
        <v>0</v>
      </c>
      <c r="AX22" s="38">
        <v>0</v>
      </c>
      <c r="AY22" s="38">
        <v>0</v>
      </c>
      <c r="AZ22" s="38">
        <v>0</v>
      </c>
      <c r="BA22" s="38">
        <v>0</v>
      </c>
      <c r="BB22" s="38">
        <v>0</v>
      </c>
      <c r="BC22" s="38">
        <v>0</v>
      </c>
      <c r="BD22" s="38">
        <v>0</v>
      </c>
      <c r="BE22" s="39">
        <v>0</v>
      </c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>
        <v>0</v>
      </c>
      <c r="BT22" s="39"/>
      <c r="BU22" s="39"/>
      <c r="BV22" s="39">
        <f>SUM('Dai loc:DLam'!BV22)</f>
        <v>0</v>
      </c>
      <c r="BW22" s="39">
        <f>SUM('Dai loc:DLam'!BW22)</f>
        <v>0</v>
      </c>
      <c r="BX22" s="39">
        <f>SUM('Dai loc:DLam'!BX22)</f>
        <v>0</v>
      </c>
      <c r="BY22" s="39">
        <f>SUM('Dai loc:DLam'!BY22)</f>
        <v>0</v>
      </c>
      <c r="BZ22" s="39">
        <f>SUM('Dai loc:DLam'!BZ22)</f>
        <v>0</v>
      </c>
      <c r="CA22" s="39">
        <f>SUM('Dai loc:DLam'!CA22)</f>
        <v>0</v>
      </c>
      <c r="CB22" s="39">
        <f>SUM('Dai loc:DLam'!CB22)</f>
        <v>0</v>
      </c>
      <c r="CC22" s="39">
        <f>SUM('Dai loc:DLam'!CC22)</f>
        <v>0</v>
      </c>
    </row>
    <row r="23" spans="1:81">
      <c r="A23" s="46">
        <v>20</v>
      </c>
      <c r="B23" s="10" t="s">
        <v>102</v>
      </c>
      <c r="C23" s="47">
        <v>6</v>
      </c>
      <c r="D23" s="47">
        <f>SUM(Data_PL8[[#This Row],[T1.2021]:[T12.2021]])</f>
        <v>-3849380124</v>
      </c>
      <c r="E23" s="47">
        <f>SUM(Data_PL8[[#This Row],[T1.2022]:[T12.2022]])</f>
        <v>-10030392001</v>
      </c>
      <c r="F23" s="47">
        <f>SUM(Data_PL8[[#This Row],[T1.2023]:[T12.2023]])</f>
        <v>-22631938371</v>
      </c>
      <c r="G23" s="47">
        <f>SUM(Data_PL8[[#This Row],[T01.2024]:[T12.2024]])</f>
        <v>-12555921130</v>
      </c>
      <c r="H23" s="47">
        <f>SUM(Data_PL8[[#This Row],[T01.2025]:[T12.2025]])</f>
        <v>-6653688966</v>
      </c>
      <c r="I23" s="47">
        <f>SUM(Data_PL8[[#This Row],[T01.2026]:[T12.2026]])</f>
        <v>-1644693059</v>
      </c>
      <c r="J23" s="20">
        <f>SUM('Dai loc:DLam'!J23)</f>
        <v>-631216701</v>
      </c>
      <c r="K23" s="20">
        <f>SUM('Dai loc:DLam'!K23)</f>
        <v>-419291178</v>
      </c>
      <c r="L23" s="20">
        <f>SUM('Dai loc:DLam'!L23)</f>
        <v>-454749795</v>
      </c>
      <c r="M23" s="20">
        <f>SUM('Dai loc:DLam'!M23)</f>
        <v>-387014507</v>
      </c>
      <c r="N23" s="20">
        <f>SUM('Dai loc:DLam'!N23)</f>
        <v>-328981725</v>
      </c>
      <c r="O23" s="20">
        <f>SUM('Dai loc:DLam'!O23)</f>
        <v>-310016105</v>
      </c>
      <c r="P23" s="20">
        <f>SUM('Dai loc:DLam'!P23)</f>
        <v>-241170636</v>
      </c>
      <c r="Q23" s="20">
        <f>SUM('Dai loc:DLam'!Q23)</f>
        <v>-193037525</v>
      </c>
      <c r="R23" s="20">
        <f>SUM('Dai loc:DLam'!R23)</f>
        <v>-267771911</v>
      </c>
      <c r="S23" s="20">
        <f>SUM('Dai loc:DLam'!S23)</f>
        <v>-266055816</v>
      </c>
      <c r="T23" s="20">
        <f>SUM('Dai loc:DLam'!T23)</f>
        <v>-344858840</v>
      </c>
      <c r="U23" s="20">
        <v>-5215385</v>
      </c>
      <c r="V23" s="20">
        <v>-54190586</v>
      </c>
      <c r="W23" s="20">
        <v>-80964549</v>
      </c>
      <c r="X23" s="20">
        <v>-120696934</v>
      </c>
      <c r="Y23" s="20">
        <v>-311288386</v>
      </c>
      <c r="Z23" s="20">
        <v>-396537482</v>
      </c>
      <c r="AA23" s="20">
        <v>-1637748290</v>
      </c>
      <c r="AB23" s="20">
        <v>-763929325</v>
      </c>
      <c r="AC23" s="20">
        <v>616936750</v>
      </c>
      <c r="AD23" s="20">
        <v>-200819028</v>
      </c>
      <c r="AE23" s="20">
        <v>-370421331</v>
      </c>
      <c r="AF23" s="20">
        <v>-2723615820</v>
      </c>
      <c r="AG23" s="20">
        <v>-3987117020</v>
      </c>
      <c r="AH23" s="20">
        <v>-1573147901</v>
      </c>
      <c r="AI23" s="20">
        <v>-1993641840</v>
      </c>
      <c r="AJ23" s="20">
        <v>-3237798497</v>
      </c>
      <c r="AK23" s="20">
        <v>-2993991777</v>
      </c>
      <c r="AL23" s="20">
        <v>-2290568807</v>
      </c>
      <c r="AM23" s="20">
        <v>-2226816034</v>
      </c>
      <c r="AN23" s="20">
        <v>-2128320328</v>
      </c>
      <c r="AO23" s="20">
        <v>-1661553514</v>
      </c>
      <c r="AP23" s="20">
        <v>-936838449</v>
      </c>
      <c r="AQ23" s="20">
        <v>-744292718</v>
      </c>
      <c r="AR23" s="20">
        <v>-2741796490</v>
      </c>
      <c r="AS23" s="20">
        <v>-103172016</v>
      </c>
      <c r="AT23" s="20">
        <v>-2449116513</v>
      </c>
      <c r="AU23" s="20">
        <v>-1201465852</v>
      </c>
      <c r="AV23" s="20">
        <v>-79981688</v>
      </c>
      <c r="AW23" s="20">
        <v>-570055628</v>
      </c>
      <c r="AX23" s="20">
        <v>-1216614710</v>
      </c>
      <c r="AY23" s="20">
        <v>-1620055205</v>
      </c>
      <c r="AZ23" s="20">
        <v>-956690038</v>
      </c>
      <c r="BA23" s="20">
        <v>-933950607</v>
      </c>
      <c r="BB23" s="20">
        <v>-676218518</v>
      </c>
      <c r="BC23" s="20">
        <v>-428240201</v>
      </c>
      <c r="BD23" s="20">
        <v>-1170367442</v>
      </c>
      <c r="BE23" s="20">
        <v>-1253164728</v>
      </c>
      <c r="BF23" s="20">
        <v>-1512604872</v>
      </c>
      <c r="BG23" s="20">
        <v>-1408925428</v>
      </c>
      <c r="BH23" s="20">
        <v>-567299860</v>
      </c>
      <c r="BI23" s="20">
        <v>-881102876</v>
      </c>
      <c r="BJ23" s="20">
        <v>194418036</v>
      </c>
      <c r="BK23" s="20">
        <v>-1024551814</v>
      </c>
      <c r="BL23" s="20">
        <v>513342441</v>
      </c>
      <c r="BM23" s="20">
        <v>346075161</v>
      </c>
      <c r="BN23" s="20">
        <v>-680152853</v>
      </c>
      <c r="BO23" s="20">
        <v>-216894789</v>
      </c>
      <c r="BP23" s="20">
        <v>-959475147</v>
      </c>
      <c r="BQ23" s="20">
        <v>-456516965</v>
      </c>
      <c r="BR23" s="20">
        <v>-545598431</v>
      </c>
      <c r="BS23" s="20">
        <v>-937890122</v>
      </c>
      <c r="BT23" s="20">
        <v>254999480</v>
      </c>
      <c r="BU23" s="20">
        <v>-416203986</v>
      </c>
      <c r="BV23" s="20">
        <f>SUM('Dai loc:DLam'!BV23)</f>
        <v>0</v>
      </c>
      <c r="BW23" s="20">
        <f>SUM('Dai loc:DLam'!BW23)</f>
        <v>0</v>
      </c>
      <c r="BX23" s="20">
        <f>SUM('Dai loc:DLam'!BX23)</f>
        <v>0</v>
      </c>
      <c r="BY23" s="20">
        <f>SUM('Dai loc:DLam'!BY23)</f>
        <v>0</v>
      </c>
      <c r="BZ23" s="20">
        <f>SUM('Dai loc:DLam'!BZ23)</f>
        <v>0</v>
      </c>
      <c r="CA23" s="20">
        <f>SUM('Dai loc:DLam'!CA23)</f>
        <v>0</v>
      </c>
      <c r="CB23" s="20">
        <f>SUM('Dai loc:DLam'!CB23)</f>
        <v>0</v>
      </c>
      <c r="CC23" s="20">
        <f>SUM('Dai loc:DLam'!CC23)</f>
        <v>0</v>
      </c>
    </row>
    <row r="24" spans="1:81">
      <c r="A24" s="82"/>
      <c r="B24" s="83" t="s">
        <v>109</v>
      </c>
      <c r="C24" s="73"/>
      <c r="D24" s="80">
        <f>D23/D7</f>
        <v>-0.7775510282141942</v>
      </c>
      <c r="E24" s="80">
        <f t="shared" ref="E24:I24" si="0">E23/E7</f>
        <v>-0.27982247570380059</v>
      </c>
      <c r="F24" s="80">
        <f t="shared" si="0"/>
        <v>-0.32905068080182553</v>
      </c>
      <c r="G24" s="80">
        <f t="shared" si="0"/>
        <v>-0.10069210286750839</v>
      </c>
      <c r="H24" s="80">
        <f t="shared" si="0"/>
        <v>-3.8255491003853288E-2</v>
      </c>
      <c r="I24" s="80">
        <f t="shared" si="0"/>
        <v>-3.3495210010382873E-2</v>
      </c>
      <c r="J24" s="84">
        <f>SUM('Dai loc:DLam'!J24)</f>
        <v>0</v>
      </c>
      <c r="K24" s="84">
        <f>SUM('Dai loc:DLam'!K24)</f>
        <v>0</v>
      </c>
      <c r="L24" s="84">
        <f>SUM('Dai loc:DLam'!L24)</f>
        <v>0</v>
      </c>
      <c r="M24" s="84">
        <f>SUM('Dai loc:DLam'!M24)</f>
        <v>0</v>
      </c>
      <c r="N24" s="84">
        <f>SUM('Dai loc:DLam'!N24)</f>
        <v>0</v>
      </c>
      <c r="O24" s="84">
        <f>SUM('Dai loc:DLam'!O24)</f>
        <v>0</v>
      </c>
      <c r="P24" s="84">
        <f>SUM('Dai loc:DLam'!P24)</f>
        <v>0</v>
      </c>
      <c r="Q24" s="84">
        <f>SUM('Dai loc:DLam'!Q24)</f>
        <v>0</v>
      </c>
      <c r="R24" s="84">
        <f>SUM('Dai loc:DLam'!R24)</f>
        <v>0</v>
      </c>
      <c r="S24" s="84">
        <f>SUM('Dai loc:DLam'!S24)</f>
        <v>0</v>
      </c>
      <c r="T24" s="84">
        <f>SUM('Dai loc:DLam'!T24)</f>
        <v>0</v>
      </c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4">
        <f>SUM('Dai loc:DLam'!BV24)</f>
        <v>0</v>
      </c>
      <c r="BW24" s="84">
        <f>SUM('Dai loc:DLam'!BW24)</f>
        <v>0</v>
      </c>
      <c r="BX24" s="84">
        <f>SUM('Dai loc:DLam'!BX24)</f>
        <v>0</v>
      </c>
      <c r="BY24" s="84">
        <f>SUM('Dai loc:DLam'!BY24)</f>
        <v>0</v>
      </c>
      <c r="BZ24" s="84">
        <f>SUM('Dai loc:DLam'!BZ24)</f>
        <v>0</v>
      </c>
      <c r="CA24" s="84">
        <f>SUM('Dai loc:DLam'!CA24)</f>
        <v>0</v>
      </c>
      <c r="CB24" s="84">
        <f>SUM('Dai loc:DLam'!CB24)</f>
        <v>0</v>
      </c>
      <c r="CC24" s="84">
        <f>SUM('Dai loc:DLam'!CC24)</f>
        <v>0</v>
      </c>
    </row>
  </sheetData>
  <protectedRanges>
    <protectedRange sqref="J4:CC23" name="PL"/>
  </protectedRanges>
  <phoneticPr fontId="20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D2B7-21AB-48D4-8473-EA62291C381D}">
  <dimension ref="A1:CC24"/>
  <sheetViews>
    <sheetView topLeftCell="B8" workbookViewId="0">
      <selection activeCell="B24" sqref="B24:D24"/>
    </sheetView>
  </sheetViews>
  <sheetFormatPr defaultRowHeight="14.5"/>
  <cols>
    <col min="1" max="1" width="8.81640625" style="24" hidden="1" customWidth="1"/>
    <col min="2" max="2" width="56" bestFit="1" customWidth="1"/>
    <col min="3" max="3" width="15.1796875" hidden="1" customWidth="1"/>
    <col min="4" max="4" width="14.54296875" bestFit="1" customWidth="1"/>
    <col min="5" max="6" width="15.6328125" bestFit="1" customWidth="1"/>
    <col min="7" max="7" width="16.08984375" bestFit="1" customWidth="1"/>
    <col min="8" max="8" width="17.36328125" bestFit="1" customWidth="1"/>
    <col min="9" max="9" width="15.6328125" bestFit="1" customWidth="1"/>
    <col min="10" max="81" width="17.54296875" customWidth="1"/>
  </cols>
  <sheetData>
    <row r="1" spans="1:81" ht="17.5">
      <c r="B1" s="1" t="s">
        <v>103</v>
      </c>
    </row>
    <row r="2" spans="1:81">
      <c r="B2" s="2" t="s">
        <v>1</v>
      </c>
    </row>
    <row r="3" spans="1:81" ht="28">
      <c r="A3" s="25" t="s">
        <v>2</v>
      </c>
      <c r="B3" s="26" t="s">
        <v>3</v>
      </c>
      <c r="C3" s="27" t="s">
        <v>4</v>
      </c>
      <c r="D3" s="70" t="s">
        <v>5</v>
      </c>
      <c r="E3" s="70" t="s">
        <v>6</v>
      </c>
      <c r="F3" s="70" t="s">
        <v>7</v>
      </c>
      <c r="G3" s="70" t="s">
        <v>8</v>
      </c>
      <c r="H3" s="70" t="s">
        <v>9</v>
      </c>
      <c r="I3" s="70" t="s">
        <v>10</v>
      </c>
      <c r="J3" s="28" t="s">
        <v>11</v>
      </c>
      <c r="K3" s="28" t="s">
        <v>12</v>
      </c>
      <c r="L3" s="28" t="s">
        <v>13</v>
      </c>
      <c r="M3" s="28" t="s">
        <v>14</v>
      </c>
      <c r="N3" s="28" t="s">
        <v>15</v>
      </c>
      <c r="O3" s="28" t="s">
        <v>16</v>
      </c>
      <c r="P3" s="28" t="s">
        <v>17</v>
      </c>
      <c r="Q3" s="28" t="s">
        <v>18</v>
      </c>
      <c r="R3" s="28" t="s">
        <v>19</v>
      </c>
      <c r="S3" s="28" t="s">
        <v>20</v>
      </c>
      <c r="T3" s="28" t="s">
        <v>21</v>
      </c>
      <c r="U3" s="28" t="s">
        <v>22</v>
      </c>
      <c r="V3" s="28" t="s">
        <v>23</v>
      </c>
      <c r="W3" s="28" t="s">
        <v>24</v>
      </c>
      <c r="X3" s="28" t="s">
        <v>25</v>
      </c>
      <c r="Y3" s="28" t="s">
        <v>26</v>
      </c>
      <c r="Z3" s="28" t="s">
        <v>27</v>
      </c>
      <c r="AA3" s="28" t="s">
        <v>28</v>
      </c>
      <c r="AB3" s="28" t="s">
        <v>29</v>
      </c>
      <c r="AC3" s="28" t="s">
        <v>30</v>
      </c>
      <c r="AD3" s="28" t="s">
        <v>31</v>
      </c>
      <c r="AE3" s="28" t="s">
        <v>32</v>
      </c>
      <c r="AF3" s="28" t="s">
        <v>33</v>
      </c>
      <c r="AG3" s="28" t="s">
        <v>34</v>
      </c>
      <c r="AH3" s="28" t="s">
        <v>35</v>
      </c>
      <c r="AI3" s="28" t="s">
        <v>36</v>
      </c>
      <c r="AJ3" s="28" t="s">
        <v>37</v>
      </c>
      <c r="AK3" s="28" t="s">
        <v>38</v>
      </c>
      <c r="AL3" s="28" t="s">
        <v>39</v>
      </c>
      <c r="AM3" s="28" t="s">
        <v>40</v>
      </c>
      <c r="AN3" s="28" t="s">
        <v>41</v>
      </c>
      <c r="AO3" s="28" t="s">
        <v>42</v>
      </c>
      <c r="AP3" s="28" t="s">
        <v>43</v>
      </c>
      <c r="AQ3" s="28" t="s">
        <v>44</v>
      </c>
      <c r="AR3" s="28" t="s">
        <v>45</v>
      </c>
      <c r="AS3" s="28" t="s">
        <v>46</v>
      </c>
      <c r="AT3" s="28" t="s">
        <v>47</v>
      </c>
      <c r="AU3" s="28" t="s">
        <v>48</v>
      </c>
      <c r="AV3" s="28" t="s">
        <v>49</v>
      </c>
      <c r="AW3" s="28" t="s">
        <v>50</v>
      </c>
      <c r="AX3" s="28" t="s">
        <v>51</v>
      </c>
      <c r="AY3" s="28" t="s">
        <v>52</v>
      </c>
      <c r="AZ3" s="28" t="s">
        <v>53</v>
      </c>
      <c r="BA3" s="28" t="s">
        <v>54</v>
      </c>
      <c r="BB3" s="28" t="s">
        <v>55</v>
      </c>
      <c r="BC3" s="28" t="s">
        <v>56</v>
      </c>
      <c r="BD3" s="28" t="s">
        <v>57</v>
      </c>
      <c r="BE3" s="28" t="s">
        <v>58</v>
      </c>
      <c r="BF3" s="28" t="s">
        <v>59</v>
      </c>
      <c r="BG3" s="28" t="s">
        <v>60</v>
      </c>
      <c r="BH3" s="28" t="s">
        <v>61</v>
      </c>
      <c r="BI3" s="28" t="s">
        <v>62</v>
      </c>
      <c r="BJ3" s="28" t="s">
        <v>63</v>
      </c>
      <c r="BK3" s="28" t="s">
        <v>64</v>
      </c>
      <c r="BL3" s="28" t="s">
        <v>65</v>
      </c>
      <c r="BM3" s="28" t="s">
        <v>66</v>
      </c>
      <c r="BN3" s="28" t="s">
        <v>67</v>
      </c>
      <c r="BO3" s="28" t="s">
        <v>68</v>
      </c>
      <c r="BP3" s="28" t="s">
        <v>69</v>
      </c>
      <c r="BQ3" s="28" t="s">
        <v>70</v>
      </c>
      <c r="BR3" s="28" t="s">
        <v>71</v>
      </c>
      <c r="BS3" s="28" t="s">
        <v>72</v>
      </c>
      <c r="BT3" s="28" t="s">
        <v>73</v>
      </c>
      <c r="BU3" s="28" t="s">
        <v>74</v>
      </c>
      <c r="BV3" s="28" t="s">
        <v>75</v>
      </c>
      <c r="BW3" s="28" t="s">
        <v>76</v>
      </c>
      <c r="BX3" s="28" t="s">
        <v>77</v>
      </c>
      <c r="BY3" s="28" t="s">
        <v>78</v>
      </c>
      <c r="BZ3" s="28" t="s">
        <v>79</v>
      </c>
      <c r="CA3" s="28" t="s">
        <v>80</v>
      </c>
      <c r="CB3" s="28" t="s">
        <v>81</v>
      </c>
      <c r="CC3" s="28" t="s">
        <v>82</v>
      </c>
    </row>
    <row r="4" spans="1:81">
      <c r="A4" s="29">
        <v>1</v>
      </c>
      <c r="B4" s="7" t="s">
        <v>104</v>
      </c>
      <c r="C4" s="30">
        <v>6</v>
      </c>
      <c r="D4" s="8">
        <f>SUM(Data_PL[[#This Row],[T1.2021]:[T12.2021]])</f>
        <v>0</v>
      </c>
      <c r="E4" s="8">
        <f>SUM(Data_PL[[#This Row],[T1.2022]:[T12.2022]])</f>
        <v>2444.1040000000003</v>
      </c>
      <c r="F4" s="8">
        <f>SUM(Data_PL[[#This Row],[T1.2023]:[T12.2023]])</f>
        <v>4773.3469999999998</v>
      </c>
      <c r="G4" s="8">
        <f>SUM(Data_PL[[#This Row],[T01.2024]:[T12.2024]])</f>
        <v>6788</v>
      </c>
      <c r="H4" s="8">
        <f>SUM(Data_PL[[#This Row],[T01.2025]:[T12.2025]])</f>
        <v>10024.546</v>
      </c>
      <c r="I4" s="8">
        <f>SUM(Data_PL[[#This Row],[T01.2026]:[T12.2026]])</f>
        <v>3212.4859999999999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54.835000000000001</v>
      </c>
      <c r="Z4" s="31">
        <v>109.376</v>
      </c>
      <c r="AA4" s="31">
        <v>98.263000000000005</v>
      </c>
      <c r="AB4" s="31">
        <v>105.184</v>
      </c>
      <c r="AC4" s="31">
        <v>213.47300000000001</v>
      </c>
      <c r="AD4" s="31">
        <v>201.09700000000001</v>
      </c>
      <c r="AE4" s="31">
        <v>390.959</v>
      </c>
      <c r="AF4" s="31">
        <v>542.95100000000002</v>
      </c>
      <c r="AG4" s="31">
        <v>727.96600000000001</v>
      </c>
      <c r="AH4" s="31">
        <v>208.2345</v>
      </c>
      <c r="AI4" s="31">
        <v>392.92200000000003</v>
      </c>
      <c r="AJ4" s="31">
        <v>716.88350000000003</v>
      </c>
      <c r="AK4" s="31">
        <v>473.315</v>
      </c>
      <c r="AL4" s="31">
        <v>316.38099999999997</v>
      </c>
      <c r="AM4" s="31">
        <v>414.83100000000002</v>
      </c>
      <c r="AN4" s="31">
        <v>288</v>
      </c>
      <c r="AO4" s="31">
        <v>282</v>
      </c>
      <c r="AP4" s="31">
        <v>269.83</v>
      </c>
      <c r="AQ4" s="31">
        <v>453.71600000000001</v>
      </c>
      <c r="AR4" s="31">
        <v>445.65550000000002</v>
      </c>
      <c r="AS4" s="31">
        <v>511.57850000000002</v>
      </c>
      <c r="AT4" s="8">
        <v>938</v>
      </c>
      <c r="AU4" s="31">
        <v>278</v>
      </c>
      <c r="AV4" s="31">
        <v>573</v>
      </c>
      <c r="AW4" s="31">
        <v>500</v>
      </c>
      <c r="AX4" s="31">
        <v>507</v>
      </c>
      <c r="AY4" s="31">
        <v>799</v>
      </c>
      <c r="AZ4" s="31">
        <v>509</v>
      </c>
      <c r="BA4" s="31">
        <v>498</v>
      </c>
      <c r="BB4" s="31">
        <v>551</v>
      </c>
      <c r="BC4" s="31">
        <v>716</v>
      </c>
      <c r="BD4" s="32">
        <v>538</v>
      </c>
      <c r="BE4" s="33">
        <v>381</v>
      </c>
      <c r="BF4" s="8">
        <v>335.18099999999998</v>
      </c>
      <c r="BG4" s="31">
        <v>444.00400000000002</v>
      </c>
      <c r="BH4" s="31">
        <v>890.471</v>
      </c>
      <c r="BI4" s="31">
        <v>800.71199999999999</v>
      </c>
      <c r="BJ4" s="31">
        <v>928.13599999999997</v>
      </c>
      <c r="BK4" s="31">
        <v>1154.8889999999999</v>
      </c>
      <c r="BL4" s="31">
        <v>1153.798</v>
      </c>
      <c r="BM4" s="31">
        <v>1107.847</v>
      </c>
      <c r="BN4" s="31">
        <v>1004.975</v>
      </c>
      <c r="BO4" s="31">
        <v>1004.9</v>
      </c>
      <c r="BP4" s="31">
        <v>513.84</v>
      </c>
      <c r="BQ4" s="31">
        <v>685.79300000000001</v>
      </c>
      <c r="BR4" s="31">
        <v>783.08199999999999</v>
      </c>
      <c r="BS4" s="31">
        <v>523.87300000000005</v>
      </c>
      <c r="BT4" s="31">
        <v>990.11400000000003</v>
      </c>
      <c r="BU4" s="31">
        <f t="shared" ref="BU4" si="0">915417/1000</f>
        <v>915.41700000000003</v>
      </c>
      <c r="BV4" s="31"/>
      <c r="BW4" s="31"/>
      <c r="BX4" s="31"/>
      <c r="BY4" s="31"/>
      <c r="BZ4" s="31"/>
      <c r="CA4" s="31"/>
      <c r="CB4" s="31"/>
      <c r="CC4" s="31"/>
    </row>
    <row r="5" spans="1:81">
      <c r="A5" s="34">
        <v>2</v>
      </c>
      <c r="B5" s="10" t="s">
        <v>84</v>
      </c>
      <c r="C5" s="35">
        <v>6</v>
      </c>
      <c r="D5" s="35">
        <f>SUM(Data_PL[[#This Row],[T1.2021]:[T12.2021]])</f>
        <v>0</v>
      </c>
      <c r="E5" s="35">
        <f>SUM(Data_PL[[#This Row],[T1.2022]:[T12.2022]])</f>
        <v>35845555207</v>
      </c>
      <c r="F5" s="35">
        <f>SUM(Data_PL[[#This Row],[T1.2023]:[T12.2023]])</f>
        <v>68779491098</v>
      </c>
      <c r="G5" s="35">
        <f>SUM(Data_PL[[#This Row],[T01.2024]:[T12.2024]])</f>
        <v>124696185425</v>
      </c>
      <c r="H5" s="35">
        <f>SUM(Data_PL[[#This Row],[T01.2025]:[T12.2025]])</f>
        <v>173927684403</v>
      </c>
      <c r="I5" s="35">
        <f>SUM(Data_PL[[#This Row],[T01.2026]:[T12.2026]])</f>
        <v>49102336080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>
        <v>0</v>
      </c>
      <c r="V5" s="11">
        <v>0</v>
      </c>
      <c r="W5" s="11">
        <v>0</v>
      </c>
      <c r="X5" s="11">
        <v>0</v>
      </c>
      <c r="Y5" s="11">
        <v>867124500</v>
      </c>
      <c r="Z5" s="11">
        <v>1806629000</v>
      </c>
      <c r="AA5" s="11">
        <v>1808611000</v>
      </c>
      <c r="AB5" s="11">
        <v>1898558000</v>
      </c>
      <c r="AC5" s="11">
        <v>3939705500</v>
      </c>
      <c r="AD5" s="11">
        <v>3396159500</v>
      </c>
      <c r="AE5" s="11">
        <v>7207694201</v>
      </c>
      <c r="AF5" s="11">
        <v>5938251216</v>
      </c>
      <c r="AG5" s="11">
        <v>8982822290</v>
      </c>
      <c r="AH5" s="11">
        <v>2253383204</v>
      </c>
      <c r="AI5" s="11">
        <v>4265090683</v>
      </c>
      <c r="AJ5" s="11">
        <v>10639282713</v>
      </c>
      <c r="AK5" s="11">
        <v>6949558981</v>
      </c>
      <c r="AL5" s="11">
        <v>3324235725</v>
      </c>
      <c r="AM5" s="11">
        <v>5636906111</v>
      </c>
      <c r="AN5" s="11">
        <v>3501002041</v>
      </c>
      <c r="AO5" s="11">
        <v>4192925810</v>
      </c>
      <c r="AP5" s="11">
        <v>4197374650</v>
      </c>
      <c r="AQ5" s="11">
        <v>7583193100</v>
      </c>
      <c r="AR5" s="11">
        <v>7831508500</v>
      </c>
      <c r="AS5" s="11">
        <v>8405029580</v>
      </c>
      <c r="AT5" s="11">
        <v>18859106420</v>
      </c>
      <c r="AU5" s="11">
        <v>4569145960</v>
      </c>
      <c r="AV5" s="11">
        <v>9889167500</v>
      </c>
      <c r="AW5" s="11">
        <v>8988544600</v>
      </c>
      <c r="AX5" s="11">
        <v>8396397250</v>
      </c>
      <c r="AY5" s="11">
        <v>13981977600</v>
      </c>
      <c r="AZ5" s="11">
        <v>8695495766</v>
      </c>
      <c r="BA5" s="11">
        <v>9066018899</v>
      </c>
      <c r="BB5" s="11">
        <v>10085358702</v>
      </c>
      <c r="BC5" s="11">
        <v>12770520896</v>
      </c>
      <c r="BD5" s="11">
        <v>10341915406</v>
      </c>
      <c r="BE5" s="11">
        <v>9052536426</v>
      </c>
      <c r="BF5" s="11">
        <v>5422948492</v>
      </c>
      <c r="BG5" s="11">
        <v>8810676928</v>
      </c>
      <c r="BH5" s="11">
        <v>16279256392</v>
      </c>
      <c r="BI5" s="11">
        <v>14772471605</v>
      </c>
      <c r="BJ5" s="11">
        <v>17582066937</v>
      </c>
      <c r="BK5" s="11">
        <v>19496019197</v>
      </c>
      <c r="BL5" s="11">
        <v>21794142714</v>
      </c>
      <c r="BM5" s="11">
        <v>20947068360</v>
      </c>
      <c r="BN5" s="11">
        <v>16624308416</v>
      </c>
      <c r="BO5" s="11">
        <v>14529961948</v>
      </c>
      <c r="BP5" s="11">
        <v>7374095784</v>
      </c>
      <c r="BQ5" s="11">
        <v>10294667630</v>
      </c>
      <c r="BR5" s="11">
        <v>11775760050</v>
      </c>
      <c r="BS5" s="11">
        <v>8275817930</v>
      </c>
      <c r="BT5" s="11">
        <v>14654267870</v>
      </c>
      <c r="BU5" s="11">
        <v>14396490230</v>
      </c>
      <c r="BV5" s="11"/>
      <c r="BW5" s="11"/>
      <c r="BX5" s="11"/>
      <c r="BY5" s="11"/>
      <c r="BZ5" s="11"/>
      <c r="CA5" s="11"/>
      <c r="CB5" s="11"/>
      <c r="CC5" s="11"/>
    </row>
    <row r="6" spans="1:81">
      <c r="A6" s="36">
        <v>3</v>
      </c>
      <c r="B6" s="13" t="s">
        <v>85</v>
      </c>
      <c r="C6" s="37">
        <v>6</v>
      </c>
      <c r="D6" s="37">
        <f>SUM(Data_PL[[#This Row],[T1.2021]:[T12.2021]])</f>
        <v>0</v>
      </c>
      <c r="E6" s="37">
        <f>SUM(Data_PL[[#This Row],[T1.2022]:[T12.2022]])</f>
        <v>0</v>
      </c>
      <c r="F6" s="37">
        <f>SUM(Data_PL[[#This Row],[T1.2023]:[T12.2023]])</f>
        <v>0</v>
      </c>
      <c r="G6" s="37">
        <f>SUM(Data_PL[[#This Row],[T01.2024]:[T12.2024]])</f>
        <v>0</v>
      </c>
      <c r="H6" s="37">
        <f>SUM(Data_PL[[#This Row],[T01.2025]:[T12.2025]])</f>
        <v>0</v>
      </c>
      <c r="I6" s="37">
        <f>SUM(Data_PL[[#This Row],[T01.2026]:[T12.2026]])</f>
        <v>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38">
        <v>0</v>
      </c>
      <c r="AX6" s="38">
        <v>0</v>
      </c>
      <c r="AY6" s="38">
        <v>0</v>
      </c>
      <c r="AZ6" s="38">
        <v>0</v>
      </c>
      <c r="BA6" s="38">
        <v>0</v>
      </c>
      <c r="BB6" s="38">
        <v>0</v>
      </c>
      <c r="BC6" s="38">
        <v>0</v>
      </c>
      <c r="BD6" s="38">
        <v>0</v>
      </c>
      <c r="BE6" s="39">
        <v>0</v>
      </c>
      <c r="BF6" s="39">
        <v>0</v>
      </c>
      <c r="BG6" s="39">
        <v>0</v>
      </c>
      <c r="BH6" s="39">
        <v>0</v>
      </c>
      <c r="BI6" s="39">
        <v>0</v>
      </c>
      <c r="BJ6" s="39">
        <v>0</v>
      </c>
      <c r="BK6" s="39">
        <v>0</v>
      </c>
      <c r="BL6" s="39">
        <v>0</v>
      </c>
      <c r="BM6" s="39">
        <v>0</v>
      </c>
      <c r="BN6" s="39">
        <v>0</v>
      </c>
      <c r="BO6" s="39">
        <v>0</v>
      </c>
      <c r="BP6" s="39">
        <v>0</v>
      </c>
      <c r="BQ6" s="39">
        <v>0</v>
      </c>
      <c r="BR6" s="39"/>
      <c r="BS6" s="39">
        <v>0</v>
      </c>
      <c r="BT6" s="39"/>
      <c r="BU6" s="39"/>
      <c r="BV6" s="39"/>
      <c r="BW6" s="39"/>
      <c r="BX6" s="39"/>
      <c r="BY6" s="39"/>
      <c r="BZ6" s="39"/>
      <c r="CA6" s="39"/>
      <c r="CB6" s="39"/>
      <c r="CC6" s="39"/>
    </row>
    <row r="7" spans="1:81">
      <c r="A7" s="40">
        <v>4</v>
      </c>
      <c r="B7" s="10" t="s">
        <v>86</v>
      </c>
      <c r="C7" s="41">
        <v>6</v>
      </c>
      <c r="D7" s="41">
        <f>SUM(Data_PL[[#This Row],[T1.2021]:[T12.2021]])</f>
        <v>0</v>
      </c>
      <c r="E7" s="41">
        <f>SUM(Data_PL[[#This Row],[T1.2022]:[T12.2022]])</f>
        <v>35845555207</v>
      </c>
      <c r="F7" s="41">
        <f>SUM(Data_PL[[#This Row],[T1.2023]:[T12.2023]])</f>
        <v>68779491098</v>
      </c>
      <c r="G7" s="41">
        <f>SUM(Data_PL[[#This Row],[T01.2024]:[T12.2024]])</f>
        <v>124696185425</v>
      </c>
      <c r="H7" s="41">
        <f>SUM(Data_PL[[#This Row],[T01.2025]:[T12.2025]])</f>
        <v>173927684403</v>
      </c>
      <c r="I7" s="41">
        <f>SUM(Data_PL[[#This Row],[T01.2026]:[T12.2026]])</f>
        <v>49102336080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>
        <v>0</v>
      </c>
      <c r="V7" s="16">
        <v>0</v>
      </c>
      <c r="W7" s="16">
        <v>0</v>
      </c>
      <c r="X7" s="16">
        <v>0</v>
      </c>
      <c r="Y7" s="16">
        <v>867124500</v>
      </c>
      <c r="Z7" s="16">
        <v>1806629000</v>
      </c>
      <c r="AA7" s="16">
        <v>1808611000</v>
      </c>
      <c r="AB7" s="16">
        <v>1898558000</v>
      </c>
      <c r="AC7" s="16">
        <v>3939705500</v>
      </c>
      <c r="AD7" s="16">
        <v>3396159500</v>
      </c>
      <c r="AE7" s="16">
        <v>7207694201</v>
      </c>
      <c r="AF7" s="16">
        <v>5938251216</v>
      </c>
      <c r="AG7" s="16">
        <v>8982822290</v>
      </c>
      <c r="AH7" s="16">
        <v>2253383204</v>
      </c>
      <c r="AI7" s="16">
        <v>4265090683</v>
      </c>
      <c r="AJ7" s="16">
        <v>10639282713</v>
      </c>
      <c r="AK7" s="16">
        <v>6949558981</v>
      </c>
      <c r="AL7" s="16">
        <v>3324235725</v>
      </c>
      <c r="AM7" s="16">
        <v>5636906111</v>
      </c>
      <c r="AN7" s="16">
        <v>3501002041</v>
      </c>
      <c r="AO7" s="16">
        <v>4192925810</v>
      </c>
      <c r="AP7" s="16">
        <v>4197374650</v>
      </c>
      <c r="AQ7" s="16">
        <v>7583193100</v>
      </c>
      <c r="AR7" s="16">
        <v>7831508500</v>
      </c>
      <c r="AS7" s="16">
        <v>8405029580</v>
      </c>
      <c r="AT7" s="16">
        <v>18859106420</v>
      </c>
      <c r="AU7" s="16">
        <v>4569145960</v>
      </c>
      <c r="AV7" s="16">
        <v>9889167500</v>
      </c>
      <c r="AW7" s="16">
        <v>8988544600</v>
      </c>
      <c r="AX7" s="16">
        <v>8396397250</v>
      </c>
      <c r="AY7" s="16">
        <v>13981977600</v>
      </c>
      <c r="AZ7" s="16">
        <v>8695495766</v>
      </c>
      <c r="BA7" s="16">
        <v>9066018899</v>
      </c>
      <c r="BB7" s="16">
        <v>10085358702</v>
      </c>
      <c r="BC7" s="16">
        <v>12770520896</v>
      </c>
      <c r="BD7" s="16">
        <v>10341915406</v>
      </c>
      <c r="BE7" s="42">
        <v>9052536426</v>
      </c>
      <c r="BF7" s="42">
        <v>5422948492</v>
      </c>
      <c r="BG7" s="42">
        <v>8810676928</v>
      </c>
      <c r="BH7" s="42">
        <v>16279256392</v>
      </c>
      <c r="BI7" s="42">
        <v>14772471605</v>
      </c>
      <c r="BJ7" s="42">
        <v>17582066937</v>
      </c>
      <c r="BK7" s="42">
        <v>19496019197</v>
      </c>
      <c r="BL7" s="42">
        <v>21794142714</v>
      </c>
      <c r="BM7" s="42">
        <v>20947068360</v>
      </c>
      <c r="BN7" s="42">
        <v>16624308416</v>
      </c>
      <c r="BO7" s="42">
        <v>14529961948</v>
      </c>
      <c r="BP7" s="42">
        <v>7374095784</v>
      </c>
      <c r="BQ7" s="42">
        <v>10294667630</v>
      </c>
      <c r="BR7" s="42">
        <v>11775760050</v>
      </c>
      <c r="BS7" s="42">
        <v>8275817930</v>
      </c>
      <c r="BT7" s="42">
        <v>14654267870</v>
      </c>
      <c r="BU7" s="42">
        <v>14396490230</v>
      </c>
      <c r="BV7" s="42"/>
      <c r="BW7" s="42"/>
      <c r="BX7" s="42"/>
      <c r="BY7" s="42"/>
      <c r="BZ7" s="42"/>
      <c r="CA7" s="42"/>
      <c r="CB7" s="42"/>
      <c r="CC7" s="42"/>
    </row>
    <row r="8" spans="1:81" ht="15.5">
      <c r="A8" s="36">
        <v>5</v>
      </c>
      <c r="B8" s="13" t="s">
        <v>87</v>
      </c>
      <c r="C8" s="43">
        <v>6</v>
      </c>
      <c r="D8" s="37">
        <f>SUM(Data_PL[[#This Row],[T1.2021]:[T12.2021]])</f>
        <v>0</v>
      </c>
      <c r="E8" s="37">
        <f>SUM(Data_PL[[#This Row],[T1.2022]:[T12.2022]])</f>
        <v>38057133750</v>
      </c>
      <c r="F8" s="37">
        <f>SUM(Data_PL[[#This Row],[T1.2023]:[T12.2023]])</f>
        <v>83388707818</v>
      </c>
      <c r="G8" s="37">
        <f>SUM(Data_PL[[#This Row],[T01.2024]:[T12.2024]])</f>
        <v>130705402599</v>
      </c>
      <c r="H8" s="37">
        <f>SUM(Data_PL[[#This Row],[T01.2025]:[T12.2025]])</f>
        <v>173615125606</v>
      </c>
      <c r="I8" s="37">
        <f>SUM(Data_PL[[#This Row],[T01.2026]:[T12.2026]])</f>
        <v>46648691386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>
        <v>0</v>
      </c>
      <c r="V8" s="14">
        <v>0</v>
      </c>
      <c r="W8" s="14">
        <v>0</v>
      </c>
      <c r="X8" s="14">
        <v>0</v>
      </c>
      <c r="Y8" s="14">
        <v>1043158263</v>
      </c>
      <c r="Z8" s="14">
        <v>2018502531</v>
      </c>
      <c r="AA8" s="14">
        <v>3246780250</v>
      </c>
      <c r="AB8" s="14">
        <v>2460816541</v>
      </c>
      <c r="AC8" s="14">
        <v>3098316370</v>
      </c>
      <c r="AD8" s="14">
        <v>3349405980</v>
      </c>
      <c r="AE8" s="14">
        <v>7265678210</v>
      </c>
      <c r="AF8" s="14">
        <v>6705345773</v>
      </c>
      <c r="AG8" s="14">
        <v>8869129832</v>
      </c>
      <c r="AH8" s="14">
        <v>3240340811</v>
      </c>
      <c r="AI8" s="14">
        <v>5619697963</v>
      </c>
      <c r="AJ8" s="14">
        <v>13421808004</v>
      </c>
      <c r="AK8" s="14">
        <v>9317382917</v>
      </c>
      <c r="AL8" s="14">
        <v>5227287464</v>
      </c>
      <c r="AM8" s="14">
        <v>7363604310</v>
      </c>
      <c r="AN8" s="14">
        <v>5177182851</v>
      </c>
      <c r="AO8" s="14">
        <v>5105270549</v>
      </c>
      <c r="AP8" s="14">
        <v>4755249704</v>
      </c>
      <c r="AQ8" s="14">
        <v>7896150860</v>
      </c>
      <c r="AR8" s="14">
        <v>9903541557</v>
      </c>
      <c r="AS8" s="14">
        <v>6361190828</v>
      </c>
      <c r="AT8" s="18">
        <v>19303813750</v>
      </c>
      <c r="AU8" s="14">
        <v>5445357498</v>
      </c>
      <c r="AV8" s="14">
        <v>9525099975</v>
      </c>
      <c r="AW8" s="44">
        <v>9177542757</v>
      </c>
      <c r="AX8" s="44">
        <v>9252785278</v>
      </c>
      <c r="AY8" s="44">
        <v>15202791010</v>
      </c>
      <c r="AZ8" s="44">
        <v>9266546963</v>
      </c>
      <c r="BA8" s="44">
        <v>9640445579</v>
      </c>
      <c r="BB8" s="44">
        <v>10348331156</v>
      </c>
      <c r="BC8" s="44">
        <v>12802871939</v>
      </c>
      <c r="BD8" s="45">
        <v>11067427637</v>
      </c>
      <c r="BE8" s="44">
        <v>9672389057</v>
      </c>
      <c r="BF8" s="44">
        <v>6459461109</v>
      </c>
      <c r="BG8" s="44">
        <v>9788053505</v>
      </c>
      <c r="BH8" s="44">
        <v>16279720003</v>
      </c>
      <c r="BI8" s="44">
        <v>15135281409</v>
      </c>
      <c r="BJ8" s="44">
        <v>16857467163</v>
      </c>
      <c r="BK8" s="44">
        <v>19925736275</v>
      </c>
      <c r="BL8" s="44">
        <v>20517811328</v>
      </c>
      <c r="BM8" s="44">
        <v>19931952590</v>
      </c>
      <c r="BN8" s="44">
        <v>16609887050</v>
      </c>
      <c r="BO8" s="44">
        <v>14135481149</v>
      </c>
      <c r="BP8" s="44">
        <v>7795260584</v>
      </c>
      <c r="BQ8" s="44">
        <v>10179013441</v>
      </c>
      <c r="BR8" s="44">
        <v>11302623439</v>
      </c>
      <c r="BS8" s="44">
        <v>8036742611</v>
      </c>
      <c r="BT8" s="44">
        <v>13652461082</v>
      </c>
      <c r="BU8" s="44">
        <v>13656864254</v>
      </c>
      <c r="BV8" s="44"/>
      <c r="BW8" s="44"/>
      <c r="BX8" s="44"/>
      <c r="BY8" s="44"/>
      <c r="BZ8" s="44"/>
      <c r="CA8" s="44"/>
      <c r="CB8" s="44"/>
      <c r="CC8" s="44"/>
    </row>
    <row r="9" spans="1:81">
      <c r="A9" s="46">
        <v>6</v>
      </c>
      <c r="B9" s="10" t="s">
        <v>88</v>
      </c>
      <c r="C9" s="47">
        <v>6</v>
      </c>
      <c r="D9" s="47">
        <f>SUM(Data_PL[[#This Row],[T1.2021]:[T12.2021]])</f>
        <v>0</v>
      </c>
      <c r="E9" s="47">
        <f>SUM(Data_PL[[#This Row],[T1.2022]:[T12.2022]])</f>
        <v>-2211578543</v>
      </c>
      <c r="F9" s="47">
        <f>SUM(Data_PL[[#This Row],[T1.2023]:[T12.2023]])</f>
        <v>-14609216720</v>
      </c>
      <c r="G9" s="47">
        <f>SUM(Data_PL[[#This Row],[T01.2024]:[T12.2024]])</f>
        <v>-6009217174</v>
      </c>
      <c r="H9" s="47">
        <f>SUM(Data_PL[[#This Row],[T01.2025]:[T12.2025]])</f>
        <v>312558797</v>
      </c>
      <c r="I9" s="47">
        <f>SUM(Data_PL[[#This Row],[T01.2026]:[T12.2026]])</f>
        <v>2453644694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>
        <v>0</v>
      </c>
      <c r="V9" s="20">
        <v>0</v>
      </c>
      <c r="W9" s="20">
        <v>0</v>
      </c>
      <c r="X9" s="20">
        <v>0</v>
      </c>
      <c r="Y9" s="20">
        <v>-176033763</v>
      </c>
      <c r="Z9" s="20">
        <v>-211873531</v>
      </c>
      <c r="AA9" s="20">
        <v>-1438169250</v>
      </c>
      <c r="AB9" s="20">
        <v>-562258541</v>
      </c>
      <c r="AC9" s="20">
        <v>841389130</v>
      </c>
      <c r="AD9" s="20">
        <v>46753520</v>
      </c>
      <c r="AE9" s="20">
        <v>-57984009</v>
      </c>
      <c r="AF9" s="20">
        <v>-767094557</v>
      </c>
      <c r="AG9" s="20">
        <v>113692458</v>
      </c>
      <c r="AH9" s="20">
        <v>-986957607</v>
      </c>
      <c r="AI9" s="20">
        <v>-1354607280</v>
      </c>
      <c r="AJ9" s="20">
        <v>-2782525291</v>
      </c>
      <c r="AK9" s="20">
        <v>-2367823936</v>
      </c>
      <c r="AL9" s="20">
        <v>-1903051739</v>
      </c>
      <c r="AM9" s="20">
        <v>-1726698199</v>
      </c>
      <c r="AN9" s="20">
        <v>-1676180810</v>
      </c>
      <c r="AO9" s="20">
        <v>-912344739</v>
      </c>
      <c r="AP9" s="20">
        <v>-557875054</v>
      </c>
      <c r="AQ9" s="20">
        <v>-312957760</v>
      </c>
      <c r="AR9" s="20">
        <v>-2072033057</v>
      </c>
      <c r="AS9" s="20">
        <v>2043838752</v>
      </c>
      <c r="AT9" s="20">
        <v>-444707330</v>
      </c>
      <c r="AU9" s="20">
        <v>-876211538</v>
      </c>
      <c r="AV9" s="20">
        <v>364067525</v>
      </c>
      <c r="AW9" s="20">
        <v>-188998157</v>
      </c>
      <c r="AX9" s="20">
        <v>-856388028</v>
      </c>
      <c r="AY9" s="20">
        <v>-1220813410</v>
      </c>
      <c r="AZ9" s="20">
        <v>-571051197</v>
      </c>
      <c r="BA9" s="20">
        <v>-574426680</v>
      </c>
      <c r="BB9" s="20">
        <v>-262972454</v>
      </c>
      <c r="BC9" s="20">
        <v>-32351043</v>
      </c>
      <c r="BD9" s="20">
        <v>-725512231</v>
      </c>
      <c r="BE9" s="20">
        <v>-619852631</v>
      </c>
      <c r="BF9" s="20">
        <v>-1036512617</v>
      </c>
      <c r="BG9" s="20">
        <v>-977376577</v>
      </c>
      <c r="BH9" s="20">
        <v>-463611</v>
      </c>
      <c r="BI9" s="20">
        <v>-362809804</v>
      </c>
      <c r="BJ9" s="20">
        <v>724599774</v>
      </c>
      <c r="BK9" s="20">
        <v>-429717078</v>
      </c>
      <c r="BL9" s="20">
        <v>1276331386</v>
      </c>
      <c r="BM9" s="20">
        <v>1015115770</v>
      </c>
      <c r="BN9" s="20">
        <v>14421366</v>
      </c>
      <c r="BO9" s="20">
        <v>394480799</v>
      </c>
      <c r="BP9" s="20">
        <v>-421164800</v>
      </c>
      <c r="BQ9" s="20">
        <v>115654189</v>
      </c>
      <c r="BR9" s="20">
        <v>473136611</v>
      </c>
      <c r="BS9" s="20">
        <v>239075319</v>
      </c>
      <c r="BT9" s="20">
        <v>1001806788</v>
      </c>
      <c r="BU9" s="20">
        <v>739625976</v>
      </c>
      <c r="BV9" s="20"/>
      <c r="BW9" s="20"/>
      <c r="BX9" s="20"/>
      <c r="BY9" s="20"/>
      <c r="BZ9" s="20"/>
      <c r="CA9" s="20"/>
      <c r="CB9" s="20"/>
      <c r="CC9" s="20"/>
    </row>
    <row r="10" spans="1:81">
      <c r="A10" s="46">
        <v>7</v>
      </c>
      <c r="B10" s="10" t="s">
        <v>89</v>
      </c>
      <c r="C10" s="47">
        <v>6</v>
      </c>
      <c r="D10" s="47">
        <f>SUM(Data_PL[[#This Row],[T1.2021]:[T12.2021]])</f>
        <v>0</v>
      </c>
      <c r="E10" s="47">
        <f>SUM(Data_PL[[#This Row],[T1.2022]:[T12.2022]])</f>
        <v>0</v>
      </c>
      <c r="F10" s="47">
        <f>SUM(Data_PL[[#This Row],[T1.2023]:[T12.2023]])</f>
        <v>0</v>
      </c>
      <c r="G10" s="47">
        <f>SUM(Data_PL[[#This Row],[T01.2024]:[T12.2024]])</f>
        <v>0</v>
      </c>
      <c r="H10" s="47">
        <f>SUM(Data_PL[[#This Row],[T01.2025]:[T12.2025]])</f>
        <v>0</v>
      </c>
      <c r="I10" s="47">
        <f>SUM(Data_PL[[#This Row],[T01.2026]:[T12.2026]])</f>
        <v>0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</row>
    <row r="11" spans="1:81">
      <c r="A11" s="36">
        <v>8</v>
      </c>
      <c r="B11" s="13" t="s">
        <v>90</v>
      </c>
      <c r="C11" s="37">
        <v>6</v>
      </c>
      <c r="D11" s="37">
        <f>SUM(Data_PL[[#This Row],[T1.2021]:[T12.2021]])</f>
        <v>0</v>
      </c>
      <c r="E11" s="37">
        <f>SUM(Data_PL[[#This Row],[T1.2022]:[T12.2022]])</f>
        <v>2185937</v>
      </c>
      <c r="F11" s="37">
        <f>SUM(Data_PL[[#This Row],[T1.2023]:[T12.2023]])</f>
        <v>18611706</v>
      </c>
      <c r="G11" s="37">
        <f>SUM(Data_PL[[#This Row],[T01.2024]:[T12.2024]])</f>
        <v>9933782</v>
      </c>
      <c r="H11" s="37">
        <f>SUM(Data_PL[[#This Row],[T01.2025]:[T12.2025]])</f>
        <v>30416253</v>
      </c>
      <c r="I11" s="37">
        <f>SUM(Data_PL[[#This Row],[T01.2026]:[T12.2026]])</f>
        <v>64439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>
        <v>0</v>
      </c>
      <c r="V11" s="14">
        <v>193525</v>
      </c>
      <c r="W11" s="14">
        <v>41776</v>
      </c>
      <c r="X11" s="14">
        <v>63253</v>
      </c>
      <c r="Y11" s="14">
        <v>253599</v>
      </c>
      <c r="Z11" s="14">
        <v>146252</v>
      </c>
      <c r="AA11" s="14">
        <v>130471</v>
      </c>
      <c r="AB11" s="14">
        <v>87564</v>
      </c>
      <c r="AC11" s="14">
        <v>97977</v>
      </c>
      <c r="AD11" s="14">
        <v>59406</v>
      </c>
      <c r="AE11" s="14">
        <v>19128</v>
      </c>
      <c r="AF11" s="14">
        <v>237530</v>
      </c>
      <c r="AG11" s="14">
        <v>855456</v>
      </c>
      <c r="AH11" s="14">
        <v>1538411</v>
      </c>
      <c r="AI11" s="14">
        <v>490186</v>
      </c>
      <c r="AJ11" s="14">
        <v>416617</v>
      </c>
      <c r="AK11" s="14">
        <v>153598</v>
      </c>
      <c r="AL11" s="14">
        <v>175725</v>
      </c>
      <c r="AM11" s="14">
        <v>42514</v>
      </c>
      <c r="AN11" s="14">
        <v>78830</v>
      </c>
      <c r="AO11" s="14">
        <v>214369</v>
      </c>
      <c r="AP11" s="14">
        <v>78036</v>
      </c>
      <c r="AQ11" s="14">
        <v>43303</v>
      </c>
      <c r="AR11" s="14">
        <v>15370732</v>
      </c>
      <c r="AS11" s="14">
        <v>9385</v>
      </c>
      <c r="AT11" s="14">
        <v>12211</v>
      </c>
      <c r="AU11" s="14">
        <v>25165</v>
      </c>
      <c r="AV11" s="14">
        <v>19778</v>
      </c>
      <c r="AW11" s="38">
        <v>32521</v>
      </c>
      <c r="AX11" s="38">
        <v>24020</v>
      </c>
      <c r="AY11" s="38">
        <v>16492</v>
      </c>
      <c r="AZ11" s="38">
        <v>11977</v>
      </c>
      <c r="BA11" s="38">
        <v>14708</v>
      </c>
      <c r="BB11" s="38">
        <v>4723</v>
      </c>
      <c r="BC11" s="38">
        <v>16840</v>
      </c>
      <c r="BD11" s="38">
        <v>9746260</v>
      </c>
      <c r="BE11" s="39">
        <v>9087</v>
      </c>
      <c r="BF11" s="39">
        <v>15622</v>
      </c>
      <c r="BG11" s="39">
        <v>11487</v>
      </c>
      <c r="BH11" s="39">
        <v>8067</v>
      </c>
      <c r="BI11" s="39">
        <v>20954</v>
      </c>
      <c r="BJ11" s="39">
        <v>11723</v>
      </c>
      <c r="BK11" s="39">
        <v>8134</v>
      </c>
      <c r="BL11" s="39">
        <v>14534</v>
      </c>
      <c r="BM11" s="39">
        <v>10653</v>
      </c>
      <c r="BN11" s="39">
        <v>24933</v>
      </c>
      <c r="BO11" s="39">
        <v>46896</v>
      </c>
      <c r="BP11" s="39">
        <v>22423098</v>
      </c>
      <c r="BQ11" s="39">
        <v>7820152</v>
      </c>
      <c r="BR11" s="39">
        <v>10853</v>
      </c>
      <c r="BS11" s="39">
        <v>7889</v>
      </c>
      <c r="BT11" s="39">
        <v>4769</v>
      </c>
      <c r="BU11" s="39">
        <v>40928</v>
      </c>
      <c r="BV11" s="39"/>
      <c r="BW11" s="39"/>
      <c r="BX11" s="39"/>
      <c r="BY11" s="39"/>
      <c r="BZ11" s="39"/>
      <c r="CA11" s="39"/>
      <c r="CB11" s="39"/>
      <c r="CC11" s="39"/>
    </row>
    <row r="12" spans="1:81">
      <c r="A12" s="34">
        <v>9</v>
      </c>
      <c r="B12" s="10" t="s">
        <v>91</v>
      </c>
      <c r="C12" s="35">
        <v>6</v>
      </c>
      <c r="D12" s="35">
        <f>SUM(Data_PL[[#This Row],[T1.2021]:[T12.2021]])</f>
        <v>0</v>
      </c>
      <c r="E12" s="35">
        <f>SUM(Data_PL[[#This Row],[T1.2022]:[T12.2022]])</f>
        <v>0</v>
      </c>
      <c r="F12" s="35">
        <f>SUM(Data_PL[[#This Row],[T1.2023]:[T12.2023]])</f>
        <v>0</v>
      </c>
      <c r="G12" s="35">
        <f>SUM(Data_PL[[#This Row],[T01.2024]:[T12.2024]])</f>
        <v>0</v>
      </c>
      <c r="H12" s="35">
        <f>SUM(Data_PL[[#This Row],[T01.2025]:[T12.2025]])</f>
        <v>0</v>
      </c>
      <c r="I12" s="35">
        <f>SUM(Data_PL[[#This Row],[T01.2026]:[T12.2026]])</f>
        <v>9654850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48">
        <v>0</v>
      </c>
      <c r="BF12" s="48">
        <v>0</v>
      </c>
      <c r="BG12" s="48">
        <v>0</v>
      </c>
      <c r="BH12" s="48">
        <v>0</v>
      </c>
      <c r="BI12" s="48">
        <v>0</v>
      </c>
      <c r="BJ12" s="48">
        <v>0</v>
      </c>
      <c r="BK12" s="48">
        <v>0</v>
      </c>
      <c r="BL12" s="48">
        <v>0</v>
      </c>
      <c r="BM12" s="48">
        <v>0</v>
      </c>
      <c r="BN12" s="48">
        <v>0</v>
      </c>
      <c r="BO12" s="48">
        <v>0</v>
      </c>
      <c r="BP12" s="48">
        <v>0</v>
      </c>
      <c r="BQ12" s="48">
        <v>0</v>
      </c>
      <c r="BR12" s="48"/>
      <c r="BS12" s="48">
        <v>9235200</v>
      </c>
      <c r="BT12" s="48"/>
      <c r="BU12" s="48">
        <v>419650</v>
      </c>
      <c r="BV12" s="48"/>
      <c r="BW12" s="48"/>
      <c r="BX12" s="48"/>
      <c r="BY12" s="48"/>
      <c r="BZ12" s="48"/>
      <c r="CA12" s="48"/>
      <c r="CB12" s="48"/>
      <c r="CC12" s="48"/>
    </row>
    <row r="13" spans="1:81">
      <c r="A13" s="36">
        <v>10</v>
      </c>
      <c r="B13" s="21" t="s">
        <v>92</v>
      </c>
      <c r="C13" s="37">
        <v>6</v>
      </c>
      <c r="D13" s="37">
        <f>SUM(Data_PL[[#This Row],[T1.2021]:[T12.2021]])</f>
        <v>0</v>
      </c>
      <c r="E13" s="37">
        <f>SUM(Data_PL[[#This Row],[T1.2022]:[T12.2022]])</f>
        <v>0</v>
      </c>
      <c r="F13" s="37">
        <f>SUM(Data_PL[[#This Row],[T1.2023]:[T12.2023]])</f>
        <v>0</v>
      </c>
      <c r="G13" s="37">
        <f>SUM(Data_PL[[#This Row],[T01.2024]:[T12.2024]])</f>
        <v>0</v>
      </c>
      <c r="H13" s="37">
        <f>SUM(Data_PL[[#This Row],[T01.2025]:[T12.2025]])</f>
        <v>0</v>
      </c>
      <c r="I13" s="37">
        <f>SUM(Data_PL[[#This Row],[T01.2026]:[T12.2026]])</f>
        <v>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38">
        <v>0</v>
      </c>
      <c r="AX13" s="38">
        <v>0</v>
      </c>
      <c r="AY13" s="38">
        <v>0</v>
      </c>
      <c r="AZ13" s="38">
        <v>0</v>
      </c>
      <c r="BA13" s="38">
        <v>0</v>
      </c>
      <c r="BB13" s="38">
        <v>0</v>
      </c>
      <c r="BC13" s="38">
        <v>0</v>
      </c>
      <c r="BD13" s="38">
        <v>0</v>
      </c>
      <c r="BE13" s="39">
        <v>0</v>
      </c>
      <c r="BF13" s="39">
        <v>0</v>
      </c>
      <c r="BG13" s="39">
        <v>0</v>
      </c>
      <c r="BH13" s="39">
        <v>0</v>
      </c>
      <c r="BI13" s="39">
        <v>0</v>
      </c>
      <c r="BJ13" s="39">
        <v>0</v>
      </c>
      <c r="BK13" s="39">
        <v>0</v>
      </c>
      <c r="BL13" s="39">
        <v>0</v>
      </c>
      <c r="BM13" s="39">
        <v>0</v>
      </c>
      <c r="BN13" s="39">
        <v>0</v>
      </c>
      <c r="BO13" s="39">
        <v>0</v>
      </c>
      <c r="BP13" s="39">
        <v>0</v>
      </c>
      <c r="BQ13" s="39">
        <v>0</v>
      </c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</row>
    <row r="14" spans="1:81">
      <c r="A14" s="36">
        <v>11</v>
      </c>
      <c r="B14" s="13" t="s">
        <v>93</v>
      </c>
      <c r="C14" s="37">
        <v>6</v>
      </c>
      <c r="D14" s="37">
        <f>SUM(Data_PL[[#This Row],[T1.2021]:[T12.2021]])</f>
        <v>0</v>
      </c>
      <c r="E14" s="37">
        <f>SUM(Data_PL[[#This Row],[T1.2022]:[T12.2022]])</f>
        <v>846137000</v>
      </c>
      <c r="F14" s="37">
        <f>SUM(Data_PL[[#This Row],[T1.2023]:[T12.2023]])</f>
        <v>3257669600</v>
      </c>
      <c r="G14" s="37">
        <f>SUM(Data_PL[[#This Row],[T01.2024]:[T12.2024]])</f>
        <v>3508089700</v>
      </c>
      <c r="H14" s="37">
        <f>SUM(Data_PL[[#This Row],[T01.2025]:[T12.2025]])</f>
        <v>3127900000</v>
      </c>
      <c r="I14" s="37">
        <f>SUM(Data_PL[[#This Row],[T01.2026]:[T12.2026]])</f>
        <v>1107700000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55956000</v>
      </c>
      <c r="AA14" s="14">
        <v>41117000</v>
      </c>
      <c r="AB14" s="14">
        <v>57464000</v>
      </c>
      <c r="AC14" s="14">
        <v>93500000</v>
      </c>
      <c r="AD14" s="14">
        <v>95700000</v>
      </c>
      <c r="AE14" s="14">
        <v>176000000</v>
      </c>
      <c r="AF14" s="14">
        <v>138700000</v>
      </c>
      <c r="AG14" s="14">
        <v>187700000</v>
      </c>
      <c r="AH14" s="14">
        <v>75300000</v>
      </c>
      <c r="AI14" s="14">
        <v>126000000</v>
      </c>
      <c r="AJ14" s="14">
        <v>157600000</v>
      </c>
      <c r="AK14" s="14">
        <v>240643000</v>
      </c>
      <c r="AL14" s="14">
        <v>89750000</v>
      </c>
      <c r="AM14" s="14">
        <v>145050000</v>
      </c>
      <c r="AN14" s="14">
        <v>84700000</v>
      </c>
      <c r="AO14" s="14">
        <v>66600000</v>
      </c>
      <c r="AP14" s="14">
        <v>38300000</v>
      </c>
      <c r="AQ14" s="14">
        <v>93600000</v>
      </c>
      <c r="AR14" s="14">
        <v>349438000</v>
      </c>
      <c r="AS14" s="14">
        <v>1790688600</v>
      </c>
      <c r="AT14" s="14">
        <v>1789900000</v>
      </c>
      <c r="AU14" s="14">
        <v>95542200</v>
      </c>
      <c r="AV14" s="14">
        <v>198747500</v>
      </c>
      <c r="AW14" s="38">
        <v>149800000</v>
      </c>
      <c r="AX14" s="38">
        <v>136700000</v>
      </c>
      <c r="AY14" s="38">
        <v>187000000</v>
      </c>
      <c r="AZ14" s="38">
        <v>154000000</v>
      </c>
      <c r="BA14" s="38">
        <v>132500000</v>
      </c>
      <c r="BB14" s="38">
        <v>185900000</v>
      </c>
      <c r="BC14" s="38">
        <v>180600000</v>
      </c>
      <c r="BD14" s="38">
        <v>156300000</v>
      </c>
      <c r="BE14" s="38">
        <v>141100000</v>
      </c>
      <c r="BF14" s="38">
        <v>91100000</v>
      </c>
      <c r="BG14" s="38">
        <v>139700000</v>
      </c>
      <c r="BH14" s="38">
        <v>291900000</v>
      </c>
      <c r="BI14" s="38">
        <v>255100000</v>
      </c>
      <c r="BJ14" s="38">
        <v>287700000</v>
      </c>
      <c r="BK14" s="38">
        <v>330500000</v>
      </c>
      <c r="BL14" s="38">
        <v>365500000</v>
      </c>
      <c r="BM14" s="38">
        <v>358900000</v>
      </c>
      <c r="BN14" s="38">
        <v>327900000</v>
      </c>
      <c r="BO14" s="38">
        <v>294000000</v>
      </c>
      <c r="BP14" s="38">
        <v>171600000</v>
      </c>
      <c r="BQ14" s="38">
        <v>214000000</v>
      </c>
      <c r="BR14" s="38">
        <v>252400000</v>
      </c>
      <c r="BS14" s="38">
        <v>167700000</v>
      </c>
      <c r="BT14" s="38">
        <v>349500000</v>
      </c>
      <c r="BU14" s="38">
        <v>338100000</v>
      </c>
      <c r="BV14" s="38"/>
      <c r="BW14" s="38"/>
      <c r="BX14" s="38"/>
      <c r="BY14" s="38"/>
      <c r="BZ14" s="38"/>
      <c r="CA14" s="38"/>
      <c r="CB14" s="38"/>
      <c r="CC14" s="38"/>
    </row>
    <row r="15" spans="1:81">
      <c r="A15" s="36">
        <v>12</v>
      </c>
      <c r="B15" s="13" t="s">
        <v>94</v>
      </c>
      <c r="C15" s="37">
        <v>6</v>
      </c>
      <c r="D15" s="37">
        <f>SUM(Data_PL[[#This Row],[T1.2021]:[T12.2021]])</f>
        <v>5215385</v>
      </c>
      <c r="E15" s="37">
        <f>SUM(Data_PL[[#This Row],[T1.2022]:[T12.2022]])</f>
        <v>3554786333</v>
      </c>
      <c r="F15" s="37">
        <f>SUM(Data_PL[[#This Row],[T1.2023]:[T12.2023]])</f>
        <v>4726260715</v>
      </c>
      <c r="G15" s="37">
        <f>SUM(Data_PL[[#This Row],[T01.2024]:[T12.2024]])</f>
        <v>2854734951</v>
      </c>
      <c r="H15" s="37">
        <f>SUM(Data_PL[[#This Row],[T01.2025]:[T12.2025]])</f>
        <v>3920744156</v>
      </c>
      <c r="I15" s="37">
        <f>SUM(Data_PL[[#This Row],[T01.2026]:[T12.2026]])</f>
        <v>2468576452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>
        <v>5215385</v>
      </c>
      <c r="V15" s="14">
        <v>54384111</v>
      </c>
      <c r="W15" s="14">
        <v>81006325</v>
      </c>
      <c r="X15" s="14">
        <v>120760187</v>
      </c>
      <c r="Y15" s="14">
        <v>135508222</v>
      </c>
      <c r="Z15" s="14">
        <v>128854203</v>
      </c>
      <c r="AA15" s="14">
        <v>158782511</v>
      </c>
      <c r="AB15" s="14">
        <v>144294348</v>
      </c>
      <c r="AC15" s="14">
        <v>130754061</v>
      </c>
      <c r="AD15" s="14">
        <v>151931954</v>
      </c>
      <c r="AE15" s="14">
        <v>136440059</v>
      </c>
      <c r="AF15" s="14">
        <v>1818058793</v>
      </c>
      <c r="AG15" s="14">
        <v>494011559</v>
      </c>
      <c r="AH15" s="14">
        <v>512428705</v>
      </c>
      <c r="AI15" s="14">
        <v>513524746</v>
      </c>
      <c r="AJ15" s="14">
        <v>289805194</v>
      </c>
      <c r="AK15" s="14">
        <v>385726708</v>
      </c>
      <c r="AL15" s="14">
        <v>356542104</v>
      </c>
      <c r="AM15" s="14">
        <v>323320047</v>
      </c>
      <c r="AN15" s="14">
        <v>340009205</v>
      </c>
      <c r="AO15" s="14">
        <v>692274279</v>
      </c>
      <c r="AP15" s="14">
        <v>332140369</v>
      </c>
      <c r="AQ15" s="14">
        <v>324903258</v>
      </c>
      <c r="AR15" s="14">
        <v>323801165</v>
      </c>
      <c r="AS15" s="14">
        <v>331784935</v>
      </c>
      <c r="AT15" s="14">
        <v>189486394</v>
      </c>
      <c r="AU15" s="14">
        <v>225236410</v>
      </c>
      <c r="AV15" s="14">
        <v>229978521</v>
      </c>
      <c r="AW15" s="38">
        <v>229889992</v>
      </c>
      <c r="AX15" s="38">
        <v>224134296</v>
      </c>
      <c r="AY15" s="38">
        <v>214897048</v>
      </c>
      <c r="AZ15" s="38">
        <v>230047625</v>
      </c>
      <c r="BA15" s="38">
        <v>229954420</v>
      </c>
      <c r="BB15" s="38">
        <v>228488322</v>
      </c>
      <c r="BC15" s="38">
        <v>213155072</v>
      </c>
      <c r="BD15" s="38">
        <v>300846378</v>
      </c>
      <c r="BE15" s="38">
        <v>338620473</v>
      </c>
      <c r="BF15" s="38">
        <v>390880567</v>
      </c>
      <c r="BG15" s="38">
        <v>288060338</v>
      </c>
      <c r="BH15" s="38">
        <v>278341956</v>
      </c>
      <c r="BI15" s="38">
        <v>277195306</v>
      </c>
      <c r="BJ15" s="38">
        <v>257971197</v>
      </c>
      <c r="BK15" s="38">
        <v>282882950</v>
      </c>
      <c r="BL15" s="38">
        <v>303895747</v>
      </c>
      <c r="BM15" s="38">
        <v>325151310</v>
      </c>
      <c r="BN15" s="38">
        <v>377683972</v>
      </c>
      <c r="BO15" s="38">
        <v>341492876</v>
      </c>
      <c r="BP15" s="38">
        <v>395204855</v>
      </c>
      <c r="BQ15" s="38">
        <v>401983082</v>
      </c>
      <c r="BR15" s="38">
        <v>638193690</v>
      </c>
      <c r="BS15" s="38">
        <v>962454402</v>
      </c>
      <c r="BT15" s="38">
        <v>406416217</v>
      </c>
      <c r="BU15" s="38">
        <v>461512143</v>
      </c>
      <c r="BV15" s="38"/>
      <c r="BW15" s="38"/>
      <c r="BX15" s="38"/>
      <c r="BY15" s="38"/>
      <c r="BZ15" s="38"/>
      <c r="CA15" s="38"/>
      <c r="CB15" s="38"/>
      <c r="CC15" s="38"/>
    </row>
    <row r="16" spans="1:81">
      <c r="A16" s="34">
        <v>13</v>
      </c>
      <c r="B16" s="10" t="s">
        <v>95</v>
      </c>
      <c r="C16" s="35">
        <v>6</v>
      </c>
      <c r="D16" s="35">
        <f>SUM(Data_PL[[#This Row],[T1.2021]:[T12.2021]])</f>
        <v>-5215385</v>
      </c>
      <c r="E16" s="35">
        <f>SUM(Data_PL[[#This Row],[T1.2022]:[T12.2022]])</f>
        <v>-6610315939</v>
      </c>
      <c r="F16" s="35">
        <f>SUM(Data_PL[[#This Row],[T1.2023]:[T12.2023]])</f>
        <v>-22574535329</v>
      </c>
      <c r="G16" s="35">
        <f>SUM(Data_PL[[#This Row],[T01.2024]:[T12.2024]])</f>
        <v>-12362108043</v>
      </c>
      <c r="H16" s="35">
        <f>SUM(Data_PL[[#This Row],[T01.2025]:[T12.2025]])</f>
        <v>-6705669106</v>
      </c>
      <c r="I16" s="35">
        <f>SUM(Data_PL[[#This Row],[T01.2026]:[T12.2026]])</f>
        <v>-1132222169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>
        <v>-5215385</v>
      </c>
      <c r="V16" s="11">
        <v>-54190586</v>
      </c>
      <c r="W16" s="11">
        <v>-80964549</v>
      </c>
      <c r="X16" s="11">
        <v>-120696934</v>
      </c>
      <c r="Y16" s="11">
        <v>-311288386</v>
      </c>
      <c r="Z16" s="11">
        <v>-396537482</v>
      </c>
      <c r="AA16" s="11">
        <v>-1637938290</v>
      </c>
      <c r="AB16" s="11">
        <v>-763929325</v>
      </c>
      <c r="AC16" s="11">
        <v>617233046</v>
      </c>
      <c r="AD16" s="11">
        <v>-200819028</v>
      </c>
      <c r="AE16" s="11">
        <v>-370404940</v>
      </c>
      <c r="AF16" s="11">
        <v>-2723615820</v>
      </c>
      <c r="AG16" s="11">
        <v>-567163645</v>
      </c>
      <c r="AH16" s="11">
        <v>-1573147901</v>
      </c>
      <c r="AI16" s="11">
        <v>-1993641840</v>
      </c>
      <c r="AJ16" s="11">
        <v>-3229513868</v>
      </c>
      <c r="AK16" s="11">
        <v>-2994040046</v>
      </c>
      <c r="AL16" s="11">
        <v>-2349168118</v>
      </c>
      <c r="AM16" s="11">
        <v>-2195025732</v>
      </c>
      <c r="AN16" s="11">
        <v>-2100811185</v>
      </c>
      <c r="AO16" s="11">
        <v>-1671004649</v>
      </c>
      <c r="AP16" s="11">
        <v>-928237387</v>
      </c>
      <c r="AQ16" s="11">
        <v>-731417715</v>
      </c>
      <c r="AR16" s="11">
        <v>-2729901490</v>
      </c>
      <c r="AS16" s="11">
        <v>-78625398</v>
      </c>
      <c r="AT16" s="11">
        <v>-2424081513</v>
      </c>
      <c r="AU16" s="11">
        <v>-1196964983</v>
      </c>
      <c r="AV16" s="11">
        <v>-64638718</v>
      </c>
      <c r="AW16" s="11">
        <v>-568655628</v>
      </c>
      <c r="AX16" s="11">
        <v>-1217198304</v>
      </c>
      <c r="AY16" s="11">
        <v>-1622693966</v>
      </c>
      <c r="AZ16" s="11">
        <v>-955086845</v>
      </c>
      <c r="BA16" s="11">
        <v>-936866392</v>
      </c>
      <c r="BB16" s="11">
        <v>-677356053</v>
      </c>
      <c r="BC16" s="11">
        <v>-426089275</v>
      </c>
      <c r="BD16" s="11">
        <v>-1172912349</v>
      </c>
      <c r="BE16" s="48">
        <v>-1099564017</v>
      </c>
      <c r="BF16" s="48">
        <v>-1518477562</v>
      </c>
      <c r="BG16" s="48">
        <v>-1405125428</v>
      </c>
      <c r="BH16" s="48">
        <v>-570697500</v>
      </c>
      <c r="BI16" s="48">
        <v>-895084156</v>
      </c>
      <c r="BJ16" s="48">
        <v>178940300</v>
      </c>
      <c r="BK16" s="48">
        <v>-1043091894</v>
      </c>
      <c r="BL16" s="48">
        <v>606950173</v>
      </c>
      <c r="BM16" s="48">
        <v>331075113</v>
      </c>
      <c r="BN16" s="48">
        <v>-691137673</v>
      </c>
      <c r="BO16" s="48">
        <v>-240965181</v>
      </c>
      <c r="BP16" s="48">
        <v>-965546557</v>
      </c>
      <c r="BQ16" s="48">
        <v>-492508741</v>
      </c>
      <c r="BR16" s="48">
        <v>-417446226</v>
      </c>
      <c r="BS16" s="48">
        <v>-900306394</v>
      </c>
      <c r="BT16" s="48">
        <v>245895340</v>
      </c>
      <c r="BU16" s="48">
        <v>-60364889</v>
      </c>
      <c r="BV16" s="48"/>
      <c r="BW16" s="48"/>
      <c r="BX16" s="48"/>
      <c r="BY16" s="48"/>
      <c r="BZ16" s="48"/>
      <c r="CA16" s="48"/>
      <c r="CB16" s="48"/>
      <c r="CC16" s="48"/>
    </row>
    <row r="17" spans="1:81">
      <c r="A17" s="36">
        <v>14</v>
      </c>
      <c r="B17" s="13" t="s">
        <v>96</v>
      </c>
      <c r="C17" s="37">
        <v>6</v>
      </c>
      <c r="D17" s="37">
        <f>SUM(Data_PL[[#This Row],[T1.2021]:[T12.2021]])</f>
        <v>0</v>
      </c>
      <c r="E17" s="37">
        <f>SUM(Data_PL[[#This Row],[T1.2022]:[T12.2022]])</f>
        <v>190000</v>
      </c>
      <c r="F17" s="37">
        <f>SUM(Data_PL[[#This Row],[T1.2023]:[T12.2023]])</f>
        <v>411943144</v>
      </c>
      <c r="G17" s="37">
        <f>SUM(Data_PL[[#This Row],[T01.2024]:[T12.2024]])</f>
        <v>37322058</v>
      </c>
      <c r="H17" s="37">
        <f>SUM(Data_PL[[#This Row],[T01.2025]:[T12.2025]])</f>
        <v>223318560</v>
      </c>
      <c r="I17" s="37">
        <f>SUM(Data_PL[[#This Row],[T01.2026]:[T12.2026]])</f>
        <v>149865373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190000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109815</v>
      </c>
      <c r="AL17" s="14">
        <v>58651962</v>
      </c>
      <c r="AM17" s="14">
        <v>310961198</v>
      </c>
      <c r="AN17" s="14">
        <v>7456238</v>
      </c>
      <c r="AO17" s="14">
        <v>12453000</v>
      </c>
      <c r="AP17" s="14">
        <v>0</v>
      </c>
      <c r="AQ17" s="14">
        <v>0</v>
      </c>
      <c r="AR17" s="14">
        <v>0</v>
      </c>
      <c r="AS17" s="14">
        <v>22310931</v>
      </c>
      <c r="AT17" s="14">
        <v>0</v>
      </c>
      <c r="AU17" s="14">
        <v>0</v>
      </c>
      <c r="AV17" s="14">
        <v>0</v>
      </c>
      <c r="AW17" s="38">
        <v>0</v>
      </c>
      <c r="AX17" s="38">
        <v>4695924</v>
      </c>
      <c r="AY17" s="38">
        <v>6427650</v>
      </c>
      <c r="AZ17" s="38"/>
      <c r="BA17" s="38">
        <v>6515785</v>
      </c>
      <c r="BB17" s="38">
        <v>5868055</v>
      </c>
      <c r="BC17" s="38">
        <v>2949074</v>
      </c>
      <c r="BD17" s="38">
        <v>4844907</v>
      </c>
      <c r="BE17" s="39">
        <v>6020663</v>
      </c>
      <c r="BF17" s="39">
        <v>6872690</v>
      </c>
      <c r="BG17" s="39">
        <v>0</v>
      </c>
      <c r="BH17" s="39">
        <v>5897640</v>
      </c>
      <c r="BI17" s="39">
        <v>14981280</v>
      </c>
      <c r="BJ17" s="39">
        <v>21977736</v>
      </c>
      <c r="BK17" s="39">
        <v>20040080</v>
      </c>
      <c r="BL17" s="39">
        <v>35343900</v>
      </c>
      <c r="BM17" s="39">
        <v>28282224</v>
      </c>
      <c r="BN17" s="39">
        <v>14984820</v>
      </c>
      <c r="BO17" s="39">
        <v>24570392</v>
      </c>
      <c r="BP17" s="39">
        <v>8366410</v>
      </c>
      <c r="BQ17" s="39">
        <v>42001388</v>
      </c>
      <c r="BR17" s="39">
        <v>8748278</v>
      </c>
      <c r="BS17" s="39">
        <v>10969252</v>
      </c>
      <c r="BT17" s="39">
        <v>13764543</v>
      </c>
      <c r="BU17" s="39">
        <v>116383300</v>
      </c>
      <c r="BV17" s="39"/>
      <c r="BW17" s="39"/>
      <c r="BX17" s="39"/>
      <c r="BY17" s="39"/>
      <c r="BZ17" s="39"/>
      <c r="CA17" s="39"/>
      <c r="CB17" s="39"/>
      <c r="CC17" s="39"/>
    </row>
    <row r="18" spans="1:81">
      <c r="A18" s="36">
        <v>15</v>
      </c>
      <c r="B18" s="13" t="s">
        <v>97</v>
      </c>
      <c r="C18" s="37">
        <v>6</v>
      </c>
      <c r="D18" s="37">
        <f>SUM(Data_PL[[#This Row],[T1.2021]:[T12.2021]])</f>
        <v>0</v>
      </c>
      <c r="E18" s="37">
        <f>SUM(Data_PL[[#This Row],[T1.2022]:[T12.2022]])</f>
        <v>3420266062</v>
      </c>
      <c r="F18" s="37">
        <f>SUM(Data_PL[[#This Row],[T1.2023]:[T12.2023]])</f>
        <v>469346186</v>
      </c>
      <c r="G18" s="37">
        <f>SUM(Data_PL[[#This Row],[T01.2024]:[T12.2024]])</f>
        <v>231135145</v>
      </c>
      <c r="H18" s="37">
        <f>SUM(Data_PL[[#This Row],[T01.2025]:[T12.2025]])</f>
        <v>171338420</v>
      </c>
      <c r="I18" s="37">
        <f>SUM(Data_PL[[#This Row],[T01.2026]:[T12.2026]])</f>
        <v>662336263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296296</v>
      </c>
      <c r="AD18" s="14">
        <v>0</v>
      </c>
      <c r="AE18" s="14">
        <v>16391</v>
      </c>
      <c r="AF18" s="14">
        <v>0</v>
      </c>
      <c r="AG18" s="14">
        <v>3419953375</v>
      </c>
      <c r="AH18" s="14">
        <v>0</v>
      </c>
      <c r="AI18" s="14">
        <v>0</v>
      </c>
      <c r="AJ18" s="14">
        <v>8284629</v>
      </c>
      <c r="AK18" s="14">
        <v>61546</v>
      </c>
      <c r="AL18" s="14">
        <v>52651</v>
      </c>
      <c r="AM18" s="14">
        <v>342751500</v>
      </c>
      <c r="AN18" s="14">
        <v>34965381</v>
      </c>
      <c r="AO18" s="14">
        <v>3001865</v>
      </c>
      <c r="AP18" s="14">
        <v>8601062</v>
      </c>
      <c r="AQ18" s="14">
        <v>12875003</v>
      </c>
      <c r="AR18" s="14">
        <v>11895000</v>
      </c>
      <c r="AS18" s="14">
        <v>46857549</v>
      </c>
      <c r="AT18" s="14">
        <v>25035000</v>
      </c>
      <c r="AU18" s="14">
        <v>4500869</v>
      </c>
      <c r="AV18" s="14">
        <v>15342970</v>
      </c>
      <c r="AW18" s="38">
        <v>1400000</v>
      </c>
      <c r="AX18" s="38">
        <v>4112330</v>
      </c>
      <c r="AY18" s="38">
        <v>3788889</v>
      </c>
      <c r="AZ18" s="38">
        <v>1603193</v>
      </c>
      <c r="BA18" s="38">
        <v>3600000</v>
      </c>
      <c r="BB18" s="38">
        <v>4730520</v>
      </c>
      <c r="BC18" s="38">
        <v>5100000</v>
      </c>
      <c r="BD18" s="38">
        <v>2300000</v>
      </c>
      <c r="BE18" s="39">
        <v>159621374</v>
      </c>
      <c r="BF18" s="39">
        <v>1000000</v>
      </c>
      <c r="BG18" s="39">
        <v>3800000</v>
      </c>
      <c r="BH18" s="39">
        <v>2500000</v>
      </c>
      <c r="BI18" s="39">
        <v>1000000</v>
      </c>
      <c r="BJ18" s="39">
        <v>6500000</v>
      </c>
      <c r="BK18" s="39">
        <v>1500000</v>
      </c>
      <c r="BL18" s="39">
        <v>128951632</v>
      </c>
      <c r="BM18" s="39">
        <v>13282176</v>
      </c>
      <c r="BN18" s="39">
        <v>4000000</v>
      </c>
      <c r="BO18" s="39">
        <v>500000</v>
      </c>
      <c r="BP18" s="39">
        <v>2295000</v>
      </c>
      <c r="BQ18" s="39">
        <v>6009612</v>
      </c>
      <c r="BR18" s="39">
        <v>136900483</v>
      </c>
      <c r="BS18" s="39">
        <v>48552980</v>
      </c>
      <c r="BT18" s="39">
        <v>4660403</v>
      </c>
      <c r="BU18" s="39">
        <v>472222397</v>
      </c>
      <c r="BV18" s="39"/>
      <c r="BW18" s="39"/>
      <c r="BX18" s="39"/>
      <c r="BY18" s="39"/>
      <c r="BZ18" s="39"/>
      <c r="CA18" s="39"/>
      <c r="CB18" s="39"/>
      <c r="CC18" s="39"/>
    </row>
    <row r="19" spans="1:81">
      <c r="A19" s="34">
        <v>16</v>
      </c>
      <c r="B19" s="10" t="s">
        <v>98</v>
      </c>
      <c r="C19" s="35">
        <v>6</v>
      </c>
      <c r="D19" s="35">
        <f>SUM(Data_PL[[#This Row],[T1.2021]:[T12.2021]])</f>
        <v>0</v>
      </c>
      <c r="E19" s="35">
        <f>SUM(Data_PL[[#This Row],[T1.2022]:[T12.2022]])</f>
        <v>-3420076062</v>
      </c>
      <c r="F19" s="35">
        <f>SUM(Data_PL[[#This Row],[T1.2023]:[T12.2023]])</f>
        <v>-57403042</v>
      </c>
      <c r="G19" s="35">
        <f>SUM(Data_PL[[#This Row],[T01.2024]:[T12.2024]])</f>
        <v>-193813087</v>
      </c>
      <c r="H19" s="35">
        <f>SUM(Data_PL[[#This Row],[T01.2025]:[T12.2025]])</f>
        <v>51980140</v>
      </c>
      <c r="I19" s="35">
        <f>SUM(Data_PL[[#This Row],[T01.2026]:[T12.2026]])</f>
        <v>-512470890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190000</v>
      </c>
      <c r="AB19" s="11">
        <v>0</v>
      </c>
      <c r="AC19" s="11">
        <v>-296296</v>
      </c>
      <c r="AD19" s="11">
        <v>0</v>
      </c>
      <c r="AE19" s="11">
        <v>-16391</v>
      </c>
      <c r="AF19" s="11">
        <v>0</v>
      </c>
      <c r="AG19" s="11">
        <v>-3419953375</v>
      </c>
      <c r="AH19" s="11">
        <v>0</v>
      </c>
      <c r="AI19" s="11">
        <v>0</v>
      </c>
      <c r="AJ19" s="11">
        <v>-8284629</v>
      </c>
      <c r="AK19" s="11">
        <v>48269</v>
      </c>
      <c r="AL19" s="11">
        <v>58599311</v>
      </c>
      <c r="AM19" s="11">
        <v>-31790302</v>
      </c>
      <c r="AN19" s="11">
        <v>-27509143</v>
      </c>
      <c r="AO19" s="11">
        <v>9451135</v>
      </c>
      <c r="AP19" s="11">
        <v>-8601062</v>
      </c>
      <c r="AQ19" s="11">
        <v>-12875003</v>
      </c>
      <c r="AR19" s="11">
        <v>-11895000</v>
      </c>
      <c r="AS19" s="11">
        <v>-24546618</v>
      </c>
      <c r="AT19" s="11">
        <v>-25035000</v>
      </c>
      <c r="AU19" s="11">
        <v>-4500869</v>
      </c>
      <c r="AV19" s="11">
        <v>-15342970</v>
      </c>
      <c r="AW19" s="11">
        <v>-1400000</v>
      </c>
      <c r="AX19" s="11">
        <v>583594</v>
      </c>
      <c r="AY19" s="11">
        <v>2638761</v>
      </c>
      <c r="AZ19" s="11">
        <v>-1603193</v>
      </c>
      <c r="BA19" s="11">
        <v>2915785</v>
      </c>
      <c r="BB19" s="11">
        <v>1137535</v>
      </c>
      <c r="BC19" s="11">
        <v>-2150926</v>
      </c>
      <c r="BD19" s="11">
        <v>2544907</v>
      </c>
      <c r="BE19" s="48">
        <v>-153600711</v>
      </c>
      <c r="BF19" s="48">
        <v>5872690</v>
      </c>
      <c r="BG19" s="48">
        <v>-3800000</v>
      </c>
      <c r="BH19" s="48">
        <v>3397640</v>
      </c>
      <c r="BI19" s="48">
        <v>13981280</v>
      </c>
      <c r="BJ19" s="48">
        <v>15477736</v>
      </c>
      <c r="BK19" s="48">
        <v>18540080</v>
      </c>
      <c r="BL19" s="48">
        <v>-93607732</v>
      </c>
      <c r="BM19" s="48">
        <v>15000048</v>
      </c>
      <c r="BN19" s="48">
        <v>10984820</v>
      </c>
      <c r="BO19" s="48">
        <v>24070392</v>
      </c>
      <c r="BP19" s="48">
        <v>6071410</v>
      </c>
      <c r="BQ19" s="48">
        <v>35991776</v>
      </c>
      <c r="BR19" s="48">
        <v>-128152205</v>
      </c>
      <c r="BS19" s="48">
        <v>-37583728</v>
      </c>
      <c r="BT19" s="48">
        <v>9104140</v>
      </c>
      <c r="BU19" s="48">
        <v>-355839097</v>
      </c>
      <c r="BV19" s="48"/>
      <c r="BW19" s="48"/>
      <c r="BX19" s="48"/>
      <c r="BY19" s="48"/>
      <c r="BZ19" s="48"/>
      <c r="CA19" s="48"/>
      <c r="CB19" s="48"/>
      <c r="CC19" s="48"/>
    </row>
    <row r="20" spans="1:81">
      <c r="A20" s="40">
        <v>17</v>
      </c>
      <c r="B20" s="10" t="s">
        <v>99</v>
      </c>
      <c r="C20" s="41">
        <v>6</v>
      </c>
      <c r="D20" s="41">
        <f>SUM(Data_PL[[#This Row],[T1.2021]:[T12.2021]])</f>
        <v>-5215385</v>
      </c>
      <c r="E20" s="41">
        <f>SUM(Data_PL[[#This Row],[T1.2022]:[T12.2022]])</f>
        <v>-10030392001</v>
      </c>
      <c r="F20" s="41">
        <f>SUM(Data_PL[[#This Row],[T1.2023]:[T12.2023]])</f>
        <v>-22631938371</v>
      </c>
      <c r="G20" s="41">
        <f>SUM(Data_PL[[#This Row],[T01.2024]:[T12.2024]])</f>
        <v>-12555921130</v>
      </c>
      <c r="H20" s="41">
        <f>SUM(Data_PL[[#This Row],[T01.2025]:[T12.2025]])</f>
        <v>-6653688966</v>
      </c>
      <c r="I20" s="41">
        <f>SUM(Data_PL[[#This Row],[T01.2026]:[T12.2026]])</f>
        <v>-1644693059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>
        <v>-5215385</v>
      </c>
      <c r="V20" s="16">
        <v>-54190586</v>
      </c>
      <c r="W20" s="16">
        <v>-80964549</v>
      </c>
      <c r="X20" s="16">
        <v>-120696934</v>
      </c>
      <c r="Y20" s="16">
        <v>-311288386</v>
      </c>
      <c r="Z20" s="16">
        <v>-396537482</v>
      </c>
      <c r="AA20" s="16">
        <v>-1637748290</v>
      </c>
      <c r="AB20" s="16">
        <v>-763929325</v>
      </c>
      <c r="AC20" s="16">
        <v>616936750</v>
      </c>
      <c r="AD20" s="16">
        <v>-200819028</v>
      </c>
      <c r="AE20" s="16">
        <v>-370421331</v>
      </c>
      <c r="AF20" s="16">
        <v>-2723615820</v>
      </c>
      <c r="AG20" s="16">
        <v>-3987117020</v>
      </c>
      <c r="AH20" s="16">
        <v>-1573147901</v>
      </c>
      <c r="AI20" s="16">
        <v>-1993641840</v>
      </c>
      <c r="AJ20" s="16">
        <v>-3237798497</v>
      </c>
      <c r="AK20" s="16">
        <v>-2993991777</v>
      </c>
      <c r="AL20" s="16">
        <v>-2290568807</v>
      </c>
      <c r="AM20" s="16">
        <v>-2226816034</v>
      </c>
      <c r="AN20" s="16">
        <v>-2128320328</v>
      </c>
      <c r="AO20" s="16">
        <v>-1661553514</v>
      </c>
      <c r="AP20" s="16">
        <v>-936838449</v>
      </c>
      <c r="AQ20" s="16">
        <v>-744292718</v>
      </c>
      <c r="AR20" s="16">
        <v>-2741796490</v>
      </c>
      <c r="AS20" s="16">
        <v>-103172016</v>
      </c>
      <c r="AT20" s="16">
        <v>-2449116513</v>
      </c>
      <c r="AU20" s="16">
        <v>-1201465852</v>
      </c>
      <c r="AV20" s="16">
        <v>-79981688</v>
      </c>
      <c r="AW20" s="16">
        <v>-570055628</v>
      </c>
      <c r="AX20" s="16">
        <v>-1216614710</v>
      </c>
      <c r="AY20" s="16">
        <v>-1620055205</v>
      </c>
      <c r="AZ20" s="16">
        <v>-956690038</v>
      </c>
      <c r="BA20" s="16">
        <v>-933950607</v>
      </c>
      <c r="BB20" s="16">
        <v>-676218518</v>
      </c>
      <c r="BC20" s="16">
        <v>-428240201</v>
      </c>
      <c r="BD20" s="16">
        <v>-1170367442</v>
      </c>
      <c r="BE20" s="42">
        <v>-1253164728</v>
      </c>
      <c r="BF20" s="42">
        <v>-1512604872</v>
      </c>
      <c r="BG20" s="42">
        <v>-1408925428</v>
      </c>
      <c r="BH20" s="42">
        <v>-567299860</v>
      </c>
      <c r="BI20" s="42">
        <v>-881102876</v>
      </c>
      <c r="BJ20" s="42">
        <v>194418036</v>
      </c>
      <c r="BK20" s="42">
        <v>-1024551814</v>
      </c>
      <c r="BL20" s="42">
        <v>513342441</v>
      </c>
      <c r="BM20" s="42">
        <v>346075161</v>
      </c>
      <c r="BN20" s="42">
        <v>-680152853</v>
      </c>
      <c r="BO20" s="42">
        <v>-216894789</v>
      </c>
      <c r="BP20" s="42">
        <v>-959475147</v>
      </c>
      <c r="BQ20" s="42">
        <v>-456516965</v>
      </c>
      <c r="BR20" s="42">
        <v>-545598431</v>
      </c>
      <c r="BS20" s="42">
        <v>-937890122</v>
      </c>
      <c r="BT20" s="42">
        <v>254999480</v>
      </c>
      <c r="BU20" s="42">
        <v>-416203986</v>
      </c>
      <c r="BV20" s="42"/>
      <c r="BW20" s="42"/>
      <c r="BX20" s="42"/>
      <c r="BY20" s="42"/>
      <c r="BZ20" s="42"/>
      <c r="CA20" s="42"/>
      <c r="CB20" s="42"/>
      <c r="CC20" s="42"/>
    </row>
    <row r="21" spans="1:81">
      <c r="A21" s="49">
        <v>18</v>
      </c>
      <c r="B21" s="22" t="s">
        <v>100</v>
      </c>
      <c r="C21" s="37">
        <v>6</v>
      </c>
      <c r="D21" s="37">
        <f>SUM(Data_PL[[#This Row],[T1.2021]:[T12.2021]])</f>
        <v>0</v>
      </c>
      <c r="E21" s="37">
        <f>SUM(Data_PL[[#This Row],[T1.2022]:[T12.2022]])</f>
        <v>0</v>
      </c>
      <c r="F21" s="37">
        <f>SUM(Data_PL[[#This Row],[T1.2023]:[T12.2023]])</f>
        <v>0</v>
      </c>
      <c r="G21" s="37">
        <f>SUM(Data_PL[[#This Row],[T01.2024]:[T12.2024]])</f>
        <v>0</v>
      </c>
      <c r="H21" s="37">
        <f>SUM(Data_PL[[#This Row],[T01.2025]:[T12.2025]])</f>
        <v>0</v>
      </c>
      <c r="I21" s="37">
        <f>SUM(Data_PL[[#This Row],[T01.2026]:[T12.2026]])</f>
        <v>0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14">
        <v>0</v>
      </c>
      <c r="AU21" s="50">
        <v>0</v>
      </c>
      <c r="AV21" s="50">
        <v>0</v>
      </c>
      <c r="AW21" s="50">
        <v>0</v>
      </c>
      <c r="AX21" s="50">
        <v>0</v>
      </c>
      <c r="AY21" s="50">
        <v>0</v>
      </c>
      <c r="AZ21" s="50">
        <v>0</v>
      </c>
      <c r="BA21" s="50">
        <v>0</v>
      </c>
      <c r="BB21" s="50">
        <v>0</v>
      </c>
      <c r="BC21" s="50">
        <v>0</v>
      </c>
      <c r="BD21" s="50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/>
      <c r="BR21" s="51"/>
      <c r="BS21" s="51">
        <v>0</v>
      </c>
      <c r="BT21" s="51"/>
      <c r="BU21" s="51"/>
      <c r="BV21" s="51"/>
      <c r="BW21" s="51"/>
      <c r="BX21" s="51"/>
      <c r="BY21" s="51"/>
      <c r="BZ21" s="51"/>
      <c r="CA21" s="51"/>
      <c r="CB21" s="51"/>
      <c r="CC21" s="51"/>
    </row>
    <row r="22" spans="1:81">
      <c r="A22" s="52">
        <v>19</v>
      </c>
      <c r="B22" s="13" t="s">
        <v>101</v>
      </c>
      <c r="C22" s="37">
        <v>6</v>
      </c>
      <c r="D22" s="37">
        <f>SUM(Data_PL[[#This Row],[T1.2021]:[T12.2021]])</f>
        <v>0</v>
      </c>
      <c r="E22" s="37">
        <f>SUM(Data_PL[[#This Row],[T1.2022]:[T12.2022]])</f>
        <v>0</v>
      </c>
      <c r="F22" s="37">
        <f>SUM(Data_PL[[#This Row],[T1.2023]:[T12.2023]])</f>
        <v>0</v>
      </c>
      <c r="G22" s="37">
        <f>SUM(Data_PL[[#This Row],[T01.2024]:[T12.2024]])</f>
        <v>0</v>
      </c>
      <c r="H22" s="37">
        <f>SUM(Data_PL[[#This Row],[T01.2025]:[T12.2025]])</f>
        <v>0</v>
      </c>
      <c r="I22" s="37">
        <f>SUM(Data_PL[[#This Row],[T01.2026]:[T12.2026]])</f>
        <v>0</v>
      </c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38">
        <v>0</v>
      </c>
      <c r="AD22" s="38">
        <v>0</v>
      </c>
      <c r="AE22" s="38">
        <v>0</v>
      </c>
      <c r="AF22" s="38">
        <v>0</v>
      </c>
      <c r="AG22" s="38">
        <v>0</v>
      </c>
      <c r="AH22" s="38">
        <v>0</v>
      </c>
      <c r="AI22" s="38">
        <v>0</v>
      </c>
      <c r="AJ22" s="38">
        <v>0</v>
      </c>
      <c r="AK22" s="38">
        <v>0</v>
      </c>
      <c r="AL22" s="38">
        <v>0</v>
      </c>
      <c r="AM22" s="38">
        <v>0</v>
      </c>
      <c r="AN22" s="38">
        <v>0</v>
      </c>
      <c r="AO22" s="38">
        <v>0</v>
      </c>
      <c r="AP22" s="38">
        <v>0</v>
      </c>
      <c r="AQ22" s="38">
        <v>0</v>
      </c>
      <c r="AR22" s="38">
        <v>0</v>
      </c>
      <c r="AS22" s="38">
        <v>0</v>
      </c>
      <c r="AT22" s="14">
        <v>0</v>
      </c>
      <c r="AU22" s="38">
        <v>0</v>
      </c>
      <c r="AV22" s="38">
        <v>0</v>
      </c>
      <c r="AW22" s="38">
        <v>0</v>
      </c>
      <c r="AX22" s="38">
        <v>0</v>
      </c>
      <c r="AY22" s="38">
        <v>0</v>
      </c>
      <c r="AZ22" s="38">
        <v>0</v>
      </c>
      <c r="BA22" s="38">
        <v>0</v>
      </c>
      <c r="BB22" s="38">
        <v>0</v>
      </c>
      <c r="BC22" s="38">
        <v>0</v>
      </c>
      <c r="BD22" s="38">
        <v>0</v>
      </c>
      <c r="BE22" s="39">
        <v>0</v>
      </c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>
        <v>0</v>
      </c>
      <c r="BT22" s="39"/>
      <c r="BU22" s="39"/>
      <c r="BV22" s="39"/>
      <c r="BW22" s="39"/>
      <c r="BX22" s="39"/>
      <c r="BY22" s="39"/>
      <c r="BZ22" s="39"/>
      <c r="CA22" s="39"/>
      <c r="CB22" s="39"/>
      <c r="CC22" s="39"/>
    </row>
    <row r="23" spans="1:81">
      <c r="A23" s="46">
        <v>20</v>
      </c>
      <c r="B23" s="10" t="s">
        <v>102</v>
      </c>
      <c r="C23" s="47">
        <v>6</v>
      </c>
      <c r="D23" s="47">
        <f>SUM(Data_PL[[#This Row],[T1.2021]:[T12.2021]])</f>
        <v>-5215385</v>
      </c>
      <c r="E23" s="47">
        <f>SUM(Data_PL[[#This Row],[T1.2022]:[T12.2022]])</f>
        <v>-10030392001</v>
      </c>
      <c r="F23" s="47">
        <f>SUM(Data_PL[[#This Row],[T1.2023]:[T12.2023]])</f>
        <v>-22631938371</v>
      </c>
      <c r="G23" s="47">
        <f>SUM(Data_PL[[#This Row],[T01.2024]:[T12.2024]])</f>
        <v>-12555921130</v>
      </c>
      <c r="H23" s="47">
        <f>SUM(Data_PL[[#This Row],[T01.2025]:[T12.2025]])</f>
        <v>-6653688966</v>
      </c>
      <c r="I23" s="47">
        <f>SUM(Data_PL[[#This Row],[T01.2026]:[T12.2026]])</f>
        <v>-1644693059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>
        <v>-5215385</v>
      </c>
      <c r="V23" s="20">
        <v>-54190586</v>
      </c>
      <c r="W23" s="20">
        <v>-80964549</v>
      </c>
      <c r="X23" s="20">
        <v>-120696934</v>
      </c>
      <c r="Y23" s="20">
        <v>-311288386</v>
      </c>
      <c r="Z23" s="20">
        <v>-396537482</v>
      </c>
      <c r="AA23" s="20">
        <v>-1637748290</v>
      </c>
      <c r="AB23" s="20">
        <v>-763929325</v>
      </c>
      <c r="AC23" s="20">
        <v>616936750</v>
      </c>
      <c r="AD23" s="20">
        <v>-200819028</v>
      </c>
      <c r="AE23" s="20">
        <v>-370421331</v>
      </c>
      <c r="AF23" s="20">
        <v>-2723615820</v>
      </c>
      <c r="AG23" s="20">
        <v>-3987117020</v>
      </c>
      <c r="AH23" s="20">
        <v>-1573147901</v>
      </c>
      <c r="AI23" s="20">
        <v>-1993641840</v>
      </c>
      <c r="AJ23" s="20">
        <v>-3237798497</v>
      </c>
      <c r="AK23" s="20">
        <v>-2993991777</v>
      </c>
      <c r="AL23" s="20">
        <v>-2290568807</v>
      </c>
      <c r="AM23" s="20">
        <v>-2226816034</v>
      </c>
      <c r="AN23" s="20">
        <v>-2128320328</v>
      </c>
      <c r="AO23" s="20">
        <v>-1661553514</v>
      </c>
      <c r="AP23" s="20">
        <v>-936838449</v>
      </c>
      <c r="AQ23" s="20">
        <v>-744292718</v>
      </c>
      <c r="AR23" s="20">
        <v>-2741796490</v>
      </c>
      <c r="AS23" s="20">
        <v>-103172016</v>
      </c>
      <c r="AT23" s="20">
        <v>-2449116513</v>
      </c>
      <c r="AU23" s="20">
        <v>-1201465852</v>
      </c>
      <c r="AV23" s="20">
        <v>-79981688</v>
      </c>
      <c r="AW23" s="20">
        <v>-570055628</v>
      </c>
      <c r="AX23" s="20">
        <v>-1216614710</v>
      </c>
      <c r="AY23" s="20">
        <v>-1620055205</v>
      </c>
      <c r="AZ23" s="20">
        <v>-956690038</v>
      </c>
      <c r="BA23" s="20">
        <v>-933950607</v>
      </c>
      <c r="BB23" s="20">
        <v>-676218518</v>
      </c>
      <c r="BC23" s="20">
        <v>-428240201</v>
      </c>
      <c r="BD23" s="20">
        <v>-1170367442</v>
      </c>
      <c r="BE23" s="20">
        <v>-1253164728</v>
      </c>
      <c r="BF23" s="20">
        <v>-1512604872</v>
      </c>
      <c r="BG23" s="20">
        <v>-1408925428</v>
      </c>
      <c r="BH23" s="20">
        <v>-567299860</v>
      </c>
      <c r="BI23" s="20">
        <v>-881102876</v>
      </c>
      <c r="BJ23" s="20">
        <v>194418036</v>
      </c>
      <c r="BK23" s="20">
        <v>-1024551814</v>
      </c>
      <c r="BL23" s="20">
        <v>513342441</v>
      </c>
      <c r="BM23" s="20">
        <v>346075161</v>
      </c>
      <c r="BN23" s="20">
        <v>-680152853</v>
      </c>
      <c r="BO23" s="20">
        <v>-216894789</v>
      </c>
      <c r="BP23" s="20">
        <v>-959475147</v>
      </c>
      <c r="BQ23" s="20">
        <v>-456516965</v>
      </c>
      <c r="BR23" s="20">
        <v>-545598431</v>
      </c>
      <c r="BS23" s="20">
        <v>-937890122</v>
      </c>
      <c r="BT23" s="20">
        <v>254999480</v>
      </c>
      <c r="BU23" s="20">
        <v>-416203986</v>
      </c>
      <c r="BV23" s="20"/>
      <c r="BW23" s="20"/>
      <c r="BX23" s="20"/>
      <c r="BY23" s="20"/>
      <c r="BZ23" s="20"/>
      <c r="CA23" s="20"/>
      <c r="CB23" s="20"/>
      <c r="CC23" s="20"/>
    </row>
    <row r="24" spans="1:81">
      <c r="A24" s="82"/>
      <c r="B24" s="83" t="s">
        <v>109</v>
      </c>
      <c r="C24" s="73"/>
      <c r="D24" s="86" t="e">
        <f>D23/D7</f>
        <v>#DIV/0!</v>
      </c>
      <c r="E24" s="86">
        <f t="shared" ref="E24:I24" si="1">E23/E7</f>
        <v>-0.27982247570380059</v>
      </c>
      <c r="F24" s="86">
        <f t="shared" si="1"/>
        <v>-0.32905068080182553</v>
      </c>
      <c r="G24" s="86">
        <f t="shared" si="1"/>
        <v>-0.10069210286750839</v>
      </c>
      <c r="H24" s="86">
        <f t="shared" si="1"/>
        <v>-3.8255491003853288E-2</v>
      </c>
      <c r="I24" s="86">
        <f t="shared" si="1"/>
        <v>-3.3495210010382873E-2</v>
      </c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</row>
  </sheetData>
  <protectedRanges>
    <protectedRange sqref="J4:CC23" name="PL"/>
  </protectedRanges>
  <phoneticPr fontId="20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E07B-A79C-4889-8386-13C6C505BC03}">
  <dimension ref="A1:CC24"/>
  <sheetViews>
    <sheetView topLeftCell="B13" zoomScaleNormal="100" workbookViewId="0">
      <selection activeCell="B24" sqref="B24:D24"/>
    </sheetView>
  </sheetViews>
  <sheetFormatPr defaultRowHeight="14.5"/>
  <cols>
    <col min="1" max="1" width="8" hidden="1" customWidth="1"/>
    <col min="2" max="2" width="55.54296875" customWidth="1"/>
    <col min="3" max="3" width="9.1796875" hidden="1" customWidth="1"/>
    <col min="4" max="4" width="14.54296875" bestFit="1" customWidth="1"/>
    <col min="5" max="6" width="15.6328125" bestFit="1" customWidth="1"/>
    <col min="7" max="7" width="16.08984375" bestFit="1" customWidth="1"/>
    <col min="8" max="8" width="17.36328125" bestFit="1" customWidth="1"/>
    <col min="9" max="9" width="15.6328125" bestFit="1" customWidth="1"/>
    <col min="10" max="10" width="14.81640625" customWidth="1"/>
    <col min="11" max="21" width="14.453125" customWidth="1"/>
    <col min="22" max="22" width="14.81640625" customWidth="1"/>
    <col min="23" max="32" width="15.54296875" customWidth="1"/>
    <col min="33" max="33" width="16.26953125" customWidth="1"/>
    <col min="34" max="48" width="15.54296875" customWidth="1"/>
    <col min="49" max="57" width="15.453125" customWidth="1"/>
    <col min="58" max="60" width="15.453125" bestFit="1" customWidth="1"/>
    <col min="61" max="61" width="15.54296875" bestFit="1" customWidth="1"/>
    <col min="62" max="63" width="15.453125" bestFit="1" customWidth="1"/>
    <col min="64" max="65" width="16.54296875" bestFit="1" customWidth="1"/>
    <col min="66" max="71" width="15.453125" bestFit="1" customWidth="1"/>
    <col min="72" max="72" width="15.54296875" customWidth="1"/>
    <col min="73" max="81" width="15.453125" bestFit="1" customWidth="1"/>
  </cols>
  <sheetData>
    <row r="1" spans="1:81" ht="17.5">
      <c r="B1" s="1" t="s">
        <v>105</v>
      </c>
    </row>
    <row r="2" spans="1:81">
      <c r="B2" s="2" t="s">
        <v>1</v>
      </c>
    </row>
    <row r="3" spans="1:81" ht="28">
      <c r="A3" s="4" t="s">
        <v>2</v>
      </c>
      <c r="B3" s="5" t="s">
        <v>3</v>
      </c>
      <c r="C3" s="4" t="s">
        <v>4</v>
      </c>
      <c r="D3" s="70" t="s">
        <v>5</v>
      </c>
      <c r="E3" s="70" t="s">
        <v>6</v>
      </c>
      <c r="F3" s="70" t="s">
        <v>7</v>
      </c>
      <c r="G3" s="70" t="s">
        <v>8</v>
      </c>
      <c r="H3" s="70" t="s">
        <v>9</v>
      </c>
      <c r="I3" s="70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  <c r="BA3" s="4" t="s">
        <v>54</v>
      </c>
      <c r="BB3" s="4" t="s">
        <v>55</v>
      </c>
      <c r="BC3" s="4" t="s">
        <v>56</v>
      </c>
      <c r="BD3" s="4" t="s">
        <v>57</v>
      </c>
      <c r="BE3" s="4" t="s">
        <v>58</v>
      </c>
      <c r="BF3" s="4" t="s">
        <v>59</v>
      </c>
      <c r="BG3" s="4" t="s">
        <v>60</v>
      </c>
      <c r="BH3" s="4" t="s">
        <v>61</v>
      </c>
      <c r="BI3" s="4" t="s">
        <v>62</v>
      </c>
      <c r="BJ3" s="4" t="s">
        <v>63</v>
      </c>
      <c r="BK3" s="4" t="s">
        <v>64</v>
      </c>
      <c r="BL3" s="4" t="s">
        <v>65</v>
      </c>
      <c r="BM3" s="4" t="s">
        <v>66</v>
      </c>
      <c r="BN3" s="4" t="s">
        <v>67</v>
      </c>
      <c r="BO3" s="4" t="s">
        <v>68</v>
      </c>
      <c r="BP3" s="4" t="s">
        <v>69</v>
      </c>
      <c r="BQ3" s="4" t="s">
        <v>70</v>
      </c>
      <c r="BR3" s="4" t="s">
        <v>71</v>
      </c>
      <c r="BS3" s="4" t="s">
        <v>72</v>
      </c>
      <c r="BT3" s="4" t="s">
        <v>73</v>
      </c>
      <c r="BU3" s="4" t="s">
        <v>74</v>
      </c>
      <c r="BV3" s="4" t="s">
        <v>75</v>
      </c>
      <c r="BW3" s="4" t="s">
        <v>76</v>
      </c>
      <c r="BX3" s="4" t="s">
        <v>77</v>
      </c>
      <c r="BY3" s="4" t="s">
        <v>78</v>
      </c>
      <c r="BZ3" s="4" t="s">
        <v>79</v>
      </c>
      <c r="CA3" s="4" t="s">
        <v>80</v>
      </c>
      <c r="CB3" s="4" t="s">
        <v>81</v>
      </c>
      <c r="CC3" s="4" t="s">
        <v>82</v>
      </c>
    </row>
    <row r="4" spans="1:81">
      <c r="A4" s="6">
        <v>1</v>
      </c>
      <c r="B4" s="7" t="s">
        <v>104</v>
      </c>
      <c r="C4" s="6">
        <v>7</v>
      </c>
      <c r="D4" s="8">
        <f>SUM(Data_PL5[[#This Row],[T1.2021]:[T12.2021]])</f>
        <v>417.15609999999998</v>
      </c>
      <c r="E4" s="8">
        <f>SUM(Data_PL5[[#This Row],[T1.2022]:[T12.2022]])</f>
        <v>3029</v>
      </c>
      <c r="F4" s="8">
        <f>SUM(Data_PL5[[#This Row],[T1.2023]:[T12.2023]])</f>
        <v>5651.7480000000005</v>
      </c>
      <c r="G4" s="8">
        <f>SUM(Data_PL5[[#This Row],[T01.2024]:[T12.2024]])</f>
        <v>4904</v>
      </c>
      <c r="H4" s="8">
        <f>SUM(Data_PL5[[#This Row],[T01.2025]:[T12.2025]])</f>
        <v>6160.6200000000008</v>
      </c>
      <c r="I4" s="8">
        <f>SUM(Data_PL5[[#This Row],[T01.2026]:[T12.2026]])</f>
        <v>2342.3630000000003</v>
      </c>
      <c r="J4" s="31">
        <v>32</v>
      </c>
      <c r="K4" s="31">
        <v>61</v>
      </c>
      <c r="L4" s="31">
        <v>92</v>
      </c>
      <c r="M4" s="31">
        <v>57</v>
      </c>
      <c r="N4" s="31">
        <v>39</v>
      </c>
      <c r="O4" s="31">
        <v>24</v>
      </c>
      <c r="P4" s="31">
        <v>16</v>
      </c>
      <c r="Q4" s="31">
        <v>0</v>
      </c>
      <c r="R4" s="31">
        <v>0</v>
      </c>
      <c r="S4" s="31">
        <v>0</v>
      </c>
      <c r="T4" s="31">
        <v>0.15609999999999999</v>
      </c>
      <c r="U4" s="31">
        <v>96</v>
      </c>
      <c r="V4" s="31">
        <v>60</v>
      </c>
      <c r="W4" s="31">
        <v>145</v>
      </c>
      <c r="X4" s="31">
        <v>194</v>
      </c>
      <c r="Y4" s="31">
        <v>178</v>
      </c>
      <c r="Z4" s="31">
        <v>181</v>
      </c>
      <c r="AA4" s="31">
        <v>245</v>
      </c>
      <c r="AB4" s="31">
        <v>161</v>
      </c>
      <c r="AC4" s="31">
        <v>268</v>
      </c>
      <c r="AD4" s="31">
        <v>329</v>
      </c>
      <c r="AE4" s="31">
        <v>282</v>
      </c>
      <c r="AF4" s="31">
        <v>414</v>
      </c>
      <c r="AG4" s="31">
        <v>572</v>
      </c>
      <c r="AH4" s="31">
        <v>186</v>
      </c>
      <c r="AI4" s="31">
        <v>413.61700000000002</v>
      </c>
      <c r="AJ4" s="31">
        <v>514</v>
      </c>
      <c r="AK4" s="31">
        <v>543.4</v>
      </c>
      <c r="AL4" s="31">
        <v>667.93100000000004</v>
      </c>
      <c r="AM4" s="31">
        <v>538</v>
      </c>
      <c r="AN4" s="31">
        <v>508</v>
      </c>
      <c r="AO4" s="31">
        <v>456</v>
      </c>
      <c r="AP4" s="31">
        <v>327</v>
      </c>
      <c r="AQ4" s="31">
        <v>392</v>
      </c>
      <c r="AR4" s="31">
        <v>512</v>
      </c>
      <c r="AS4" s="31">
        <v>593.79999999999995</v>
      </c>
      <c r="AT4" s="8">
        <v>454</v>
      </c>
      <c r="AU4" s="31">
        <v>427</v>
      </c>
      <c r="AV4" s="31">
        <v>528</v>
      </c>
      <c r="AW4" s="31">
        <v>341</v>
      </c>
      <c r="AX4" s="31">
        <v>491</v>
      </c>
      <c r="AY4" s="31">
        <v>473</v>
      </c>
      <c r="AZ4" s="31">
        <v>370</v>
      </c>
      <c r="BA4" s="31">
        <v>406</v>
      </c>
      <c r="BB4" s="31">
        <v>299</v>
      </c>
      <c r="BC4" s="31">
        <v>409</v>
      </c>
      <c r="BD4" s="32">
        <v>383</v>
      </c>
      <c r="BE4" s="33">
        <v>323</v>
      </c>
      <c r="BF4" s="8">
        <v>242.078</v>
      </c>
      <c r="BG4" s="31">
        <v>310.59300000000002</v>
      </c>
      <c r="BH4" s="31">
        <v>475.98700000000002</v>
      </c>
      <c r="BI4" s="31">
        <v>519.90300000000002</v>
      </c>
      <c r="BJ4" s="31">
        <v>467.35599999999999</v>
      </c>
      <c r="BK4" s="31">
        <v>510.435</v>
      </c>
      <c r="BL4" s="31">
        <v>718.97</v>
      </c>
      <c r="BM4" s="31">
        <v>711.69899999999996</v>
      </c>
      <c r="BN4" s="31">
        <v>591.82399999999996</v>
      </c>
      <c r="BO4" s="31">
        <v>543.36400000000003</v>
      </c>
      <c r="BP4" s="31">
        <v>454.67200000000003</v>
      </c>
      <c r="BQ4" s="31">
        <v>613.73900000000003</v>
      </c>
      <c r="BR4" s="31">
        <f>'[1]KQKD theo yeu to'!BL8</f>
        <v>580.27200000000005</v>
      </c>
      <c r="BS4" s="31">
        <f>'[1]KQKD theo yeu to'!BM8</f>
        <v>464.90899999999999</v>
      </c>
      <c r="BT4" s="31">
        <f>'[1]KQKD theo yeu to'!BN8</f>
        <v>656.06799999999998</v>
      </c>
      <c r="BU4" s="31">
        <f>'[1]KQKD theo yeu to'!BO8</f>
        <v>641.11400000000003</v>
      </c>
      <c r="BV4" s="31">
        <f>'[1]KQKD theo yeu to'!BP8</f>
        <v>0</v>
      </c>
      <c r="BW4" s="31">
        <f>'[1]KQKD theo yeu to'!BQ8</f>
        <v>0</v>
      </c>
      <c r="BX4" s="31">
        <f>'[1]KQKD theo yeu to'!BR8</f>
        <v>0</v>
      </c>
      <c r="BY4" s="31">
        <f>'[1]KQKD theo yeu to'!BS8</f>
        <v>0</v>
      </c>
      <c r="BZ4" s="31">
        <f>'[1]KQKD theo yeu to'!BT8</f>
        <v>0</v>
      </c>
      <c r="CA4" s="31">
        <f>'[1]KQKD theo yeu to'!BU8</f>
        <v>0</v>
      </c>
      <c r="CB4" s="31">
        <f>'[1]KQKD theo yeu to'!BV8</f>
        <v>0</v>
      </c>
      <c r="CC4" s="31">
        <f>'[1]KQKD theo yeu to'!BW8</f>
        <v>0</v>
      </c>
    </row>
    <row r="5" spans="1:81">
      <c r="A5" s="9">
        <v>2</v>
      </c>
      <c r="B5" s="10" t="s">
        <v>84</v>
      </c>
      <c r="C5" s="9">
        <v>7</v>
      </c>
      <c r="D5" s="9">
        <f>SUM(Data_PL5[[#This Row],[T1.2021]:[T12.2021]])</f>
        <v>4484708150</v>
      </c>
      <c r="E5" s="9">
        <f>SUM(Data_PL5[[#This Row],[T1.2022]:[T12.2022]])</f>
        <v>45767834776</v>
      </c>
      <c r="F5" s="9">
        <f>SUM(Data_PL5[[#This Row],[T1.2023]:[T12.2023]])</f>
        <v>78915665269</v>
      </c>
      <c r="G5" s="9">
        <f>SUM(Data_PL5[[#This Row],[T01.2024]:[T12.2024]])</f>
        <v>74523104085</v>
      </c>
      <c r="H5" s="9">
        <f>SUM(Data_PL5[[#This Row],[T01.2025]:[T12.2025]])</f>
        <v>102263015418</v>
      </c>
      <c r="I5" s="9">
        <f>SUM(Data_PL5[[#This Row],[T01.2026]:[T12.2026]])</f>
        <v>33478415002</v>
      </c>
      <c r="J5" s="11">
        <v>312737600</v>
      </c>
      <c r="K5" s="11">
        <v>606797380</v>
      </c>
      <c r="L5" s="11">
        <v>903716800</v>
      </c>
      <c r="M5" s="11">
        <v>584483600</v>
      </c>
      <c r="N5" s="11">
        <v>473255400</v>
      </c>
      <c r="O5" s="11">
        <v>327063600</v>
      </c>
      <c r="P5" s="11">
        <v>212259000</v>
      </c>
      <c r="Q5" s="11">
        <v>0</v>
      </c>
      <c r="R5" s="11">
        <v>0</v>
      </c>
      <c r="S5" s="11">
        <v>0</v>
      </c>
      <c r="T5" s="11">
        <v>23415000</v>
      </c>
      <c r="U5" s="11">
        <v>1040979770</v>
      </c>
      <c r="V5" s="11">
        <v>1387649940</v>
      </c>
      <c r="W5" s="11">
        <v>1583445960</v>
      </c>
      <c r="X5" s="11">
        <v>2573716230</v>
      </c>
      <c r="Y5" s="11">
        <v>2789415475</v>
      </c>
      <c r="Z5" s="11">
        <v>3061211620</v>
      </c>
      <c r="AA5" s="11">
        <v>4013573585</v>
      </c>
      <c r="AB5" s="11">
        <v>2566597774</v>
      </c>
      <c r="AC5" s="11">
        <v>4244037032</v>
      </c>
      <c r="AD5" s="11">
        <v>4500455270</v>
      </c>
      <c r="AE5" s="11">
        <v>4093507967</v>
      </c>
      <c r="AF5" s="11">
        <v>6936881675</v>
      </c>
      <c r="AG5" s="11">
        <v>8017342248</v>
      </c>
      <c r="AH5" s="11">
        <v>2672344837</v>
      </c>
      <c r="AI5" s="11">
        <v>4854309360</v>
      </c>
      <c r="AJ5" s="11">
        <v>6533069323</v>
      </c>
      <c r="AK5" s="11">
        <v>8443399962</v>
      </c>
      <c r="AL5" s="11">
        <v>10076762540</v>
      </c>
      <c r="AM5" s="11">
        <v>6865915296</v>
      </c>
      <c r="AN5" s="11">
        <v>6253371756</v>
      </c>
      <c r="AO5" s="11">
        <v>5694464185</v>
      </c>
      <c r="AP5" s="11">
        <v>4475524426</v>
      </c>
      <c r="AQ5" s="11">
        <v>6155131250</v>
      </c>
      <c r="AR5" s="11">
        <v>7975368000</v>
      </c>
      <c r="AS5" s="11">
        <v>8916004334</v>
      </c>
      <c r="AT5" s="11">
        <v>6816503925</v>
      </c>
      <c r="AU5" s="11">
        <v>6039598500</v>
      </c>
      <c r="AV5" s="11">
        <v>7858071500</v>
      </c>
      <c r="AW5" s="11">
        <v>5360336000</v>
      </c>
      <c r="AX5" s="11">
        <v>7701926000</v>
      </c>
      <c r="AY5" s="11">
        <v>7405493500</v>
      </c>
      <c r="AZ5" s="11">
        <v>5356795000</v>
      </c>
      <c r="BA5" s="11">
        <v>5872209850</v>
      </c>
      <c r="BB5" s="11">
        <v>4632824810</v>
      </c>
      <c r="BC5" s="11">
        <v>6376620000</v>
      </c>
      <c r="BD5" s="11">
        <v>6008306800</v>
      </c>
      <c r="BE5" s="11">
        <v>5094418200</v>
      </c>
      <c r="BF5" s="11">
        <v>3795897480</v>
      </c>
      <c r="BG5" s="11">
        <v>5012982676</v>
      </c>
      <c r="BH5" s="11">
        <v>8087243089</v>
      </c>
      <c r="BI5" s="11">
        <v>9694585314</v>
      </c>
      <c r="BJ5" s="11">
        <v>8388349104</v>
      </c>
      <c r="BK5" s="11">
        <v>9515421651</v>
      </c>
      <c r="BL5" s="11">
        <v>13592588554</v>
      </c>
      <c r="BM5" s="11">
        <v>12421660930</v>
      </c>
      <c r="BN5" s="11">
        <v>8808063400</v>
      </c>
      <c r="BO5" s="11">
        <v>7719934000</v>
      </c>
      <c r="BP5" s="11">
        <v>6532057500</v>
      </c>
      <c r="BQ5" s="11">
        <v>8694231720</v>
      </c>
      <c r="BR5" s="53">
        <v>8331190500</v>
      </c>
      <c r="BS5" s="11">
        <v>6640520862</v>
      </c>
      <c r="BT5" s="11">
        <v>9363644480</v>
      </c>
      <c r="BU5" s="54">
        <v>9143059160</v>
      </c>
      <c r="BV5" s="11"/>
      <c r="BW5" s="11"/>
      <c r="BX5" s="11"/>
      <c r="BY5" s="11"/>
      <c r="BZ5" s="11"/>
      <c r="CA5" s="11"/>
      <c r="CB5" s="11"/>
      <c r="CC5" s="11"/>
    </row>
    <row r="6" spans="1:81">
      <c r="A6" s="12">
        <v>3</v>
      </c>
      <c r="B6" s="13" t="s">
        <v>85</v>
      </c>
      <c r="C6" s="12">
        <v>7</v>
      </c>
      <c r="D6" s="12">
        <f>SUM(Data_PL5[[#This Row],[T1.2021]:[T12.2021]])</f>
        <v>0</v>
      </c>
      <c r="E6" s="12">
        <f>SUM(Data_PL5[[#This Row],[T1.2022]:[T12.2022]])</f>
        <v>0</v>
      </c>
      <c r="F6" s="12">
        <f>SUM(Data_PL5[[#This Row],[T1.2023]:[T12.2023]])</f>
        <v>0</v>
      </c>
      <c r="G6" s="12">
        <f>SUM(Data_PL5[[#This Row],[T01.2024]:[T12.2024]])</f>
        <v>0</v>
      </c>
      <c r="H6" s="12">
        <f>SUM(Data_PL5[[#This Row],[T01.2025]:[T12.2025]])</f>
        <v>0</v>
      </c>
      <c r="I6" s="12">
        <f>SUM(Data_PL5[[#This Row],[T01.2026]:[T12.2026]])</f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/>
      <c r="AF6" s="14" t="s">
        <v>106</v>
      </c>
      <c r="AG6" s="14">
        <v>0</v>
      </c>
      <c r="AH6" s="14">
        <v>0</v>
      </c>
      <c r="AI6" s="14">
        <v>0</v>
      </c>
      <c r="AJ6" s="14">
        <v>0</v>
      </c>
      <c r="AK6" s="14"/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38">
        <v>0</v>
      </c>
      <c r="AX6" s="38">
        <v>0</v>
      </c>
      <c r="AY6" s="38">
        <v>0</v>
      </c>
      <c r="AZ6" s="38">
        <v>0</v>
      </c>
      <c r="BA6" s="38">
        <v>0</v>
      </c>
      <c r="BB6" s="38">
        <v>0</v>
      </c>
      <c r="BC6" s="38">
        <v>0</v>
      </c>
      <c r="BD6" s="38">
        <v>0</v>
      </c>
      <c r="BE6" s="39">
        <v>0</v>
      </c>
      <c r="BF6" s="39">
        <v>0</v>
      </c>
      <c r="BG6" s="39">
        <v>0</v>
      </c>
      <c r="BH6" s="39">
        <v>0</v>
      </c>
      <c r="BI6" s="39">
        <v>0</v>
      </c>
      <c r="BJ6" s="39">
        <v>0</v>
      </c>
      <c r="BK6" s="39">
        <v>0</v>
      </c>
      <c r="BL6" s="39">
        <v>0</v>
      </c>
      <c r="BM6" s="39">
        <v>0</v>
      </c>
      <c r="BN6" s="39">
        <v>0</v>
      </c>
      <c r="BO6" s="39">
        <v>0</v>
      </c>
      <c r="BP6" s="39"/>
      <c r="BQ6" s="39"/>
      <c r="BR6" s="39"/>
      <c r="BS6" s="39"/>
      <c r="BT6" s="39"/>
      <c r="BU6" s="55"/>
      <c r="BV6" s="39"/>
      <c r="BW6" s="39"/>
      <c r="BX6" s="39"/>
      <c r="BY6" s="39"/>
      <c r="BZ6" s="39"/>
      <c r="CA6" s="39"/>
      <c r="CB6" s="39"/>
      <c r="CC6" s="39"/>
    </row>
    <row r="7" spans="1:81">
      <c r="A7" s="15">
        <v>4</v>
      </c>
      <c r="B7" s="10" t="s">
        <v>86</v>
      </c>
      <c r="C7" s="15">
        <v>7</v>
      </c>
      <c r="D7" s="15">
        <f>SUM(Data_PL5[[#This Row],[T1.2021]:[T12.2021]])</f>
        <v>4484708150</v>
      </c>
      <c r="E7" s="15">
        <f>SUM(Data_PL5[[#This Row],[T1.2022]:[T12.2022]])</f>
        <v>45767834776</v>
      </c>
      <c r="F7" s="15">
        <f>SUM(Data_PL5[[#This Row],[T1.2023]:[T12.2023]])</f>
        <v>78915665269</v>
      </c>
      <c r="G7" s="15">
        <f>SUM(Data_PL5[[#This Row],[T01.2024]:[T12.2024]])</f>
        <v>74523104085</v>
      </c>
      <c r="H7" s="15">
        <f>SUM(Data_PL5[[#This Row],[T01.2025]:[T12.2025]])</f>
        <v>102263015418</v>
      </c>
      <c r="I7" s="15">
        <f>SUM(Data_PL5[[#This Row],[T01.2026]:[T12.2026]])</f>
        <v>33478415002</v>
      </c>
      <c r="J7" s="16">
        <v>312737600</v>
      </c>
      <c r="K7" s="16">
        <v>606797380</v>
      </c>
      <c r="L7" s="16">
        <v>903716800</v>
      </c>
      <c r="M7" s="16">
        <v>584483600</v>
      </c>
      <c r="N7" s="16">
        <v>473255400</v>
      </c>
      <c r="O7" s="16">
        <v>327063600</v>
      </c>
      <c r="P7" s="16">
        <v>212259000</v>
      </c>
      <c r="Q7" s="16">
        <v>0</v>
      </c>
      <c r="R7" s="16">
        <v>0</v>
      </c>
      <c r="S7" s="16">
        <v>0</v>
      </c>
      <c r="T7" s="16">
        <v>23415000</v>
      </c>
      <c r="U7" s="16">
        <v>1040979770</v>
      </c>
      <c r="V7" s="16">
        <v>1387649940</v>
      </c>
      <c r="W7" s="16">
        <v>1583445960</v>
      </c>
      <c r="X7" s="16">
        <v>2573716230</v>
      </c>
      <c r="Y7" s="16">
        <v>2789415475</v>
      </c>
      <c r="Z7" s="16">
        <v>3061211620</v>
      </c>
      <c r="AA7" s="16">
        <v>4013573585</v>
      </c>
      <c r="AB7" s="16">
        <v>2566597774</v>
      </c>
      <c r="AC7" s="16">
        <v>4244037032</v>
      </c>
      <c r="AD7" s="16">
        <v>4500455270</v>
      </c>
      <c r="AE7" s="16">
        <v>4093507967</v>
      </c>
      <c r="AF7" s="16">
        <v>6936881675</v>
      </c>
      <c r="AG7" s="16">
        <v>8017342248</v>
      </c>
      <c r="AH7" s="16">
        <v>2672344837</v>
      </c>
      <c r="AI7" s="16">
        <v>4854309360</v>
      </c>
      <c r="AJ7" s="16">
        <v>6533069323</v>
      </c>
      <c r="AK7" s="16">
        <v>8443399962</v>
      </c>
      <c r="AL7" s="16">
        <v>10076762540</v>
      </c>
      <c r="AM7" s="16">
        <v>6865915296</v>
      </c>
      <c r="AN7" s="16">
        <v>6253371756</v>
      </c>
      <c r="AO7" s="16">
        <v>5694464185</v>
      </c>
      <c r="AP7" s="16">
        <v>4475524426</v>
      </c>
      <c r="AQ7" s="16">
        <v>6155131250</v>
      </c>
      <c r="AR7" s="16">
        <v>7975368000</v>
      </c>
      <c r="AS7" s="16">
        <v>8916004334</v>
      </c>
      <c r="AT7" s="16">
        <v>6816503925</v>
      </c>
      <c r="AU7" s="16">
        <v>6039598500</v>
      </c>
      <c r="AV7" s="16">
        <v>7858071500</v>
      </c>
      <c r="AW7" s="16">
        <v>5360336000</v>
      </c>
      <c r="AX7" s="16">
        <v>7701926000</v>
      </c>
      <c r="AY7" s="16">
        <v>7405493500</v>
      </c>
      <c r="AZ7" s="16">
        <v>5356795000</v>
      </c>
      <c r="BA7" s="16">
        <v>5872209850</v>
      </c>
      <c r="BB7" s="16">
        <v>4632824810</v>
      </c>
      <c r="BC7" s="16">
        <v>6376620000</v>
      </c>
      <c r="BD7" s="16">
        <v>6008306800</v>
      </c>
      <c r="BE7" s="42">
        <v>5094418200</v>
      </c>
      <c r="BF7" s="42">
        <v>3795897480</v>
      </c>
      <c r="BG7" s="42">
        <v>5012982676</v>
      </c>
      <c r="BH7" s="42">
        <v>8087243089</v>
      </c>
      <c r="BI7" s="42">
        <v>9694585314</v>
      </c>
      <c r="BJ7" s="42">
        <v>8388349104</v>
      </c>
      <c r="BK7" s="42">
        <v>9515421651</v>
      </c>
      <c r="BL7" s="42">
        <v>13592588554</v>
      </c>
      <c r="BM7" s="42">
        <v>12421660930</v>
      </c>
      <c r="BN7" s="42">
        <v>8808063400</v>
      </c>
      <c r="BO7" s="42">
        <v>7719934000</v>
      </c>
      <c r="BP7" s="42">
        <v>6532057500</v>
      </c>
      <c r="BQ7" s="42">
        <v>8694231720</v>
      </c>
      <c r="BR7" s="42">
        <f>BR5</f>
        <v>8331190500</v>
      </c>
      <c r="BS7" s="42">
        <v>6640520862</v>
      </c>
      <c r="BT7" s="42">
        <v>9363644480</v>
      </c>
      <c r="BU7" s="56">
        <v>9143059160</v>
      </c>
      <c r="BV7" s="42"/>
      <c r="BW7" s="42"/>
      <c r="BX7" s="42"/>
      <c r="BY7" s="42"/>
      <c r="BZ7" s="42"/>
      <c r="CA7" s="42"/>
      <c r="CB7" s="42"/>
      <c r="CC7" s="42"/>
    </row>
    <row r="8" spans="1:81" ht="15.5">
      <c r="A8" s="17">
        <v>5</v>
      </c>
      <c r="B8" s="13" t="s">
        <v>87</v>
      </c>
      <c r="C8" s="17">
        <v>7</v>
      </c>
      <c r="D8" s="12">
        <f>SUM(Data_PL5[[#This Row],[T1.2021]:[T12.2021]])</f>
        <v>4241284606</v>
      </c>
      <c r="E8" s="12">
        <f>SUM(Data_PL5[[#This Row],[T1.2022]:[T12.2022]])</f>
        <v>41683827544.940704</v>
      </c>
      <c r="F8" s="12">
        <f>SUM(Data_PL5[[#This Row],[T1.2023]:[T12.2023]])</f>
        <v>66674046263</v>
      </c>
      <c r="G8" s="12">
        <f>SUM(Data_PL5[[#This Row],[T01.2024]:[T12.2024]])</f>
        <v>73456683084</v>
      </c>
      <c r="H8" s="12">
        <f>SUM(Data_PL5[[#This Row],[T01.2025]:[T12.2025]])</f>
        <v>92839155156</v>
      </c>
      <c r="I8" s="12">
        <f>SUM(Data_PL5[[#This Row],[T01.2026]:[T12.2026]])</f>
        <v>29200841249</v>
      </c>
      <c r="J8" s="14">
        <v>307386576</v>
      </c>
      <c r="K8" s="14">
        <v>594551595</v>
      </c>
      <c r="L8" s="14">
        <v>883311950</v>
      </c>
      <c r="M8" s="14">
        <v>545112534</v>
      </c>
      <c r="N8" s="14">
        <v>429782229</v>
      </c>
      <c r="O8" s="14">
        <v>297804989</v>
      </c>
      <c r="P8" s="14">
        <v>190295081</v>
      </c>
      <c r="Q8" s="14">
        <v>0</v>
      </c>
      <c r="R8" s="14">
        <v>0</v>
      </c>
      <c r="S8" s="14">
        <v>0</v>
      </c>
      <c r="T8" s="14">
        <v>0</v>
      </c>
      <c r="U8" s="14">
        <v>993039652</v>
      </c>
      <c r="V8" s="14">
        <v>925318497</v>
      </c>
      <c r="W8" s="14">
        <v>1707322194</v>
      </c>
      <c r="X8" s="14">
        <v>2217846032</v>
      </c>
      <c r="Y8" s="14">
        <v>2602912448</v>
      </c>
      <c r="Z8" s="14">
        <v>2370282789</v>
      </c>
      <c r="AA8" s="14">
        <v>3820527867</v>
      </c>
      <c r="AB8" s="14">
        <v>2211991801</v>
      </c>
      <c r="AC8" s="14">
        <v>3337732602</v>
      </c>
      <c r="AD8" s="14">
        <v>3917856191</v>
      </c>
      <c r="AE8" s="14">
        <v>3981567453.9407091</v>
      </c>
      <c r="AF8" s="14">
        <v>5471834459</v>
      </c>
      <c r="AG8" s="14">
        <v>9118635211</v>
      </c>
      <c r="AH8" s="14">
        <v>1959307170</v>
      </c>
      <c r="AI8" s="14">
        <v>4350442102</v>
      </c>
      <c r="AJ8" s="14">
        <v>6113575485</v>
      </c>
      <c r="AK8" s="14">
        <v>6988900943</v>
      </c>
      <c r="AL8" s="14">
        <v>7690397229</v>
      </c>
      <c r="AM8" s="14">
        <v>5623409224</v>
      </c>
      <c r="AN8" s="14">
        <v>5700764058</v>
      </c>
      <c r="AO8" s="14">
        <v>4951896169</v>
      </c>
      <c r="AP8" s="14">
        <v>3904690074</v>
      </c>
      <c r="AQ8" s="14">
        <v>5122380259</v>
      </c>
      <c r="AR8" s="14">
        <v>6706430896</v>
      </c>
      <c r="AS8" s="14">
        <v>7561852654</v>
      </c>
      <c r="AT8" s="18">
        <v>6559783004</v>
      </c>
      <c r="AU8" s="14">
        <v>5886345396</v>
      </c>
      <c r="AV8" s="14">
        <v>7324351881</v>
      </c>
      <c r="AW8" s="44">
        <v>5224998353</v>
      </c>
      <c r="AX8" s="44">
        <v>7764479089</v>
      </c>
      <c r="AY8" s="44">
        <v>7281939097</v>
      </c>
      <c r="AZ8" s="44">
        <v>5437205244</v>
      </c>
      <c r="BA8" s="44">
        <v>5773497558</v>
      </c>
      <c r="BB8" s="44">
        <v>4867603245</v>
      </c>
      <c r="BC8" s="44">
        <v>6301887244</v>
      </c>
      <c r="BD8" s="45">
        <v>5850497140</v>
      </c>
      <c r="BE8" s="44">
        <v>5184095833</v>
      </c>
      <c r="BF8" s="44">
        <v>4115294618</v>
      </c>
      <c r="BG8" s="44">
        <v>5323842751</v>
      </c>
      <c r="BH8" s="44">
        <v>7964328238</v>
      </c>
      <c r="BI8" s="44">
        <v>8541162245</v>
      </c>
      <c r="BJ8" s="44">
        <v>7739685565</v>
      </c>
      <c r="BK8" s="44">
        <v>8523016034</v>
      </c>
      <c r="BL8" s="44">
        <v>11750480818</v>
      </c>
      <c r="BM8" s="44">
        <v>10965244594</v>
      </c>
      <c r="BN8" s="44">
        <v>8023329011</v>
      </c>
      <c r="BO8" s="44">
        <v>6836790306</v>
      </c>
      <c r="BP8" s="44">
        <v>5683019867</v>
      </c>
      <c r="BQ8" s="44">
        <v>7372961109</v>
      </c>
      <c r="BR8" s="44">
        <v>7000379183</v>
      </c>
      <c r="BS8" s="44">
        <v>6068834875</v>
      </c>
      <c r="BT8" s="44">
        <v>8096833514</v>
      </c>
      <c r="BU8" s="57">
        <v>8034793677</v>
      </c>
      <c r="BV8" s="44"/>
      <c r="BW8" s="44"/>
      <c r="BX8" s="44"/>
      <c r="BY8" s="44"/>
      <c r="BZ8" s="44"/>
      <c r="CA8" s="44"/>
      <c r="CB8" s="44"/>
      <c r="CC8" s="44"/>
    </row>
    <row r="9" spans="1:81">
      <c r="A9" s="19">
        <v>6</v>
      </c>
      <c r="B9" s="10" t="s">
        <v>88</v>
      </c>
      <c r="C9" s="19">
        <v>7</v>
      </c>
      <c r="D9" s="19">
        <f>SUM(Data_PL5[[#This Row],[T1.2021]:[T12.2021]])</f>
        <v>243423544</v>
      </c>
      <c r="E9" s="19">
        <f>SUM(Data_PL5[[#This Row],[T1.2022]:[T12.2022]])</f>
        <v>4104990139.0592909</v>
      </c>
      <c r="F9" s="19">
        <f>SUM(Data_PL5[[#This Row],[T1.2023]:[T12.2023]])</f>
        <v>12241619006</v>
      </c>
      <c r="G9" s="19">
        <f>SUM(Data_PL5[[#This Row],[T01.2024]:[T12.2024]])</f>
        <v>1066421001</v>
      </c>
      <c r="H9" s="19">
        <f>SUM(Data_PL5[[#This Row],[T01.2025]:[T12.2025]])</f>
        <v>9423860262</v>
      </c>
      <c r="I9" s="19">
        <f>SUM(Data_PL5[[#This Row],[T01.2026]:[T12.2026]])</f>
        <v>4277573753</v>
      </c>
      <c r="J9" s="20">
        <v>5351024</v>
      </c>
      <c r="K9" s="20">
        <v>12245785</v>
      </c>
      <c r="L9" s="20">
        <v>20404850</v>
      </c>
      <c r="M9" s="20">
        <v>39371066</v>
      </c>
      <c r="N9" s="20">
        <v>43473171</v>
      </c>
      <c r="O9" s="20">
        <v>29258611</v>
      </c>
      <c r="P9" s="20">
        <v>21963919</v>
      </c>
      <c r="Q9" s="20">
        <v>0</v>
      </c>
      <c r="R9" s="20">
        <v>0</v>
      </c>
      <c r="S9" s="20">
        <v>0</v>
      </c>
      <c r="T9" s="20">
        <v>23415000</v>
      </c>
      <c r="U9" s="20">
        <v>47940118</v>
      </c>
      <c r="V9" s="20">
        <v>462331443</v>
      </c>
      <c r="W9" s="20">
        <v>-123876234</v>
      </c>
      <c r="X9" s="20">
        <v>355870198</v>
      </c>
      <c r="Y9" s="20">
        <v>186503027</v>
      </c>
      <c r="Z9" s="20">
        <v>690928831</v>
      </c>
      <c r="AA9" s="20">
        <v>193045718</v>
      </c>
      <c r="AB9" s="20">
        <v>354605973</v>
      </c>
      <c r="AC9" s="20">
        <v>906304430</v>
      </c>
      <c r="AD9" s="20">
        <v>582599079</v>
      </c>
      <c r="AE9" s="20">
        <v>111940513.05929089</v>
      </c>
      <c r="AF9" s="20">
        <v>1486030124</v>
      </c>
      <c r="AG9" s="20">
        <v>-1101292963</v>
      </c>
      <c r="AH9" s="20">
        <v>713037667</v>
      </c>
      <c r="AI9" s="20">
        <v>503867258</v>
      </c>
      <c r="AJ9" s="20">
        <v>419493838</v>
      </c>
      <c r="AK9" s="20">
        <v>1454499019</v>
      </c>
      <c r="AL9" s="20">
        <v>2386365311</v>
      </c>
      <c r="AM9" s="20">
        <v>1242506072</v>
      </c>
      <c r="AN9" s="20">
        <v>552607698</v>
      </c>
      <c r="AO9" s="20">
        <v>742568016</v>
      </c>
      <c r="AP9" s="20">
        <v>570834352</v>
      </c>
      <c r="AQ9" s="20">
        <v>1032750991</v>
      </c>
      <c r="AR9" s="20">
        <v>1268937104</v>
      </c>
      <c r="AS9" s="20">
        <v>1354151680</v>
      </c>
      <c r="AT9" s="20">
        <v>256720921</v>
      </c>
      <c r="AU9" s="20">
        <v>153253104</v>
      </c>
      <c r="AV9" s="20">
        <v>533719619</v>
      </c>
      <c r="AW9" s="20">
        <v>135337647</v>
      </c>
      <c r="AX9" s="20">
        <v>-62553089</v>
      </c>
      <c r="AY9" s="20">
        <v>123554403</v>
      </c>
      <c r="AZ9" s="20">
        <v>-80410244</v>
      </c>
      <c r="BA9" s="20">
        <v>98712292</v>
      </c>
      <c r="BB9" s="20">
        <v>-234778435</v>
      </c>
      <c r="BC9" s="20">
        <v>74732756</v>
      </c>
      <c r="BD9" s="20">
        <v>157809660</v>
      </c>
      <c r="BE9" s="20">
        <v>-89677633</v>
      </c>
      <c r="BF9" s="20">
        <v>-319397138</v>
      </c>
      <c r="BG9" s="20">
        <v>-310860075</v>
      </c>
      <c r="BH9" s="20">
        <v>122914851</v>
      </c>
      <c r="BI9" s="20">
        <v>1153423069</v>
      </c>
      <c r="BJ9" s="20">
        <v>648663539</v>
      </c>
      <c r="BK9" s="20">
        <v>992405617</v>
      </c>
      <c r="BL9" s="20">
        <v>1842107736</v>
      </c>
      <c r="BM9" s="20">
        <v>1456416336</v>
      </c>
      <c r="BN9" s="20">
        <v>784734389</v>
      </c>
      <c r="BO9" s="20">
        <v>883143694</v>
      </c>
      <c r="BP9" s="20">
        <v>849037633</v>
      </c>
      <c r="BQ9" s="20">
        <v>1321270611</v>
      </c>
      <c r="BR9" s="20">
        <f>BR7-BR8</f>
        <v>1330811317</v>
      </c>
      <c r="BS9" s="20">
        <v>571685987</v>
      </c>
      <c r="BT9" s="20">
        <v>1266810966</v>
      </c>
      <c r="BU9" s="58">
        <v>1108265483</v>
      </c>
      <c r="BV9" s="20"/>
      <c r="BW9" s="20"/>
      <c r="BX9" s="20"/>
      <c r="BY9" s="20"/>
      <c r="BZ9" s="20"/>
      <c r="CA9" s="20"/>
      <c r="CB9" s="20"/>
      <c r="CC9" s="20"/>
    </row>
    <row r="10" spans="1:81">
      <c r="A10" s="19">
        <v>7</v>
      </c>
      <c r="B10" s="10" t="s">
        <v>89</v>
      </c>
      <c r="C10" s="19">
        <v>7</v>
      </c>
      <c r="D10" s="19">
        <f>SUM(Data_PL5[[#This Row],[T1.2021]:[T12.2021]])</f>
        <v>0</v>
      </c>
      <c r="E10" s="19">
        <f>SUM(Data_PL5[[#This Row],[T1.2022]:[T12.2022]])</f>
        <v>0</v>
      </c>
      <c r="F10" s="19">
        <f>SUM(Data_PL5[[#This Row],[T1.2023]:[T12.2023]])</f>
        <v>0</v>
      </c>
      <c r="G10" s="19">
        <f>SUM(Data_PL5[[#This Row],[T01.2024]:[T12.2024]])</f>
        <v>0</v>
      </c>
      <c r="H10" s="19">
        <f>SUM(Data_PL5[[#This Row],[T01.2025]:[T12.2025]])</f>
        <v>0</v>
      </c>
      <c r="I10" s="19">
        <f>SUM(Data_PL5[[#This Row],[T01.2026]:[T12.2026]])</f>
        <v>0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59" t="s">
        <v>107</v>
      </c>
      <c r="BV10" s="20"/>
      <c r="BW10" s="20"/>
      <c r="BX10" s="20"/>
      <c r="BY10" s="20"/>
      <c r="BZ10" s="20"/>
      <c r="CA10" s="20"/>
      <c r="CB10" s="20"/>
      <c r="CC10" s="20"/>
    </row>
    <row r="11" spans="1:81">
      <c r="A11" s="12">
        <v>8</v>
      </c>
      <c r="B11" s="13" t="s">
        <v>90</v>
      </c>
      <c r="C11" s="12">
        <v>7</v>
      </c>
      <c r="D11" s="12">
        <f>SUM(Data_PL5[[#This Row],[T1.2021]:[T12.2021]])</f>
        <v>2333856</v>
      </c>
      <c r="E11" s="12">
        <f>SUM(Data_PL5[[#This Row],[T1.2022]:[T12.2022]])</f>
        <v>2627533</v>
      </c>
      <c r="F11" s="12">
        <f>SUM(Data_PL5[[#This Row],[T1.2023]:[T12.2023]])</f>
        <v>4823037</v>
      </c>
      <c r="G11" s="12">
        <f>SUM(Data_PL5[[#This Row],[T01.2024]:[T12.2024]])</f>
        <v>438643</v>
      </c>
      <c r="H11" s="12">
        <f>SUM(Data_PL5[[#This Row],[T01.2025]:[T12.2025]])</f>
        <v>25757691</v>
      </c>
      <c r="I11" s="12">
        <f>SUM(Data_PL5[[#This Row],[T01.2026]:[T12.2026]])</f>
        <v>49665428</v>
      </c>
      <c r="J11" s="14">
        <v>318142</v>
      </c>
      <c r="K11" s="14">
        <v>320963</v>
      </c>
      <c r="L11" s="14">
        <v>233602</v>
      </c>
      <c r="M11" s="14">
        <v>61216</v>
      </c>
      <c r="N11" s="14">
        <v>35718</v>
      </c>
      <c r="O11" s="14">
        <v>34791</v>
      </c>
      <c r="P11" s="14">
        <v>12026</v>
      </c>
      <c r="Q11" s="14">
        <v>150953</v>
      </c>
      <c r="R11" s="14">
        <v>154805</v>
      </c>
      <c r="S11" s="14">
        <v>33961</v>
      </c>
      <c r="T11" s="14">
        <v>393956</v>
      </c>
      <c r="U11" s="14">
        <v>583723</v>
      </c>
      <c r="V11" s="14">
        <v>188347</v>
      </c>
      <c r="W11" s="14">
        <v>108270</v>
      </c>
      <c r="X11" s="14">
        <v>116336</v>
      </c>
      <c r="Y11" s="14">
        <v>112685</v>
      </c>
      <c r="Z11" s="14">
        <v>69856</v>
      </c>
      <c r="AA11" s="14">
        <v>58583</v>
      </c>
      <c r="AB11" s="14">
        <v>58534</v>
      </c>
      <c r="AC11" s="14">
        <v>31901</v>
      </c>
      <c r="AD11" s="14">
        <v>52284</v>
      </c>
      <c r="AE11" s="14">
        <v>76465</v>
      </c>
      <c r="AF11" s="14">
        <v>917457</v>
      </c>
      <c r="AG11" s="14">
        <v>836815</v>
      </c>
      <c r="AH11" s="14">
        <v>1927792</v>
      </c>
      <c r="AI11" s="14">
        <v>898359</v>
      </c>
      <c r="AJ11" s="14">
        <v>313046</v>
      </c>
      <c r="AK11" s="14">
        <v>305664</v>
      </c>
      <c r="AL11" s="14">
        <v>225244</v>
      </c>
      <c r="AM11" s="14">
        <v>179902</v>
      </c>
      <c r="AN11" s="14">
        <v>290077</v>
      </c>
      <c r="AO11" s="14">
        <v>217696</v>
      </c>
      <c r="AP11" s="14">
        <v>212651</v>
      </c>
      <c r="AQ11" s="14">
        <v>199782</v>
      </c>
      <c r="AR11" s="14">
        <v>37087</v>
      </c>
      <c r="AS11" s="14">
        <v>15737</v>
      </c>
      <c r="AT11" s="14">
        <v>25689</v>
      </c>
      <c r="AU11" s="14">
        <v>15096</v>
      </c>
      <c r="AV11" s="14">
        <v>20265</v>
      </c>
      <c r="AW11" s="38">
        <v>39658</v>
      </c>
      <c r="AX11" s="38">
        <v>32454</v>
      </c>
      <c r="AY11" s="38">
        <v>31525</v>
      </c>
      <c r="AZ11" s="38">
        <v>35902</v>
      </c>
      <c r="BA11" s="38">
        <v>42375</v>
      </c>
      <c r="BB11" s="38">
        <v>48870</v>
      </c>
      <c r="BC11" s="38">
        <v>40410</v>
      </c>
      <c r="BD11" s="38">
        <v>56627</v>
      </c>
      <c r="BE11" s="39">
        <v>49772</v>
      </c>
      <c r="BF11" s="39">
        <v>29372</v>
      </c>
      <c r="BG11" s="39">
        <v>5534452</v>
      </c>
      <c r="BH11" s="39">
        <v>11730</v>
      </c>
      <c r="BI11" s="39">
        <v>32915</v>
      </c>
      <c r="BJ11" s="39">
        <v>29738</v>
      </c>
      <c r="BK11" s="39">
        <v>31894</v>
      </c>
      <c r="BL11" s="39">
        <v>35475</v>
      </c>
      <c r="BM11" s="39">
        <v>52005</v>
      </c>
      <c r="BN11" s="39">
        <v>67306</v>
      </c>
      <c r="BO11" s="39">
        <v>64017</v>
      </c>
      <c r="BP11" s="39">
        <v>74303</v>
      </c>
      <c r="BQ11" s="39">
        <v>19794484</v>
      </c>
      <c r="BR11" s="39">
        <v>21329</v>
      </c>
      <c r="BS11" s="39">
        <v>29022</v>
      </c>
      <c r="BT11" s="39">
        <v>37724173</v>
      </c>
      <c r="BU11" s="55">
        <v>11890904</v>
      </c>
      <c r="BV11" s="39"/>
      <c r="BW11" s="39"/>
      <c r="BX11" s="39"/>
      <c r="BY11" s="39"/>
      <c r="BZ11" s="39"/>
      <c r="CA11" s="39"/>
      <c r="CB11" s="39"/>
      <c r="CC11" s="39"/>
    </row>
    <row r="12" spans="1:81">
      <c r="A12" s="9">
        <v>9</v>
      </c>
      <c r="B12" s="10" t="s">
        <v>91</v>
      </c>
      <c r="C12" s="9">
        <v>7</v>
      </c>
      <c r="D12" s="9">
        <f>SUM(Data_PL5[[#This Row],[T1.2021]:[T12.2021]])</f>
        <v>0</v>
      </c>
      <c r="E12" s="9">
        <f>SUM(Data_PL5[[#This Row],[T1.2022]:[T12.2022]])</f>
        <v>0</v>
      </c>
      <c r="F12" s="9">
        <f>SUM(Data_PL5[[#This Row],[T1.2023]:[T12.2023]])</f>
        <v>0</v>
      </c>
      <c r="G12" s="9">
        <f>SUM(Data_PL5[[#This Row],[T01.2024]:[T12.2024]])</f>
        <v>0</v>
      </c>
      <c r="H12" s="9">
        <f>SUM(Data_PL5[[#This Row],[T01.2025]:[T12.2025]])</f>
        <v>0</v>
      </c>
      <c r="I12" s="9">
        <f>SUM(Data_PL5[[#This Row],[T01.2026]:[T12.2026]])</f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/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48">
        <v>0</v>
      </c>
      <c r="BF12" s="48">
        <v>0</v>
      </c>
      <c r="BG12" s="48">
        <v>0</v>
      </c>
      <c r="BH12" s="48">
        <v>0</v>
      </c>
      <c r="BI12" s="48">
        <v>0</v>
      </c>
      <c r="BJ12" s="48">
        <v>0</v>
      </c>
      <c r="BK12" s="48">
        <v>0</v>
      </c>
      <c r="BL12" s="48">
        <v>0</v>
      </c>
      <c r="BM12" s="48">
        <v>0</v>
      </c>
      <c r="BN12" s="48">
        <v>0</v>
      </c>
      <c r="BO12" s="48">
        <v>0</v>
      </c>
      <c r="BP12" s="48"/>
      <c r="BQ12" s="48"/>
      <c r="BR12" s="48"/>
      <c r="BS12" s="48"/>
      <c r="BT12" s="48"/>
      <c r="BU12" s="56" t="s">
        <v>107</v>
      </c>
      <c r="BV12" s="48"/>
      <c r="BW12" s="48"/>
      <c r="BX12" s="48"/>
      <c r="BY12" s="48"/>
      <c r="BZ12" s="48"/>
      <c r="CA12" s="48"/>
      <c r="CB12" s="48"/>
      <c r="CC12" s="48"/>
    </row>
    <row r="13" spans="1:81">
      <c r="A13" s="12">
        <v>10</v>
      </c>
      <c r="B13" s="21" t="s">
        <v>92</v>
      </c>
      <c r="C13" s="12">
        <v>7</v>
      </c>
      <c r="D13" s="12">
        <f>SUM(Data_PL5[[#This Row],[T1.2021]:[T12.2021]])</f>
        <v>0</v>
      </c>
      <c r="E13" s="12">
        <f>SUM(Data_PL5[[#This Row],[T1.2022]:[T12.2022]])</f>
        <v>0</v>
      </c>
      <c r="F13" s="12">
        <f>SUM(Data_PL5[[#This Row],[T1.2023]:[T12.2023]])</f>
        <v>0</v>
      </c>
      <c r="G13" s="12">
        <f>SUM(Data_PL5[[#This Row],[T01.2024]:[T12.2024]])</f>
        <v>0</v>
      </c>
      <c r="H13" s="12">
        <f>SUM(Data_PL5[[#This Row],[T01.2025]:[T12.2025]])</f>
        <v>0</v>
      </c>
      <c r="I13" s="12">
        <f>SUM(Data_PL5[[#This Row],[T01.2026]:[T12.2026]])</f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/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38">
        <v>0</v>
      </c>
      <c r="AX13" s="38">
        <v>0</v>
      </c>
      <c r="AY13" s="38">
        <v>0</v>
      </c>
      <c r="AZ13" s="38">
        <v>0</v>
      </c>
      <c r="BA13" s="38">
        <v>0</v>
      </c>
      <c r="BB13" s="38">
        <v>0</v>
      </c>
      <c r="BC13" s="38">
        <v>0</v>
      </c>
      <c r="BD13" s="38">
        <v>0</v>
      </c>
      <c r="BE13" s="39">
        <v>0</v>
      </c>
      <c r="BF13" s="39">
        <v>0</v>
      </c>
      <c r="BG13" s="39">
        <v>0</v>
      </c>
      <c r="BH13" s="39">
        <v>0</v>
      </c>
      <c r="BI13" s="39">
        <v>0</v>
      </c>
      <c r="BJ13" s="39">
        <v>0</v>
      </c>
      <c r="BK13" s="39">
        <v>0</v>
      </c>
      <c r="BL13" s="39">
        <v>0</v>
      </c>
      <c r="BM13" s="39">
        <v>0</v>
      </c>
      <c r="BN13" s="39">
        <v>0</v>
      </c>
      <c r="BO13" s="39">
        <v>0</v>
      </c>
      <c r="BP13" s="39"/>
      <c r="BQ13" s="39"/>
      <c r="BR13" s="39"/>
      <c r="BS13" s="39"/>
      <c r="BT13" s="39"/>
      <c r="BU13" s="55" t="s">
        <v>107</v>
      </c>
      <c r="BV13" s="39"/>
      <c r="BW13" s="39"/>
      <c r="BX13" s="39"/>
      <c r="BY13" s="39"/>
      <c r="BZ13" s="39"/>
      <c r="CA13" s="39"/>
      <c r="CB13" s="39"/>
      <c r="CC13" s="39"/>
    </row>
    <row r="14" spans="1:81">
      <c r="A14" s="12">
        <v>11</v>
      </c>
      <c r="B14" s="13" t="s">
        <v>93</v>
      </c>
      <c r="C14" s="12">
        <v>7</v>
      </c>
      <c r="D14" s="12">
        <f>SUM(Data_PL5[[#This Row],[T1.2021]:[T12.2021]])</f>
        <v>625397809</v>
      </c>
      <c r="E14" s="12">
        <f>SUM(Data_PL5[[#This Row],[T1.2022]:[T12.2022]])</f>
        <v>1467610767</v>
      </c>
      <c r="F14" s="12">
        <f>SUM(Data_PL5[[#This Row],[T1.2023]:[T12.2023]])</f>
        <v>8774366106</v>
      </c>
      <c r="G14" s="12">
        <f>SUM(Data_PL5[[#This Row],[T01.2024]:[T12.2024]])</f>
        <v>1294051828</v>
      </c>
      <c r="H14" s="12">
        <f>SUM(Data_PL5[[#This Row],[T01.2025]:[T12.2025]])</f>
        <v>1386300000</v>
      </c>
      <c r="I14" s="12">
        <f>SUM(Data_PL5[[#This Row],[T01.2026]:[T12.2026]])</f>
        <v>491400000</v>
      </c>
      <c r="J14" s="14">
        <v>124600000</v>
      </c>
      <c r="K14" s="14">
        <v>137482710</v>
      </c>
      <c r="L14" s="14">
        <v>167076390</v>
      </c>
      <c r="M14" s="14">
        <v>43940000</v>
      </c>
      <c r="N14" s="14">
        <v>54150000</v>
      </c>
      <c r="O14" s="14">
        <v>51400000</v>
      </c>
      <c r="P14" s="14">
        <v>31900000</v>
      </c>
      <c r="Q14" s="14">
        <v>3257800</v>
      </c>
      <c r="R14" s="14">
        <v>0</v>
      </c>
      <c r="S14" s="14">
        <v>0</v>
      </c>
      <c r="T14" s="14">
        <v>0</v>
      </c>
      <c r="U14" s="14">
        <v>11590909</v>
      </c>
      <c r="V14" s="14">
        <v>19977518</v>
      </c>
      <c r="W14" s="14">
        <v>32702728</v>
      </c>
      <c r="X14" s="14">
        <v>33368636</v>
      </c>
      <c r="Y14" s="14">
        <v>25171391</v>
      </c>
      <c r="Z14" s="14">
        <v>41525527</v>
      </c>
      <c r="AA14" s="14">
        <v>40466172</v>
      </c>
      <c r="AB14" s="14">
        <v>44065127</v>
      </c>
      <c r="AC14" s="14">
        <v>49489591</v>
      </c>
      <c r="AD14" s="14">
        <v>63884844</v>
      </c>
      <c r="AE14" s="14">
        <v>-800000</v>
      </c>
      <c r="AF14" s="14">
        <v>544659282</v>
      </c>
      <c r="AG14" s="14">
        <v>573099951</v>
      </c>
      <c r="AH14" s="14">
        <v>962814777</v>
      </c>
      <c r="AI14" s="14">
        <v>637316957</v>
      </c>
      <c r="AJ14" s="14">
        <v>714463931</v>
      </c>
      <c r="AK14" s="14">
        <v>772770445</v>
      </c>
      <c r="AL14" s="14">
        <v>899348766</v>
      </c>
      <c r="AM14" s="14">
        <v>1010824035</v>
      </c>
      <c r="AN14" s="14">
        <v>741281738</v>
      </c>
      <c r="AO14" s="14">
        <v>719882492</v>
      </c>
      <c r="AP14" s="14">
        <v>503759926</v>
      </c>
      <c r="AQ14" s="14">
        <v>501487798</v>
      </c>
      <c r="AR14" s="14">
        <v>675805769</v>
      </c>
      <c r="AS14" s="14">
        <v>634609472</v>
      </c>
      <c r="AT14" s="14">
        <v>133375123</v>
      </c>
      <c r="AU14" s="14">
        <v>153076705</v>
      </c>
      <c r="AV14" s="14">
        <v>183500000</v>
      </c>
      <c r="AW14" s="38">
        <v>113500000</v>
      </c>
      <c r="AX14" s="38">
        <v>148600000</v>
      </c>
      <c r="AY14" s="38">
        <v>115000000</v>
      </c>
      <c r="AZ14" s="38">
        <v>78000000</v>
      </c>
      <c r="BA14" s="38">
        <v>88000000</v>
      </c>
      <c r="BB14" s="38">
        <v>88400000</v>
      </c>
      <c r="BC14" s="38">
        <v>71100000</v>
      </c>
      <c r="BD14" s="38">
        <v>64500000</v>
      </c>
      <c r="BE14" s="38">
        <v>57000000</v>
      </c>
      <c r="BF14" s="38">
        <v>37500000</v>
      </c>
      <c r="BG14" s="38">
        <v>70500000</v>
      </c>
      <c r="BH14" s="38">
        <v>103500000</v>
      </c>
      <c r="BI14" s="38">
        <v>129000000</v>
      </c>
      <c r="BJ14" s="38">
        <v>111000000</v>
      </c>
      <c r="BK14" s="38">
        <v>116500000</v>
      </c>
      <c r="BL14" s="38">
        <v>172500000</v>
      </c>
      <c r="BM14" s="38">
        <v>164700000</v>
      </c>
      <c r="BN14" s="38">
        <v>127600000</v>
      </c>
      <c r="BO14" s="38">
        <v>115500000</v>
      </c>
      <c r="BP14" s="38">
        <v>100000000</v>
      </c>
      <c r="BQ14" s="38">
        <v>138000000</v>
      </c>
      <c r="BR14" s="38">
        <v>128500000</v>
      </c>
      <c r="BS14" s="38">
        <v>102500000</v>
      </c>
      <c r="BT14" s="38">
        <v>145600000</v>
      </c>
      <c r="BU14" s="60">
        <v>114800000</v>
      </c>
      <c r="BV14" s="38"/>
      <c r="BW14" s="38"/>
      <c r="BX14" s="38"/>
      <c r="BY14" s="38"/>
      <c r="BZ14" s="38"/>
      <c r="CA14" s="38"/>
      <c r="CB14" s="38"/>
      <c r="CC14" s="38"/>
    </row>
    <row r="15" spans="1:81">
      <c r="A15" s="12">
        <v>12</v>
      </c>
      <c r="B15" s="13" t="s">
        <v>94</v>
      </c>
      <c r="C15" s="12">
        <v>7</v>
      </c>
      <c r="D15" s="12">
        <f>SUM(Data_PL5[[#This Row],[T1.2021]:[T12.2021]])</f>
        <v>2039891685</v>
      </c>
      <c r="E15" s="12">
        <f>SUM(Data_PL5[[#This Row],[T1.2022]:[T12.2022]])</f>
        <v>1927652229</v>
      </c>
      <c r="F15" s="12">
        <f>SUM(Data_PL5[[#This Row],[T1.2023]:[T12.2023]])</f>
        <v>4010468134</v>
      </c>
      <c r="G15" s="12">
        <f>SUM(Data_PL5[[#This Row],[T01.2024]:[T12.2024]])</f>
        <v>1998229844</v>
      </c>
      <c r="H15" s="12">
        <f>SUM(Data_PL5[[#This Row],[T01.2025]:[T12.2025]])</f>
        <v>4197280868</v>
      </c>
      <c r="I15" s="12">
        <f>SUM(Data_PL5[[#This Row],[T01.2026]:[T12.2026]])</f>
        <v>1524959825</v>
      </c>
      <c r="J15" s="14">
        <v>290450887</v>
      </c>
      <c r="K15" s="14">
        <v>130936346</v>
      </c>
      <c r="L15" s="14">
        <v>143934808</v>
      </c>
      <c r="M15" s="14">
        <v>216650285</v>
      </c>
      <c r="N15" s="14">
        <v>149107773</v>
      </c>
      <c r="O15" s="14">
        <v>141204731</v>
      </c>
      <c r="P15" s="14">
        <v>118353303</v>
      </c>
      <c r="Q15" s="14">
        <v>97570688</v>
      </c>
      <c r="R15" s="14">
        <v>123041539</v>
      </c>
      <c r="S15" s="14">
        <v>154194004</v>
      </c>
      <c r="T15" s="14">
        <v>201891032</v>
      </c>
      <c r="U15" s="14">
        <v>272556289</v>
      </c>
      <c r="V15" s="14">
        <v>75508157</v>
      </c>
      <c r="W15" s="14">
        <v>93356278</v>
      </c>
      <c r="X15" s="14">
        <v>70003962</v>
      </c>
      <c r="Y15" s="14">
        <v>72286603</v>
      </c>
      <c r="Z15" s="14">
        <v>67380693</v>
      </c>
      <c r="AA15" s="14">
        <v>90342388</v>
      </c>
      <c r="AB15" s="14">
        <v>65440018</v>
      </c>
      <c r="AC15" s="14">
        <v>69282072</v>
      </c>
      <c r="AD15" s="14">
        <v>67377790</v>
      </c>
      <c r="AE15" s="14">
        <v>95150209</v>
      </c>
      <c r="AF15" s="14">
        <v>549676445</v>
      </c>
      <c r="AG15" s="14">
        <v>611847614</v>
      </c>
      <c r="AH15" s="14">
        <v>437925898</v>
      </c>
      <c r="AI15" s="14">
        <v>280408198</v>
      </c>
      <c r="AJ15" s="14">
        <v>331111159</v>
      </c>
      <c r="AK15" s="14">
        <v>406104277</v>
      </c>
      <c r="AL15" s="14">
        <v>397327338</v>
      </c>
      <c r="AM15" s="14">
        <v>419101489</v>
      </c>
      <c r="AN15" s="14">
        <v>339062283</v>
      </c>
      <c r="AO15" s="14">
        <v>323040469</v>
      </c>
      <c r="AP15" s="14">
        <v>314799888</v>
      </c>
      <c r="AQ15" s="14">
        <v>316250411</v>
      </c>
      <c r="AR15" s="14">
        <v>312166512</v>
      </c>
      <c r="AS15" s="14">
        <v>133170212</v>
      </c>
      <c r="AT15" s="14">
        <v>108609904</v>
      </c>
      <c r="AU15" s="14">
        <v>112973768</v>
      </c>
      <c r="AV15" s="14">
        <v>101629977</v>
      </c>
      <c r="AW15" s="38">
        <v>115745156</v>
      </c>
      <c r="AX15" s="38">
        <v>112729162</v>
      </c>
      <c r="AY15" s="38">
        <v>120069599</v>
      </c>
      <c r="AZ15" s="38">
        <v>160850671</v>
      </c>
      <c r="BA15" s="38">
        <v>405694070</v>
      </c>
      <c r="BB15" s="38">
        <v>233540627</v>
      </c>
      <c r="BC15" s="38">
        <v>92522618</v>
      </c>
      <c r="BD15" s="38">
        <v>230673757</v>
      </c>
      <c r="BE15" s="38">
        <v>203190535</v>
      </c>
      <c r="BF15" s="38">
        <v>352795333</v>
      </c>
      <c r="BG15" s="38">
        <v>295358943</v>
      </c>
      <c r="BH15" s="38">
        <v>271063548</v>
      </c>
      <c r="BI15" s="38">
        <v>313168414</v>
      </c>
      <c r="BJ15" s="38">
        <v>312964157</v>
      </c>
      <c r="BK15" s="38">
        <v>275253185</v>
      </c>
      <c r="BL15" s="38">
        <v>348145066</v>
      </c>
      <c r="BM15" s="38">
        <v>329900505</v>
      </c>
      <c r="BN15" s="38">
        <v>317487600</v>
      </c>
      <c r="BO15" s="38">
        <v>350884750</v>
      </c>
      <c r="BP15" s="38">
        <v>369111823</v>
      </c>
      <c r="BQ15" s="38">
        <v>661147544</v>
      </c>
      <c r="BR15" s="38">
        <v>408101430</v>
      </c>
      <c r="BS15" s="38">
        <v>323633206</v>
      </c>
      <c r="BT15" s="38">
        <v>385055662</v>
      </c>
      <c r="BU15" s="60">
        <v>408169527</v>
      </c>
      <c r="BV15" s="38"/>
      <c r="BW15" s="38"/>
      <c r="BX15" s="38"/>
      <c r="BY15" s="38"/>
      <c r="BZ15" s="38"/>
      <c r="CA15" s="38"/>
      <c r="CB15" s="38"/>
      <c r="CC15" s="38"/>
    </row>
    <row r="16" spans="1:81">
      <c r="A16" s="9">
        <v>13</v>
      </c>
      <c r="B16" s="10" t="s">
        <v>95</v>
      </c>
      <c r="C16" s="9">
        <v>7</v>
      </c>
      <c r="D16" s="9">
        <f>SUM(Data_PL5[[#This Row],[T1.2021]:[T12.2021]])</f>
        <v>-2419532094</v>
      </c>
      <c r="E16" s="9">
        <f>SUM(Data_PL5[[#This Row],[T1.2022]:[T12.2022]])</f>
        <v>712354676.05929089</v>
      </c>
      <c r="F16" s="9">
        <f>SUM(Data_PL5[[#This Row],[T1.2023]:[T12.2023]])</f>
        <v>-538392197</v>
      </c>
      <c r="G16" s="9">
        <f>SUM(Data_PL5[[#This Row],[T01.2024]:[T12.2024]])</f>
        <v>-2224797028</v>
      </c>
      <c r="H16" s="9">
        <f>SUM(Data_PL5[[#This Row],[T01.2025]:[T12.2025]])</f>
        <v>3866037085</v>
      </c>
      <c r="I16" s="9">
        <f>SUM(Data_PL5[[#This Row],[T01.2026]:[T12.2026]])</f>
        <v>2310879356</v>
      </c>
      <c r="J16" s="11">
        <v>-409381721</v>
      </c>
      <c r="K16" s="11">
        <v>-255852308</v>
      </c>
      <c r="L16" s="11">
        <v>-290372746</v>
      </c>
      <c r="M16" s="11">
        <v>-221158003</v>
      </c>
      <c r="N16" s="11">
        <v>-159748884</v>
      </c>
      <c r="O16" s="11">
        <v>-163311329</v>
      </c>
      <c r="P16" s="11">
        <v>-128277358</v>
      </c>
      <c r="Q16" s="11">
        <v>-100677535</v>
      </c>
      <c r="R16" s="11">
        <v>-122886734</v>
      </c>
      <c r="S16" s="11">
        <v>-154160043</v>
      </c>
      <c r="T16" s="11">
        <v>-178082076</v>
      </c>
      <c r="U16" s="11">
        <v>-235623357</v>
      </c>
      <c r="V16" s="11">
        <v>367034115</v>
      </c>
      <c r="W16" s="11">
        <v>-249826970</v>
      </c>
      <c r="X16" s="11">
        <v>252613936</v>
      </c>
      <c r="Y16" s="11">
        <v>89157718</v>
      </c>
      <c r="Z16" s="11">
        <v>582092467</v>
      </c>
      <c r="AA16" s="11">
        <v>62295741</v>
      </c>
      <c r="AB16" s="11">
        <v>245159362</v>
      </c>
      <c r="AC16" s="11">
        <v>787564668</v>
      </c>
      <c r="AD16" s="11">
        <v>451388729</v>
      </c>
      <c r="AE16" s="11">
        <v>17666769.059290886</v>
      </c>
      <c r="AF16" s="11">
        <v>392611854</v>
      </c>
      <c r="AG16" s="11">
        <v>-2285403713</v>
      </c>
      <c r="AH16" s="11">
        <v>-685775216</v>
      </c>
      <c r="AI16" s="11">
        <v>-412959538</v>
      </c>
      <c r="AJ16" s="11">
        <v>-625768206</v>
      </c>
      <c r="AK16" s="11">
        <v>275929961</v>
      </c>
      <c r="AL16" s="11">
        <v>1089914451</v>
      </c>
      <c r="AM16" s="11">
        <v>-187239550</v>
      </c>
      <c r="AN16" s="11">
        <v>-527446246</v>
      </c>
      <c r="AO16" s="11">
        <v>-300137249</v>
      </c>
      <c r="AP16" s="11">
        <v>-247512811</v>
      </c>
      <c r="AQ16" s="11">
        <v>215212564</v>
      </c>
      <c r="AR16" s="11">
        <v>281001910</v>
      </c>
      <c r="AS16" s="11">
        <v>586387733</v>
      </c>
      <c r="AT16" s="11">
        <v>14761583</v>
      </c>
      <c r="AU16" s="11">
        <v>-112782273</v>
      </c>
      <c r="AV16" s="11">
        <v>248609907</v>
      </c>
      <c r="AW16" s="11">
        <v>-93867851</v>
      </c>
      <c r="AX16" s="11">
        <v>-323849797</v>
      </c>
      <c r="AY16" s="11">
        <v>-111483671</v>
      </c>
      <c r="AZ16" s="11">
        <v>-319225013</v>
      </c>
      <c r="BA16" s="11">
        <v>-394314403</v>
      </c>
      <c r="BB16" s="11">
        <v>-556670192</v>
      </c>
      <c r="BC16" s="11">
        <v>-88849452</v>
      </c>
      <c r="BD16" s="11">
        <v>-137307470</v>
      </c>
      <c r="BE16" s="48">
        <v>-349818396</v>
      </c>
      <c r="BF16" s="48">
        <v>-709663099</v>
      </c>
      <c r="BG16" s="48">
        <v>-671184566</v>
      </c>
      <c r="BH16" s="48">
        <v>-251636967</v>
      </c>
      <c r="BI16" s="48">
        <v>711287570</v>
      </c>
      <c r="BJ16" s="48">
        <v>224729120</v>
      </c>
      <c r="BK16" s="48">
        <v>600684326</v>
      </c>
      <c r="BL16" s="48">
        <v>1321498145</v>
      </c>
      <c r="BM16" s="48">
        <v>961867836</v>
      </c>
      <c r="BN16" s="48">
        <v>339714095</v>
      </c>
      <c r="BO16" s="48">
        <v>416822961</v>
      </c>
      <c r="BP16" s="48">
        <v>380000113</v>
      </c>
      <c r="BQ16" s="48">
        <f>+BQ9+BQ11-BQ12-BQ14-BQ15</f>
        <v>541917551</v>
      </c>
      <c r="BR16" s="48">
        <f>BR9+BR11-BR14-BR15</f>
        <v>794231216</v>
      </c>
      <c r="BS16" s="48">
        <v>145581803</v>
      </c>
      <c r="BT16" s="48">
        <v>773879477</v>
      </c>
      <c r="BU16" s="56">
        <v>597186860</v>
      </c>
      <c r="BV16" s="48"/>
      <c r="BW16" s="48"/>
      <c r="BX16" s="48"/>
      <c r="BY16" s="48"/>
      <c r="BZ16" s="48"/>
      <c r="CA16" s="48"/>
      <c r="CB16" s="48"/>
      <c r="CC16" s="48"/>
    </row>
    <row r="17" spans="1:81">
      <c r="A17" s="12">
        <v>14</v>
      </c>
      <c r="B17" s="13" t="s">
        <v>96</v>
      </c>
      <c r="C17" s="12">
        <v>7</v>
      </c>
      <c r="D17" s="12">
        <f>SUM(Data_PL5[[#This Row],[T1.2021]:[T12.2021]])</f>
        <v>1770000</v>
      </c>
      <c r="E17" s="12">
        <f>SUM(Data_PL5[[#This Row],[T1.2022]:[T12.2022]])</f>
        <v>1540177563</v>
      </c>
      <c r="F17" s="12">
        <f>SUM(Data_PL5[[#This Row],[T1.2023]:[T12.2023]])</f>
        <v>153685000</v>
      </c>
      <c r="G17" s="12">
        <f>SUM(Data_PL5[[#This Row],[T01.2024]:[T12.2024]])</f>
        <v>4158777</v>
      </c>
      <c r="H17" s="12">
        <f>SUM(Data_PL5[[#This Row],[T01.2025]:[T12.2025]])</f>
        <v>365637245</v>
      </c>
      <c r="I17" s="12">
        <f>SUM(Data_PL5[[#This Row],[T01.2026]:[T12.2026]])</f>
        <v>116055781</v>
      </c>
      <c r="J17" s="14">
        <v>0</v>
      </c>
      <c r="K17" s="14">
        <v>0</v>
      </c>
      <c r="L17" s="14">
        <v>810000</v>
      </c>
      <c r="M17" s="14">
        <v>0</v>
      </c>
      <c r="N17" s="14">
        <v>960000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334571363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2400200</v>
      </c>
      <c r="AF17" s="14">
        <v>948405000</v>
      </c>
      <c r="AG17" s="14">
        <v>254801000</v>
      </c>
      <c r="AH17" s="14">
        <v>26130000</v>
      </c>
      <c r="AI17" s="14">
        <v>3000000</v>
      </c>
      <c r="AJ17" s="14">
        <v>1200000</v>
      </c>
      <c r="AK17" s="14">
        <v>710000</v>
      </c>
      <c r="AL17" s="14">
        <v>200000</v>
      </c>
      <c r="AM17" s="14">
        <v>4200000</v>
      </c>
      <c r="AN17" s="14">
        <v>16400000</v>
      </c>
      <c r="AO17" s="14">
        <v>200000</v>
      </c>
      <c r="AP17" s="14">
        <v>0</v>
      </c>
      <c r="AQ17" s="14">
        <v>200000</v>
      </c>
      <c r="AR17" s="14">
        <v>0</v>
      </c>
      <c r="AS17" s="14">
        <v>101445000</v>
      </c>
      <c r="AT17" s="14">
        <v>0</v>
      </c>
      <c r="AU17" s="14">
        <v>1097349</v>
      </c>
      <c r="AV17" s="14">
        <v>0</v>
      </c>
      <c r="AW17" s="38">
        <v>0</v>
      </c>
      <c r="AX17" s="38">
        <v>0</v>
      </c>
      <c r="AY17" s="38">
        <v>0</v>
      </c>
      <c r="AZ17" s="38">
        <v>927028</v>
      </c>
      <c r="BA17" s="38">
        <v>0</v>
      </c>
      <c r="BB17" s="38">
        <v>0</v>
      </c>
      <c r="BC17" s="38">
        <v>0</v>
      </c>
      <c r="BD17" s="38">
        <v>2134400</v>
      </c>
      <c r="BE17" s="39">
        <v>0</v>
      </c>
      <c r="BF17" s="39">
        <v>21584470</v>
      </c>
      <c r="BG17" s="39">
        <v>5000000</v>
      </c>
      <c r="BH17" s="39">
        <v>0</v>
      </c>
      <c r="BI17" s="39">
        <v>0</v>
      </c>
      <c r="BJ17" s="39">
        <v>0</v>
      </c>
      <c r="BK17" s="39">
        <v>38848871</v>
      </c>
      <c r="BL17" s="39">
        <v>192651</v>
      </c>
      <c r="BM17" s="39">
        <v>244036935</v>
      </c>
      <c r="BN17" s="39">
        <v>60000</v>
      </c>
      <c r="BO17" s="39">
        <v>75000</v>
      </c>
      <c r="BP17" s="39">
        <v>-84500</v>
      </c>
      <c r="BQ17" s="39">
        <v>55923818</v>
      </c>
      <c r="BR17" s="39">
        <v>20577776</v>
      </c>
      <c r="BS17" s="39">
        <v>7185766</v>
      </c>
      <c r="BT17" s="39">
        <v>63682976</v>
      </c>
      <c r="BU17" s="55">
        <v>24609263</v>
      </c>
      <c r="BV17" s="39"/>
      <c r="BW17" s="39"/>
      <c r="BX17" s="39"/>
      <c r="BY17" s="39"/>
      <c r="BZ17" s="39"/>
      <c r="CA17" s="39"/>
      <c r="CB17" s="39"/>
      <c r="CC17" s="39"/>
    </row>
    <row r="18" spans="1:81">
      <c r="A18" s="12">
        <v>15</v>
      </c>
      <c r="B18" s="13" t="s">
        <v>97</v>
      </c>
      <c r="C18" s="12">
        <v>7</v>
      </c>
      <c r="D18" s="12">
        <f>SUM(Data_PL5[[#This Row],[T1.2021]:[T12.2021]])</f>
        <v>0</v>
      </c>
      <c r="E18" s="12">
        <f>SUM(Data_PL5[[#This Row],[T1.2022]:[T12.2022]])</f>
        <v>1428405000</v>
      </c>
      <c r="F18" s="12">
        <f>SUM(Data_PL5[[#This Row],[T1.2023]:[T12.2023]])</f>
        <v>38870907</v>
      </c>
      <c r="G18" s="12">
        <f>SUM(Data_PL5[[#This Row],[T01.2024]:[T12.2024]])</f>
        <v>30720540</v>
      </c>
      <c r="H18" s="12">
        <f>SUM(Data_PL5[[#This Row],[T01.2025]:[T12.2025]])</f>
        <v>26544890</v>
      </c>
      <c r="I18" s="12">
        <f>SUM(Data_PL5[[#This Row],[T01.2026]:[T12.2026]])</f>
        <v>572396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265000000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/>
      <c r="AF18" s="14">
        <v>948405000</v>
      </c>
      <c r="AG18" s="14">
        <v>215000000</v>
      </c>
      <c r="AH18" s="14">
        <v>35745455</v>
      </c>
      <c r="AI18" s="14">
        <v>0</v>
      </c>
      <c r="AJ18" s="14">
        <v>3125452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21650000</v>
      </c>
      <c r="AU18" s="14">
        <v>0</v>
      </c>
      <c r="AV18" s="14">
        <v>2961692</v>
      </c>
      <c r="AW18" s="38">
        <v>1535462</v>
      </c>
      <c r="AX18" s="38">
        <v>0</v>
      </c>
      <c r="AY18" s="38">
        <v>0</v>
      </c>
      <c r="AZ18" s="38">
        <v>0</v>
      </c>
      <c r="BA18" s="38">
        <v>812640</v>
      </c>
      <c r="BB18" s="38">
        <v>0</v>
      </c>
      <c r="BC18" s="38">
        <v>1609246</v>
      </c>
      <c r="BD18" s="38">
        <v>2151500</v>
      </c>
      <c r="BE18" s="39">
        <v>0</v>
      </c>
      <c r="BF18" s="39">
        <v>21650000</v>
      </c>
      <c r="BG18" s="39">
        <v>12</v>
      </c>
      <c r="BH18" s="39">
        <v>0</v>
      </c>
      <c r="BI18" s="39">
        <v>0</v>
      </c>
      <c r="BJ18" s="39">
        <v>0</v>
      </c>
      <c r="BK18" s="39">
        <v>4346108</v>
      </c>
      <c r="BL18" s="39">
        <v>10140</v>
      </c>
      <c r="BM18" s="39">
        <v>3</v>
      </c>
      <c r="BN18" s="39">
        <v>43112</v>
      </c>
      <c r="BO18" s="39">
        <v>494540</v>
      </c>
      <c r="BP18" s="39"/>
      <c r="BQ18" s="39">
        <v>975</v>
      </c>
      <c r="BR18" s="39">
        <v>-4</v>
      </c>
      <c r="BS18" s="39">
        <v>300000</v>
      </c>
      <c r="BT18" s="39">
        <v>52000</v>
      </c>
      <c r="BU18" s="55">
        <v>220400</v>
      </c>
      <c r="BV18" s="39"/>
      <c r="BW18" s="39"/>
      <c r="BX18" s="39"/>
      <c r="BY18" s="39"/>
      <c r="BZ18" s="39"/>
      <c r="CA18" s="39"/>
      <c r="CB18" s="39"/>
      <c r="CC18" s="39"/>
    </row>
    <row r="19" spans="1:81">
      <c r="A19" s="9">
        <v>16</v>
      </c>
      <c r="B19" s="10" t="s">
        <v>98</v>
      </c>
      <c r="C19" s="9">
        <v>7</v>
      </c>
      <c r="D19" s="9">
        <f>SUM(Data_PL5[[#This Row],[T1.2021]:[T12.2021]])</f>
        <v>1770000</v>
      </c>
      <c r="E19" s="9">
        <f>SUM(Data_PL5[[#This Row],[T1.2022]:[T12.2022]])</f>
        <v>111772563</v>
      </c>
      <c r="F19" s="9">
        <f>SUM(Data_PL5[[#This Row],[T1.2023]:[T12.2023]])</f>
        <v>114814093</v>
      </c>
      <c r="G19" s="9">
        <f>SUM(Data_PL5[[#This Row],[T01.2024]:[T12.2024]])</f>
        <v>-26561763</v>
      </c>
      <c r="H19" s="9">
        <f>SUM(Data_PL5[[#This Row],[T01.2025]:[T12.2025]])</f>
        <v>339092355</v>
      </c>
      <c r="I19" s="9">
        <f>SUM(Data_PL5[[#This Row],[T01.2026]:[T12.2026]])</f>
        <v>115483385</v>
      </c>
      <c r="J19" s="11">
        <v>0</v>
      </c>
      <c r="K19" s="11">
        <v>0</v>
      </c>
      <c r="L19" s="11">
        <v>810000</v>
      </c>
      <c r="M19" s="11">
        <v>0</v>
      </c>
      <c r="N19" s="11">
        <v>960000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69571363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2400200</v>
      </c>
      <c r="AF19" s="11"/>
      <c r="AG19" s="11">
        <v>39801000</v>
      </c>
      <c r="AH19" s="11">
        <v>-9615455</v>
      </c>
      <c r="AI19" s="11">
        <v>3000000</v>
      </c>
      <c r="AJ19" s="11">
        <v>-1925452</v>
      </c>
      <c r="AK19" s="11">
        <v>710000</v>
      </c>
      <c r="AL19" s="11">
        <v>200000</v>
      </c>
      <c r="AM19" s="11">
        <v>4200000</v>
      </c>
      <c r="AN19" s="11">
        <v>16400000</v>
      </c>
      <c r="AO19" s="11">
        <v>200000</v>
      </c>
      <c r="AP19" s="11">
        <v>0</v>
      </c>
      <c r="AQ19" s="11">
        <v>200000</v>
      </c>
      <c r="AR19" s="11">
        <v>0</v>
      </c>
      <c r="AS19" s="11">
        <v>101445000</v>
      </c>
      <c r="AT19" s="11">
        <v>-21650000</v>
      </c>
      <c r="AU19" s="11">
        <v>1097349</v>
      </c>
      <c r="AV19" s="11">
        <v>-2961692</v>
      </c>
      <c r="AW19" s="11">
        <v>-1535462</v>
      </c>
      <c r="AX19" s="11">
        <v>0</v>
      </c>
      <c r="AY19" s="11">
        <v>0</v>
      </c>
      <c r="AZ19" s="11">
        <v>927028</v>
      </c>
      <c r="BA19" s="11">
        <v>-812640</v>
      </c>
      <c r="BB19" s="11">
        <v>0</v>
      </c>
      <c r="BC19" s="11">
        <v>-1609246</v>
      </c>
      <c r="BD19" s="11">
        <v>-17100</v>
      </c>
      <c r="BE19" s="48">
        <v>0</v>
      </c>
      <c r="BF19" s="48">
        <v>-65530</v>
      </c>
      <c r="BG19" s="48">
        <v>4999988</v>
      </c>
      <c r="BH19" s="48">
        <v>0</v>
      </c>
      <c r="BI19" s="48">
        <v>0</v>
      </c>
      <c r="BJ19" s="48">
        <v>0</v>
      </c>
      <c r="BK19" s="48">
        <v>34502763</v>
      </c>
      <c r="BL19" s="48">
        <v>182511</v>
      </c>
      <c r="BM19" s="48">
        <v>244036932</v>
      </c>
      <c r="BN19" s="48">
        <v>16888</v>
      </c>
      <c r="BO19" s="48">
        <v>-419540</v>
      </c>
      <c r="BP19" s="48">
        <v>-84500</v>
      </c>
      <c r="BQ19" s="48">
        <v>55922843</v>
      </c>
      <c r="BR19" s="48">
        <v>20577780</v>
      </c>
      <c r="BS19" s="48">
        <v>6885766</v>
      </c>
      <c r="BT19" s="48">
        <v>63630976</v>
      </c>
      <c r="BU19" s="56">
        <v>24388863</v>
      </c>
      <c r="BV19" s="48"/>
      <c r="BW19" s="48"/>
      <c r="BX19" s="48"/>
      <c r="BY19" s="48"/>
      <c r="BZ19" s="48"/>
      <c r="CA19" s="48"/>
      <c r="CB19" s="48"/>
      <c r="CC19" s="48"/>
    </row>
    <row r="20" spans="1:81">
      <c r="A20" s="15">
        <v>17</v>
      </c>
      <c r="B20" s="10" t="s">
        <v>99</v>
      </c>
      <c r="C20" s="15">
        <v>7</v>
      </c>
      <c r="D20" s="15">
        <f>SUM(Data_PL5[[#This Row],[T1.2021]:[T12.2021]])</f>
        <v>-2417762094</v>
      </c>
      <c r="E20" s="15">
        <f>SUM(Data_PL5[[#This Row],[T1.2022]:[T12.2022]])</f>
        <v>803144331.05929089</v>
      </c>
      <c r="F20" s="15">
        <f>SUM(Data_PL5[[#This Row],[T1.2023]:[T12.2023]])</f>
        <v>-423578104</v>
      </c>
      <c r="G20" s="15">
        <f>SUM(Data_PL5[[#This Row],[T01.2024]:[T12.2024]])</f>
        <v>-2251983791</v>
      </c>
      <c r="H20" s="15">
        <f>SUM(Data_PL5[[#This Row],[T01.2025]:[T12.2025]])</f>
        <v>4205129440</v>
      </c>
      <c r="I20" s="15">
        <f>SUM(Data_PL5[[#This Row],[T01.2026]:[T12.2026]])</f>
        <v>2426362741</v>
      </c>
      <c r="J20" s="16">
        <v>-409381721</v>
      </c>
      <c r="K20" s="16">
        <v>-255852308</v>
      </c>
      <c r="L20" s="16">
        <v>-289562746</v>
      </c>
      <c r="M20" s="16">
        <v>-221158003</v>
      </c>
      <c r="N20" s="16">
        <v>-158788884</v>
      </c>
      <c r="O20" s="16">
        <v>-163311329</v>
      </c>
      <c r="P20" s="16">
        <v>-128277358</v>
      </c>
      <c r="Q20" s="16">
        <v>-100677535</v>
      </c>
      <c r="R20" s="16">
        <v>-122886734</v>
      </c>
      <c r="S20" s="16">
        <v>-154160043</v>
      </c>
      <c r="T20" s="16">
        <v>-178082076</v>
      </c>
      <c r="U20" s="16">
        <v>-235623357</v>
      </c>
      <c r="V20" s="16">
        <v>436605478</v>
      </c>
      <c r="W20" s="16">
        <v>-249826970</v>
      </c>
      <c r="X20" s="16">
        <v>252613936</v>
      </c>
      <c r="Y20" s="16">
        <v>89157718</v>
      </c>
      <c r="Z20" s="16">
        <v>582092467</v>
      </c>
      <c r="AA20" s="16">
        <v>62295741</v>
      </c>
      <c r="AB20" s="16">
        <v>245159362</v>
      </c>
      <c r="AC20" s="16">
        <v>787564668</v>
      </c>
      <c r="AD20" s="16">
        <v>451388729</v>
      </c>
      <c r="AE20" s="16">
        <v>20066969.059290901</v>
      </c>
      <c r="AF20" s="16">
        <v>371628946</v>
      </c>
      <c r="AG20" s="16">
        <v>-2245602713</v>
      </c>
      <c r="AH20" s="16">
        <v>-695390671</v>
      </c>
      <c r="AI20" s="16">
        <v>-409959538</v>
      </c>
      <c r="AJ20" s="16">
        <v>-627693658</v>
      </c>
      <c r="AK20" s="16">
        <v>276639961</v>
      </c>
      <c r="AL20" s="16">
        <v>1090114451</v>
      </c>
      <c r="AM20" s="16">
        <v>-183039550</v>
      </c>
      <c r="AN20" s="16">
        <v>-511046246</v>
      </c>
      <c r="AO20" s="16">
        <v>-299937249</v>
      </c>
      <c r="AP20" s="16">
        <v>-247512811</v>
      </c>
      <c r="AQ20" s="16">
        <v>215412564</v>
      </c>
      <c r="AR20" s="16">
        <v>281001910</v>
      </c>
      <c r="AS20" s="16">
        <v>687832733</v>
      </c>
      <c r="AT20" s="16">
        <v>-6888417</v>
      </c>
      <c r="AU20" s="16">
        <v>-111684924</v>
      </c>
      <c r="AV20" s="16">
        <v>245648215</v>
      </c>
      <c r="AW20" s="16">
        <v>-95403313</v>
      </c>
      <c r="AX20" s="16">
        <v>-323849797</v>
      </c>
      <c r="AY20" s="16">
        <v>-111483671</v>
      </c>
      <c r="AZ20" s="16">
        <v>-318297985</v>
      </c>
      <c r="BA20" s="16">
        <v>-395752043</v>
      </c>
      <c r="BB20" s="16">
        <v>-556670192</v>
      </c>
      <c r="BC20" s="16">
        <v>-90458698</v>
      </c>
      <c r="BD20" s="16">
        <v>-137324570</v>
      </c>
      <c r="BE20" s="42">
        <v>-349818396</v>
      </c>
      <c r="BF20" s="42">
        <v>-709728629</v>
      </c>
      <c r="BG20" s="42">
        <v>-666184578</v>
      </c>
      <c r="BH20" s="42">
        <v>-251636967</v>
      </c>
      <c r="BI20" s="42">
        <v>711287570</v>
      </c>
      <c r="BJ20" s="42">
        <v>224729120</v>
      </c>
      <c r="BK20" s="42">
        <v>635187089</v>
      </c>
      <c r="BL20" s="42">
        <v>1321680656</v>
      </c>
      <c r="BM20" s="42">
        <v>1205904768</v>
      </c>
      <c r="BN20" s="42">
        <v>339730983</v>
      </c>
      <c r="BO20" s="42">
        <v>416403421</v>
      </c>
      <c r="BP20" s="42">
        <v>379915613</v>
      </c>
      <c r="BQ20" s="42">
        <f>+BQ16+BQ19</f>
        <v>597840394</v>
      </c>
      <c r="BR20" s="42">
        <v>814808996</v>
      </c>
      <c r="BS20" s="42">
        <v>152467569</v>
      </c>
      <c r="BT20" s="42">
        <v>837510453</v>
      </c>
      <c r="BU20" s="56">
        <v>621575723</v>
      </c>
      <c r="BV20" s="42"/>
      <c r="BW20" s="42"/>
      <c r="BX20" s="42"/>
      <c r="BY20" s="42"/>
      <c r="BZ20" s="42"/>
      <c r="CA20" s="42"/>
      <c r="CB20" s="42"/>
      <c r="CC20" s="42"/>
    </row>
    <row r="21" spans="1:81">
      <c r="A21" s="12">
        <v>18</v>
      </c>
      <c r="B21" s="22" t="s">
        <v>100</v>
      </c>
      <c r="C21" s="12">
        <v>7</v>
      </c>
      <c r="D21" s="12">
        <f>SUM(Data_PL5[[#This Row],[T1.2021]:[T12.2021]])</f>
        <v>0</v>
      </c>
      <c r="E21" s="12">
        <f>SUM(Data_PL5[[#This Row],[T1.2022]:[T12.2022]])</f>
        <v>0</v>
      </c>
      <c r="F21" s="12">
        <f>SUM(Data_PL5[[#This Row],[T1.2023]:[T12.2023]])</f>
        <v>0</v>
      </c>
      <c r="G21" s="12">
        <f>SUM(Data_PL5[[#This Row],[T01.2024]:[T12.2024]])</f>
        <v>32927331</v>
      </c>
      <c r="H21" s="12">
        <f>SUM(Data_PL5[[#This Row],[T01.2025]:[T12.2025]])</f>
        <v>0</v>
      </c>
      <c r="I21" s="12">
        <f>SUM(Data_PL5[[#This Row],[T01.2026]:[T12.2026]])</f>
        <v>412481666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/>
      <c r="AF21" s="50">
        <v>0</v>
      </c>
      <c r="AG21" s="50">
        <v>0</v>
      </c>
      <c r="AH21" s="50"/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14">
        <v>0</v>
      </c>
      <c r="AU21" s="50">
        <v>0</v>
      </c>
      <c r="AV21" s="50">
        <v>0</v>
      </c>
      <c r="AW21" s="50">
        <v>0</v>
      </c>
      <c r="AX21" s="50">
        <v>0</v>
      </c>
      <c r="AY21" s="50">
        <v>0</v>
      </c>
      <c r="AZ21" s="50">
        <v>0</v>
      </c>
      <c r="BA21" s="50">
        <v>32927331</v>
      </c>
      <c r="BB21" s="50">
        <v>0</v>
      </c>
      <c r="BC21" s="50">
        <v>0</v>
      </c>
      <c r="BD21" s="50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/>
      <c r="BQ21" s="51"/>
      <c r="BR21" s="51"/>
      <c r="BS21" s="51"/>
      <c r="BT21" s="51">
        <v>306813793</v>
      </c>
      <c r="BU21" s="61">
        <v>105667873</v>
      </c>
      <c r="BV21" s="51"/>
      <c r="BW21" s="51"/>
      <c r="BX21" s="51"/>
      <c r="BY21" s="51"/>
      <c r="BZ21" s="51"/>
      <c r="CA21" s="51"/>
      <c r="CB21" s="51"/>
      <c r="CC21" s="51"/>
    </row>
    <row r="22" spans="1:81">
      <c r="A22" s="12">
        <v>19</v>
      </c>
      <c r="B22" s="13" t="s">
        <v>101</v>
      </c>
      <c r="C22" s="12">
        <v>7</v>
      </c>
      <c r="D22" s="12">
        <f>SUM(Data_PL5[[#This Row],[T1.2021]:[T12.2021]])</f>
        <v>0</v>
      </c>
      <c r="E22" s="12">
        <f>SUM(Data_PL5[[#This Row],[T1.2022]:[T12.2022]])</f>
        <v>0</v>
      </c>
      <c r="F22" s="12">
        <f>SUM(Data_PL5[[#This Row],[T1.2023]:[T12.2023]])</f>
        <v>0</v>
      </c>
      <c r="G22" s="12">
        <f>SUM(Data_PL5[[#This Row],[T01.2024]:[T12.2024]])</f>
        <v>0</v>
      </c>
      <c r="H22" s="12">
        <f>SUM(Data_PL5[[#This Row],[T01.2025]:[T12.2025]])</f>
        <v>0</v>
      </c>
      <c r="I22" s="12">
        <f>SUM(Data_PL5[[#This Row],[T01.2026]:[T12.2026]])</f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38">
        <v>0</v>
      </c>
      <c r="AD22" s="38">
        <v>0</v>
      </c>
      <c r="AE22" s="38"/>
      <c r="AF22" s="38">
        <v>0</v>
      </c>
      <c r="AG22" s="38">
        <v>0</v>
      </c>
      <c r="AH22" s="38"/>
      <c r="AI22" s="38">
        <v>0</v>
      </c>
      <c r="AJ22" s="38">
        <v>0</v>
      </c>
      <c r="AK22" s="38">
        <v>0</v>
      </c>
      <c r="AL22" s="38">
        <v>0</v>
      </c>
      <c r="AM22" s="38">
        <v>0</v>
      </c>
      <c r="AN22" s="38">
        <v>0</v>
      </c>
      <c r="AO22" s="38">
        <v>0</v>
      </c>
      <c r="AP22" s="38">
        <v>0</v>
      </c>
      <c r="AQ22" s="38">
        <v>0</v>
      </c>
      <c r="AR22" s="38">
        <v>0</v>
      </c>
      <c r="AS22" s="38">
        <v>0</v>
      </c>
      <c r="AT22" s="14">
        <v>0</v>
      </c>
      <c r="AU22" s="38">
        <v>0</v>
      </c>
      <c r="AV22" s="38">
        <v>0</v>
      </c>
      <c r="AW22" s="38">
        <v>0</v>
      </c>
      <c r="AX22" s="38">
        <v>0</v>
      </c>
      <c r="AY22" s="38">
        <v>0</v>
      </c>
      <c r="AZ22" s="38">
        <v>0</v>
      </c>
      <c r="BA22" s="38">
        <v>0</v>
      </c>
      <c r="BB22" s="38">
        <v>0</v>
      </c>
      <c r="BC22" s="38">
        <v>0</v>
      </c>
      <c r="BD22" s="38">
        <v>0</v>
      </c>
      <c r="BE22" s="39">
        <v>0</v>
      </c>
      <c r="BF22" s="39">
        <v>0</v>
      </c>
      <c r="BG22" s="39">
        <v>0</v>
      </c>
      <c r="BH22" s="39">
        <v>0</v>
      </c>
      <c r="BI22" s="39">
        <v>0</v>
      </c>
      <c r="BJ22" s="39">
        <v>0</v>
      </c>
      <c r="BK22" s="39">
        <v>0</v>
      </c>
      <c r="BL22" s="39">
        <v>0</v>
      </c>
      <c r="BM22" s="39">
        <v>0</v>
      </c>
      <c r="BN22" s="39">
        <v>0</v>
      </c>
      <c r="BO22" s="39">
        <v>0</v>
      </c>
      <c r="BP22" s="39"/>
      <c r="BQ22" s="39"/>
      <c r="BR22" s="39"/>
      <c r="BS22" s="39"/>
      <c r="BT22" s="39"/>
      <c r="BU22" s="55" t="s">
        <v>107</v>
      </c>
      <c r="BV22" s="39"/>
      <c r="BW22" s="39"/>
      <c r="BX22" s="39"/>
      <c r="BY22" s="39"/>
      <c r="BZ22" s="39"/>
      <c r="CA22" s="39"/>
      <c r="CB22" s="39"/>
      <c r="CC22" s="39"/>
    </row>
    <row r="23" spans="1:81">
      <c r="A23" s="19">
        <v>20</v>
      </c>
      <c r="B23" s="10" t="s">
        <v>102</v>
      </c>
      <c r="C23" s="19">
        <v>7</v>
      </c>
      <c r="D23" s="19">
        <f>SUM(Data_PL5[[#This Row],[T1.2021]:[T12.2021]])</f>
        <v>-2417762094</v>
      </c>
      <c r="E23" s="19">
        <f>SUM(Data_PL5[[#This Row],[T1.2022]:[T12.2022]])</f>
        <v>803144331.05929089</v>
      </c>
      <c r="F23" s="19">
        <f>SUM(Data_PL5[[#This Row],[T1.2023]:[T12.2023]])</f>
        <v>-423578104</v>
      </c>
      <c r="G23" s="19">
        <f>SUM(Data_PL5[[#This Row],[T01.2024]:[T12.2024]])</f>
        <v>-2284911122</v>
      </c>
      <c r="H23" s="19">
        <f>SUM(Data_PL5[[#This Row],[T01.2025]:[T12.2025]])</f>
        <v>4205129440</v>
      </c>
      <c r="I23" s="19">
        <f>SUM(Data_PL5[[#This Row],[T01.2026]:[T12.2026]])</f>
        <v>2013881075</v>
      </c>
      <c r="J23" s="20">
        <v>-409381721</v>
      </c>
      <c r="K23" s="20">
        <v>-255852308</v>
      </c>
      <c r="L23" s="20">
        <v>-289562746</v>
      </c>
      <c r="M23" s="20">
        <v>-221158003</v>
      </c>
      <c r="N23" s="20">
        <v>-158788884</v>
      </c>
      <c r="O23" s="20">
        <v>-163311329</v>
      </c>
      <c r="P23" s="20">
        <v>-128277358</v>
      </c>
      <c r="Q23" s="20">
        <v>-100677535</v>
      </c>
      <c r="R23" s="20">
        <v>-122886734</v>
      </c>
      <c r="S23" s="20">
        <v>-154160043</v>
      </c>
      <c r="T23" s="20">
        <v>-178082076</v>
      </c>
      <c r="U23" s="20">
        <v>-235623357</v>
      </c>
      <c r="V23" s="20">
        <v>436605478</v>
      </c>
      <c r="W23" s="20">
        <v>-249826970</v>
      </c>
      <c r="X23" s="20">
        <v>252613936</v>
      </c>
      <c r="Y23" s="20">
        <v>89157718</v>
      </c>
      <c r="Z23" s="20">
        <v>582092467</v>
      </c>
      <c r="AA23" s="20">
        <v>62295741</v>
      </c>
      <c r="AB23" s="20">
        <v>245159362</v>
      </c>
      <c r="AC23" s="20">
        <v>787564668</v>
      </c>
      <c r="AD23" s="20">
        <v>451388729</v>
      </c>
      <c r="AE23" s="20">
        <v>20066969.059290886</v>
      </c>
      <c r="AF23" s="20">
        <v>371628946</v>
      </c>
      <c r="AG23" s="20">
        <v>-2245602713</v>
      </c>
      <c r="AH23" s="20">
        <v>-695390671</v>
      </c>
      <c r="AI23" s="20">
        <v>-409959538</v>
      </c>
      <c r="AJ23" s="20">
        <v>-627693658</v>
      </c>
      <c r="AK23" s="20">
        <v>276639961</v>
      </c>
      <c r="AL23" s="20">
        <v>1090114451</v>
      </c>
      <c r="AM23" s="20">
        <v>-183039550</v>
      </c>
      <c r="AN23" s="20">
        <v>-511046246</v>
      </c>
      <c r="AO23" s="20">
        <v>-299937249</v>
      </c>
      <c r="AP23" s="20">
        <v>-247512811</v>
      </c>
      <c r="AQ23" s="20">
        <v>215412564</v>
      </c>
      <c r="AR23" s="20">
        <v>281001910</v>
      </c>
      <c r="AS23" s="20">
        <v>687832733</v>
      </c>
      <c r="AT23" s="20">
        <v>-6888417</v>
      </c>
      <c r="AU23" s="20">
        <v>-111684924</v>
      </c>
      <c r="AV23" s="20">
        <v>245648215</v>
      </c>
      <c r="AW23" s="20">
        <v>-95403313</v>
      </c>
      <c r="AX23" s="20">
        <v>-323849797</v>
      </c>
      <c r="AY23" s="20">
        <v>-111483671</v>
      </c>
      <c r="AZ23" s="20">
        <v>-318297985</v>
      </c>
      <c r="BA23" s="20">
        <v>-428679374</v>
      </c>
      <c r="BB23" s="20">
        <v>-556670192</v>
      </c>
      <c r="BC23" s="20">
        <v>-90458698</v>
      </c>
      <c r="BD23" s="20">
        <v>-137324570</v>
      </c>
      <c r="BE23" s="20">
        <v>-349818396</v>
      </c>
      <c r="BF23" s="20">
        <v>-709728629</v>
      </c>
      <c r="BG23" s="20">
        <v>-666184578</v>
      </c>
      <c r="BH23" s="20">
        <v>-251636967</v>
      </c>
      <c r="BI23" s="20">
        <v>711287570</v>
      </c>
      <c r="BJ23" s="20">
        <v>224729120</v>
      </c>
      <c r="BK23" s="20">
        <v>635187089</v>
      </c>
      <c r="BL23" s="20">
        <v>1321680656</v>
      </c>
      <c r="BM23" s="20">
        <v>1205904768</v>
      </c>
      <c r="BN23" s="20">
        <v>339730983</v>
      </c>
      <c r="BO23" s="20">
        <v>416403421</v>
      </c>
      <c r="BP23" s="20">
        <v>379915613</v>
      </c>
      <c r="BQ23" s="20">
        <f>+BQ20-BQ21-BQ22</f>
        <v>597840394</v>
      </c>
      <c r="BR23" s="20">
        <v>814808996</v>
      </c>
      <c r="BS23" s="20">
        <v>152467569</v>
      </c>
      <c r="BT23" s="20">
        <v>530696660</v>
      </c>
      <c r="BU23" s="59">
        <v>515907850</v>
      </c>
      <c r="BV23" s="20"/>
      <c r="BW23" s="20"/>
      <c r="BX23" s="20"/>
      <c r="BY23" s="20"/>
      <c r="BZ23" s="20"/>
      <c r="CA23" s="20"/>
      <c r="CB23" s="20"/>
      <c r="CC23" s="20"/>
    </row>
    <row r="24" spans="1:81">
      <c r="A24" s="71"/>
      <c r="B24" s="72" t="s">
        <v>109</v>
      </c>
      <c r="C24" s="73"/>
      <c r="D24" s="86">
        <f>D23/D7</f>
        <v>-0.53911247134331364</v>
      </c>
      <c r="E24" s="86">
        <f t="shared" ref="E24:I24" si="0">E23/E7</f>
        <v>1.7548226499900937E-2</v>
      </c>
      <c r="F24" s="86">
        <f t="shared" si="0"/>
        <v>-5.3674780863361971E-3</v>
      </c>
      <c r="G24" s="86">
        <f t="shared" si="0"/>
        <v>-3.0660439471145252E-2</v>
      </c>
      <c r="H24" s="86">
        <f t="shared" si="0"/>
        <v>4.112072602994872E-2</v>
      </c>
      <c r="I24" s="86">
        <f t="shared" si="0"/>
        <v>6.0154612304067885E-2</v>
      </c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7"/>
      <c r="BV24" s="85"/>
      <c r="BW24" s="85"/>
      <c r="BX24" s="85"/>
      <c r="BY24" s="85"/>
      <c r="BZ24" s="85"/>
      <c r="CA24" s="85"/>
      <c r="CB24" s="85"/>
      <c r="CC24" s="85"/>
    </row>
  </sheetData>
  <protectedRanges>
    <protectedRange sqref="J4:CC23" name="PL"/>
  </protectedRanges>
  <phoneticPr fontId="20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D4C19-A9D3-4B62-83AF-6D46B02A422F}">
  <dimension ref="A1:CC24"/>
  <sheetViews>
    <sheetView topLeftCell="B14" workbookViewId="0">
      <selection activeCell="F24" sqref="F24"/>
    </sheetView>
  </sheetViews>
  <sheetFormatPr defaultRowHeight="14.5"/>
  <cols>
    <col min="1" max="1" width="7.6328125" hidden="1" customWidth="1"/>
    <col min="2" max="2" width="55.90625" customWidth="1"/>
    <col min="3" max="3" width="15.54296875" hidden="1" customWidth="1"/>
    <col min="4" max="6" width="15.54296875" customWidth="1"/>
    <col min="7" max="7" width="16.08984375" bestFit="1" customWidth="1"/>
    <col min="8" max="8" width="17.36328125" bestFit="1" customWidth="1"/>
    <col min="9" max="9" width="15.54296875" customWidth="1"/>
    <col min="10" max="10" width="14.90625" customWidth="1"/>
    <col min="11" max="16" width="14.453125" customWidth="1"/>
    <col min="17" max="17" width="14.36328125" customWidth="1"/>
    <col min="18" max="21" width="14.453125" customWidth="1"/>
    <col min="22" max="22" width="14.90625" customWidth="1"/>
    <col min="23" max="28" width="14.453125" customWidth="1"/>
    <col min="29" max="32" width="15.54296875" customWidth="1"/>
    <col min="33" max="34" width="16.36328125" customWidth="1"/>
    <col min="35" max="48" width="15.54296875" customWidth="1"/>
    <col min="49" max="57" width="15.453125" customWidth="1"/>
    <col min="58" max="63" width="15.453125" bestFit="1" customWidth="1"/>
    <col min="64" max="65" width="16.54296875" bestFit="1" customWidth="1"/>
    <col min="66" max="81" width="15.453125" bestFit="1" customWidth="1"/>
  </cols>
  <sheetData>
    <row r="1" spans="1:81" ht="17.5">
      <c r="B1" s="1" t="s">
        <v>108</v>
      </c>
    </row>
    <row r="2" spans="1:81">
      <c r="B2" s="2" t="s">
        <v>1</v>
      </c>
    </row>
    <row r="3" spans="1:81" ht="28">
      <c r="A3" s="62" t="s">
        <v>2</v>
      </c>
      <c r="B3" s="26" t="s">
        <v>3</v>
      </c>
      <c r="C3" s="62" t="s">
        <v>4</v>
      </c>
      <c r="D3" s="70" t="s">
        <v>5</v>
      </c>
      <c r="E3" s="70" t="s">
        <v>6</v>
      </c>
      <c r="F3" s="70" t="s">
        <v>7</v>
      </c>
      <c r="G3" s="70" t="s">
        <v>8</v>
      </c>
      <c r="H3" s="70" t="s">
        <v>9</v>
      </c>
      <c r="I3" s="70" t="s">
        <v>10</v>
      </c>
      <c r="J3" s="62" t="s">
        <v>11</v>
      </c>
      <c r="K3" s="62" t="s">
        <v>12</v>
      </c>
      <c r="L3" s="62" t="s">
        <v>13</v>
      </c>
      <c r="M3" s="62" t="s">
        <v>14</v>
      </c>
      <c r="N3" s="62" t="s">
        <v>15</v>
      </c>
      <c r="O3" s="62" t="s">
        <v>16</v>
      </c>
      <c r="P3" s="62" t="s">
        <v>17</v>
      </c>
      <c r="Q3" s="62" t="s">
        <v>18</v>
      </c>
      <c r="R3" s="62" t="s">
        <v>19</v>
      </c>
      <c r="S3" s="62" t="s">
        <v>20</v>
      </c>
      <c r="T3" s="62" t="s">
        <v>21</v>
      </c>
      <c r="U3" s="62" t="s">
        <v>22</v>
      </c>
      <c r="V3" s="62" t="s">
        <v>23</v>
      </c>
      <c r="W3" s="62" t="s">
        <v>24</v>
      </c>
      <c r="X3" s="62" t="s">
        <v>25</v>
      </c>
      <c r="Y3" s="62" t="s">
        <v>26</v>
      </c>
      <c r="Z3" s="62" t="s">
        <v>27</v>
      </c>
      <c r="AA3" s="62" t="s">
        <v>28</v>
      </c>
      <c r="AB3" s="62" t="s">
        <v>29</v>
      </c>
      <c r="AC3" s="62" t="s">
        <v>30</v>
      </c>
      <c r="AD3" s="62" t="s">
        <v>31</v>
      </c>
      <c r="AE3" s="62" t="s">
        <v>32</v>
      </c>
      <c r="AF3" s="62" t="s">
        <v>33</v>
      </c>
      <c r="AG3" s="62" t="s">
        <v>34</v>
      </c>
      <c r="AH3" s="62" t="s">
        <v>35</v>
      </c>
      <c r="AI3" s="62" t="s">
        <v>36</v>
      </c>
      <c r="AJ3" s="62" t="s">
        <v>37</v>
      </c>
      <c r="AK3" s="62" t="s">
        <v>38</v>
      </c>
      <c r="AL3" s="62" t="s">
        <v>39</v>
      </c>
      <c r="AM3" s="62" t="s">
        <v>40</v>
      </c>
      <c r="AN3" s="62" t="s">
        <v>41</v>
      </c>
      <c r="AO3" s="62" t="s">
        <v>42</v>
      </c>
      <c r="AP3" s="62" t="s">
        <v>43</v>
      </c>
      <c r="AQ3" s="62" t="s">
        <v>44</v>
      </c>
      <c r="AR3" s="62" t="s">
        <v>45</v>
      </c>
      <c r="AS3" s="62" t="s">
        <v>46</v>
      </c>
      <c r="AT3" s="62" t="s">
        <v>47</v>
      </c>
      <c r="AU3" s="62" t="s">
        <v>48</v>
      </c>
      <c r="AV3" s="62" t="s">
        <v>49</v>
      </c>
      <c r="AW3" s="62" t="s">
        <v>50</v>
      </c>
      <c r="AX3" s="62" t="s">
        <v>51</v>
      </c>
      <c r="AY3" s="62" t="s">
        <v>52</v>
      </c>
      <c r="AZ3" s="62" t="s">
        <v>53</v>
      </c>
      <c r="BA3" s="62" t="s">
        <v>54</v>
      </c>
      <c r="BB3" s="62" t="s">
        <v>55</v>
      </c>
      <c r="BC3" s="62" t="s">
        <v>56</v>
      </c>
      <c r="BD3" s="62" t="s">
        <v>57</v>
      </c>
      <c r="BE3" s="62" t="s">
        <v>58</v>
      </c>
      <c r="BF3" s="62" t="s">
        <v>59</v>
      </c>
      <c r="BG3" s="62" t="s">
        <v>60</v>
      </c>
      <c r="BH3" s="62" t="s">
        <v>61</v>
      </c>
      <c r="BI3" s="62" t="s">
        <v>62</v>
      </c>
      <c r="BJ3" s="62" t="s">
        <v>63</v>
      </c>
      <c r="BK3" s="62" t="s">
        <v>64</v>
      </c>
      <c r="BL3" s="62" t="s">
        <v>65</v>
      </c>
      <c r="BM3" s="62" t="s">
        <v>66</v>
      </c>
      <c r="BN3" s="62" t="s">
        <v>67</v>
      </c>
      <c r="BO3" s="62" t="s">
        <v>68</v>
      </c>
      <c r="BP3" s="62" t="s">
        <v>69</v>
      </c>
      <c r="BQ3" s="62" t="s">
        <v>70</v>
      </c>
      <c r="BR3" s="62" t="s">
        <v>71</v>
      </c>
      <c r="BS3" s="62" t="s">
        <v>72</v>
      </c>
      <c r="BT3" s="62" t="s">
        <v>73</v>
      </c>
      <c r="BU3" s="62" t="s">
        <v>74</v>
      </c>
      <c r="BV3" s="62" t="s">
        <v>75</v>
      </c>
      <c r="BW3" s="62" t="s">
        <v>76</v>
      </c>
      <c r="BX3" s="62" t="s">
        <v>77</v>
      </c>
      <c r="BY3" s="62" t="s">
        <v>78</v>
      </c>
      <c r="BZ3" s="62" t="s">
        <v>79</v>
      </c>
      <c r="CA3" s="62" t="s">
        <v>80</v>
      </c>
      <c r="CB3" s="62" t="s">
        <v>81</v>
      </c>
      <c r="CC3" s="62" t="s">
        <v>82</v>
      </c>
    </row>
    <row r="4" spans="1:81">
      <c r="A4" s="63">
        <v>1</v>
      </c>
      <c r="B4" s="7" t="s">
        <v>104</v>
      </c>
      <c r="C4" s="6">
        <v>8</v>
      </c>
      <c r="D4" s="8">
        <f>SUM(Data_PL6[[#This Row],[T1.2021]:[T12.2021]])</f>
        <v>0</v>
      </c>
      <c r="E4" s="8">
        <f>SUM(Data_PL6[[#This Row],[T1.2022]:[T12.2022]])</f>
        <v>1008.5205</v>
      </c>
      <c r="F4" s="8">
        <f>SUM(Data_PL6[[#This Row],[T1.2023]:[T12.2023]])</f>
        <v>3132.2255</v>
      </c>
      <c r="G4" s="8">
        <f>SUM(Data_PL6[[#This Row],[T01.2024]:[T12.2024]])</f>
        <v>4240.9780000000001</v>
      </c>
      <c r="H4" s="8">
        <f>SUM(Data_PL6[[#This Row],[T01.2025]:[T12.2025]])</f>
        <v>5703.4369999999999</v>
      </c>
      <c r="I4" s="8">
        <f>SUM(Data_PL6[[#This Row],[T01.2026]:[T12.2026]])</f>
        <v>2027.3010000000002</v>
      </c>
      <c r="J4" s="31">
        <v>0</v>
      </c>
      <c r="K4" s="31">
        <v>0</v>
      </c>
      <c r="L4" s="31"/>
      <c r="M4" s="31"/>
      <c r="N4" s="31"/>
      <c r="O4" s="31"/>
      <c r="P4" s="31"/>
      <c r="Q4" s="31"/>
      <c r="R4" s="31"/>
      <c r="S4" s="31"/>
      <c r="T4" s="31"/>
      <c r="U4" s="31"/>
      <c r="V4" s="31">
        <v>13.776</v>
      </c>
      <c r="W4" s="31">
        <v>0</v>
      </c>
      <c r="X4" s="31">
        <v>21.242999999999999</v>
      </c>
      <c r="Y4" s="31">
        <v>18.384</v>
      </c>
      <c r="Z4" s="31">
        <v>69.305999999999997</v>
      </c>
      <c r="AA4" s="31">
        <v>57.128</v>
      </c>
      <c r="AB4" s="31">
        <v>45.009</v>
      </c>
      <c r="AC4" s="31">
        <v>133.15100000000001</v>
      </c>
      <c r="AD4" s="31">
        <v>87.34</v>
      </c>
      <c r="AE4" s="31">
        <v>200.28399999999999</v>
      </c>
      <c r="AF4" s="31">
        <v>162.75049999999999</v>
      </c>
      <c r="AG4" s="31">
        <v>200.149</v>
      </c>
      <c r="AH4" s="31">
        <v>177.0275</v>
      </c>
      <c r="AI4" s="31">
        <v>116.39700000000001</v>
      </c>
      <c r="AJ4" s="31">
        <v>313</v>
      </c>
      <c r="AK4" s="31">
        <v>367</v>
      </c>
      <c r="AL4" s="31">
        <v>260</v>
      </c>
      <c r="AM4" s="31">
        <v>320</v>
      </c>
      <c r="AN4" s="31">
        <v>273</v>
      </c>
      <c r="AO4" s="31">
        <v>241</v>
      </c>
      <c r="AP4" s="31">
        <v>225</v>
      </c>
      <c r="AQ4" s="31">
        <v>267</v>
      </c>
      <c r="AR4" s="31">
        <v>161</v>
      </c>
      <c r="AS4" s="31">
        <v>411.80099999999999</v>
      </c>
      <c r="AT4" s="8">
        <v>573</v>
      </c>
      <c r="AU4" s="31">
        <v>269</v>
      </c>
      <c r="AV4" s="31">
        <v>385</v>
      </c>
      <c r="AW4" s="31">
        <v>393</v>
      </c>
      <c r="AX4" s="31">
        <v>627.69200000000001</v>
      </c>
      <c r="AY4" s="31">
        <v>379</v>
      </c>
      <c r="AZ4" s="31">
        <v>289.90899999999999</v>
      </c>
      <c r="BA4" s="31">
        <v>249.529</v>
      </c>
      <c r="BB4" s="31">
        <v>256.07</v>
      </c>
      <c r="BC4" s="31">
        <v>285.92700000000002</v>
      </c>
      <c r="BD4" s="32">
        <v>301.60300000000001</v>
      </c>
      <c r="BE4" s="33">
        <v>231.24799999999999</v>
      </c>
      <c r="BF4" s="8">
        <v>136.81700000000001</v>
      </c>
      <c r="BG4" s="31">
        <v>284.58600000000001</v>
      </c>
      <c r="BH4" s="31">
        <v>355.69799999999998</v>
      </c>
      <c r="BI4" s="31">
        <v>421.53300000000002</v>
      </c>
      <c r="BJ4" s="31">
        <v>410.44900000000001</v>
      </c>
      <c r="BK4" s="31">
        <v>572.58600000000001</v>
      </c>
      <c r="BL4" s="31">
        <v>681.43200000000002</v>
      </c>
      <c r="BM4" s="31">
        <v>736.18600000000004</v>
      </c>
      <c r="BN4" s="31">
        <v>660.12800000000004</v>
      </c>
      <c r="BO4" s="31">
        <v>493.928</v>
      </c>
      <c r="BP4" s="31">
        <v>419.82400000000001</v>
      </c>
      <c r="BQ4" s="31">
        <v>530.27</v>
      </c>
      <c r="BR4" s="31">
        <v>513.46100000000001</v>
      </c>
      <c r="BS4" s="31">
        <v>321.709</v>
      </c>
      <c r="BT4" s="31">
        <v>698.89099999999996</v>
      </c>
      <c r="BU4" s="31">
        <v>493.24</v>
      </c>
      <c r="BV4" s="31"/>
      <c r="BW4" s="31"/>
      <c r="BX4" s="31"/>
      <c r="BY4" s="31"/>
      <c r="BZ4" s="31"/>
      <c r="CA4" s="31"/>
      <c r="CB4" s="31"/>
      <c r="CC4" s="31"/>
    </row>
    <row r="5" spans="1:81">
      <c r="A5" s="64">
        <v>2</v>
      </c>
      <c r="B5" s="10" t="s">
        <v>84</v>
      </c>
      <c r="C5" s="9">
        <v>8</v>
      </c>
      <c r="D5" s="9">
        <f>SUM(Data_PL6[[#This Row],[T1.2021]:[T12.2021]])</f>
        <v>1528637924</v>
      </c>
      <c r="E5" s="9">
        <f>SUM(Data_PL6[[#This Row],[T1.2022]:[T12.2022]])</f>
        <v>15050385533</v>
      </c>
      <c r="F5" s="9">
        <f>SUM(Data_PL6[[#This Row],[T1.2023]:[T12.2023]])</f>
        <v>44482013611</v>
      </c>
      <c r="G5" s="9">
        <f>SUM(Data_PL6[[#This Row],[T01.2024]:[T12.2024]])</f>
        <v>63950445550</v>
      </c>
      <c r="H5" s="9">
        <f>SUM(Data_PL6[[#This Row],[T01.2025]:[T12.2025]])</f>
        <v>96184706621</v>
      </c>
      <c r="I5" s="9">
        <f>SUM(Data_PL6[[#This Row],[T01.2026]:[T12.2026]])</f>
        <v>28543319477</v>
      </c>
      <c r="J5" s="11"/>
      <c r="K5" s="11"/>
      <c r="L5" s="11"/>
      <c r="M5" s="11">
        <v>368424150</v>
      </c>
      <c r="N5" s="11">
        <v>539826374</v>
      </c>
      <c r="O5" s="11">
        <v>10846000</v>
      </c>
      <c r="P5" s="11"/>
      <c r="Q5" s="11"/>
      <c r="R5" s="11"/>
      <c r="S5" s="11">
        <v>85659200</v>
      </c>
      <c r="T5" s="11">
        <v>502162200</v>
      </c>
      <c r="U5" s="11">
        <v>21720000</v>
      </c>
      <c r="V5" s="11">
        <v>106450910</v>
      </c>
      <c r="W5" s="11"/>
      <c r="X5" s="11">
        <v>265207910</v>
      </c>
      <c r="Y5" s="11">
        <v>235390963</v>
      </c>
      <c r="Z5" s="11">
        <v>549971500</v>
      </c>
      <c r="AA5" s="11">
        <v>1004388000</v>
      </c>
      <c r="AB5" s="11">
        <v>811042500</v>
      </c>
      <c r="AC5" s="11">
        <v>2190311943</v>
      </c>
      <c r="AD5" s="11">
        <v>1430897000</v>
      </c>
      <c r="AE5" s="11">
        <v>3280888000</v>
      </c>
      <c r="AF5" s="11">
        <v>2548509050</v>
      </c>
      <c r="AG5" s="11">
        <v>2627327757</v>
      </c>
      <c r="AH5" s="11">
        <v>1822423459</v>
      </c>
      <c r="AI5" s="11">
        <v>1503889814</v>
      </c>
      <c r="AJ5" s="11">
        <v>4340539454</v>
      </c>
      <c r="AK5" s="11">
        <v>5632467285</v>
      </c>
      <c r="AL5" s="11">
        <v>3711774521</v>
      </c>
      <c r="AM5" s="11">
        <v>4642198050</v>
      </c>
      <c r="AN5" s="11">
        <v>3681484099</v>
      </c>
      <c r="AO5" s="11">
        <v>3500109250</v>
      </c>
      <c r="AP5" s="11">
        <v>3283780279</v>
      </c>
      <c r="AQ5" s="11">
        <v>4161593000</v>
      </c>
      <c r="AR5" s="11">
        <v>2393981900</v>
      </c>
      <c r="AS5" s="11">
        <v>5807772500</v>
      </c>
      <c r="AT5" s="11">
        <v>8400713900</v>
      </c>
      <c r="AU5" s="11">
        <v>3931174800</v>
      </c>
      <c r="AV5" s="11">
        <v>5768669300</v>
      </c>
      <c r="AW5" s="11">
        <v>5809292600</v>
      </c>
      <c r="AX5" s="11">
        <v>9485730900</v>
      </c>
      <c r="AY5" s="11">
        <v>6180931000</v>
      </c>
      <c r="AZ5" s="11">
        <v>4176102000</v>
      </c>
      <c r="BA5" s="11">
        <v>3625752000</v>
      </c>
      <c r="BB5" s="11">
        <v>3921219000</v>
      </c>
      <c r="BC5" s="11">
        <v>4329468100</v>
      </c>
      <c r="BD5" s="11">
        <v>4671750950</v>
      </c>
      <c r="BE5" s="11">
        <v>3649641000</v>
      </c>
      <c r="BF5" s="11">
        <v>2184030270</v>
      </c>
      <c r="BG5" s="11">
        <v>4906179695</v>
      </c>
      <c r="BH5" s="11">
        <v>6333654608</v>
      </c>
      <c r="BI5" s="11">
        <v>7807068174</v>
      </c>
      <c r="BJ5" s="11">
        <v>7380147015</v>
      </c>
      <c r="BK5" s="11">
        <v>10556762949</v>
      </c>
      <c r="BL5" s="11">
        <v>12875151030</v>
      </c>
      <c r="BM5" s="11">
        <v>13763220740</v>
      </c>
      <c r="BN5" s="11">
        <v>9904916640</v>
      </c>
      <c r="BO5" s="11">
        <v>7003708500</v>
      </c>
      <c r="BP5" s="11">
        <v>5985740000</v>
      </c>
      <c r="BQ5" s="11">
        <v>7484127000</v>
      </c>
      <c r="BR5" s="11">
        <v>7320017770</v>
      </c>
      <c r="BS5" s="11">
        <v>4596489350</v>
      </c>
      <c r="BT5" s="11">
        <v>9617317135</v>
      </c>
      <c r="BU5" s="11">
        <v>7009495222</v>
      </c>
      <c r="BV5" s="11"/>
      <c r="BW5" s="11"/>
      <c r="BX5" s="11"/>
      <c r="BY5" s="11"/>
      <c r="BZ5" s="11"/>
      <c r="CA5" s="11"/>
      <c r="CB5" s="11"/>
      <c r="CC5" s="11"/>
    </row>
    <row r="6" spans="1:81">
      <c r="A6" s="65">
        <v>3</v>
      </c>
      <c r="B6" s="13" t="s">
        <v>85</v>
      </c>
      <c r="C6" s="12">
        <v>8</v>
      </c>
      <c r="D6" s="12">
        <f>SUM(Data_PL6[[#This Row],[T1.2021]:[T12.2021]])</f>
        <v>0</v>
      </c>
      <c r="E6" s="12">
        <f>SUM(Data_PL6[[#This Row],[T1.2022]:[T12.2022]])</f>
        <v>0</v>
      </c>
      <c r="F6" s="12">
        <f>SUM(Data_PL6[[#This Row],[T1.2023]:[T12.2023]])</f>
        <v>0</v>
      </c>
      <c r="G6" s="12">
        <f>SUM(Data_PL6[[#This Row],[T01.2024]:[T12.2024]])</f>
        <v>0</v>
      </c>
      <c r="H6" s="12">
        <f>SUM(Data_PL6[[#This Row],[T01.2025]:[T12.2025]])</f>
        <v>0</v>
      </c>
      <c r="I6" s="12">
        <f>SUM(Data_PL6[[#This Row],[T01.2026]:[T12.2026]])</f>
        <v>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38"/>
      <c r="AX6" s="38"/>
      <c r="AY6" s="38"/>
      <c r="AZ6" s="38"/>
      <c r="BA6" s="38"/>
      <c r="BB6" s="38"/>
      <c r="BC6" s="38"/>
      <c r="BD6" s="38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</row>
    <row r="7" spans="1:81">
      <c r="A7" s="66">
        <v>4</v>
      </c>
      <c r="B7" s="10" t="s">
        <v>86</v>
      </c>
      <c r="C7" s="15">
        <v>8</v>
      </c>
      <c r="D7" s="15">
        <f>SUM(Data_PL6[[#This Row],[T1.2021]:[T12.2021]])</f>
        <v>1528637924</v>
      </c>
      <c r="E7" s="15">
        <f>SUM(Data_PL6[[#This Row],[T1.2022]:[T12.2022]])</f>
        <v>15050385533</v>
      </c>
      <c r="F7" s="15">
        <f>SUM(Data_PL6[[#This Row],[T1.2023]:[T12.2023]])</f>
        <v>44482013611</v>
      </c>
      <c r="G7" s="15">
        <f>SUM(Data_PL6[[#This Row],[T01.2024]:[T12.2024]])</f>
        <v>63950445550</v>
      </c>
      <c r="H7" s="15">
        <f>SUM(Data_PL6[[#This Row],[T01.2025]:[T12.2025]])</f>
        <v>96184706621</v>
      </c>
      <c r="I7" s="15">
        <f>SUM(Data_PL6[[#This Row],[T01.2026]:[T12.2026]])</f>
        <v>28543319477</v>
      </c>
      <c r="J7" s="16">
        <v>0</v>
      </c>
      <c r="K7" s="16">
        <v>0</v>
      </c>
      <c r="L7" s="16">
        <v>0</v>
      </c>
      <c r="M7" s="16">
        <v>368424150</v>
      </c>
      <c r="N7" s="16">
        <v>539826374</v>
      </c>
      <c r="O7" s="16">
        <v>10846000</v>
      </c>
      <c r="P7" s="16">
        <v>0</v>
      </c>
      <c r="Q7" s="16">
        <v>0</v>
      </c>
      <c r="R7" s="16">
        <v>0</v>
      </c>
      <c r="S7" s="16">
        <v>85659200</v>
      </c>
      <c r="T7" s="16">
        <v>502162200</v>
      </c>
      <c r="U7" s="16">
        <v>21720000</v>
      </c>
      <c r="V7" s="16">
        <v>106450910</v>
      </c>
      <c r="W7" s="16">
        <v>0</v>
      </c>
      <c r="X7" s="16">
        <v>265207910</v>
      </c>
      <c r="Y7" s="16">
        <v>235390963</v>
      </c>
      <c r="Z7" s="16">
        <v>549971500</v>
      </c>
      <c r="AA7" s="16">
        <v>1004388000</v>
      </c>
      <c r="AB7" s="16">
        <v>811042500</v>
      </c>
      <c r="AC7" s="16">
        <v>2190311943</v>
      </c>
      <c r="AD7" s="16">
        <v>1430897000</v>
      </c>
      <c r="AE7" s="16">
        <v>3280888000</v>
      </c>
      <c r="AF7" s="16">
        <v>2548509050</v>
      </c>
      <c r="AG7" s="16">
        <v>2627327757</v>
      </c>
      <c r="AH7" s="16">
        <v>1822423459</v>
      </c>
      <c r="AI7" s="16">
        <v>1503889814</v>
      </c>
      <c r="AJ7" s="16">
        <v>4340539454</v>
      </c>
      <c r="AK7" s="16">
        <v>5632467285</v>
      </c>
      <c r="AL7" s="16">
        <v>3711774521</v>
      </c>
      <c r="AM7" s="16">
        <v>4642198050</v>
      </c>
      <c r="AN7" s="16">
        <v>3681484099</v>
      </c>
      <c r="AO7" s="16">
        <v>3500109250</v>
      </c>
      <c r="AP7" s="16">
        <v>3283780279</v>
      </c>
      <c r="AQ7" s="16">
        <v>4161593000</v>
      </c>
      <c r="AR7" s="16">
        <v>2393981900</v>
      </c>
      <c r="AS7" s="16">
        <v>5807772500</v>
      </c>
      <c r="AT7" s="16">
        <v>8400713900</v>
      </c>
      <c r="AU7" s="16">
        <v>3931174800</v>
      </c>
      <c r="AV7" s="16">
        <v>5768669300</v>
      </c>
      <c r="AW7" s="16">
        <v>5809292600</v>
      </c>
      <c r="AX7" s="16">
        <v>9485730900</v>
      </c>
      <c r="AY7" s="16">
        <v>6180931000</v>
      </c>
      <c r="AZ7" s="16">
        <v>4176102000</v>
      </c>
      <c r="BA7" s="16">
        <v>3625752000</v>
      </c>
      <c r="BB7" s="16">
        <v>3921219000</v>
      </c>
      <c r="BC7" s="16">
        <v>4329468100</v>
      </c>
      <c r="BD7" s="16">
        <v>4671750950</v>
      </c>
      <c r="BE7" s="42">
        <v>3649641000</v>
      </c>
      <c r="BF7" s="42">
        <v>2184030270</v>
      </c>
      <c r="BG7" s="42">
        <v>4906179695</v>
      </c>
      <c r="BH7" s="42">
        <v>6333654608</v>
      </c>
      <c r="BI7" s="42">
        <v>7807068174</v>
      </c>
      <c r="BJ7" s="42">
        <v>7380147015</v>
      </c>
      <c r="BK7" s="42">
        <v>10556762949</v>
      </c>
      <c r="BL7" s="42">
        <v>12875151030</v>
      </c>
      <c r="BM7" s="42">
        <v>13763220740</v>
      </c>
      <c r="BN7" s="42">
        <v>9904916640</v>
      </c>
      <c r="BO7" s="42">
        <v>7003708500</v>
      </c>
      <c r="BP7" s="42">
        <v>5985740000</v>
      </c>
      <c r="BQ7" s="42">
        <v>7484127000</v>
      </c>
      <c r="BR7" s="42">
        <v>7320017770</v>
      </c>
      <c r="BS7" s="42">
        <f>BS5-BS6</f>
        <v>4596489350</v>
      </c>
      <c r="BT7" s="42">
        <v>9617317135</v>
      </c>
      <c r="BU7" s="42">
        <v>7009495222</v>
      </c>
      <c r="BV7" s="42"/>
      <c r="BW7" s="42"/>
      <c r="BX7" s="42"/>
      <c r="BY7" s="42"/>
      <c r="BZ7" s="42"/>
      <c r="CA7" s="42"/>
      <c r="CB7" s="42"/>
      <c r="CC7" s="42"/>
    </row>
    <row r="8" spans="1:81" ht="15.5">
      <c r="A8" s="65">
        <v>5</v>
      </c>
      <c r="B8" s="13" t="s">
        <v>87</v>
      </c>
      <c r="C8" s="17">
        <v>8</v>
      </c>
      <c r="D8" s="12">
        <f>SUM(Data_PL6[[#This Row],[T1.2021]:[T12.2021]])</f>
        <v>1472445523</v>
      </c>
      <c r="E8" s="12">
        <f>SUM(Data_PL6[[#This Row],[T1.2022]:[T12.2022]])</f>
        <v>13731682171</v>
      </c>
      <c r="F8" s="12">
        <f>SUM(Data_PL6[[#This Row],[T1.2023]:[T12.2023]])</f>
        <v>41701693449</v>
      </c>
      <c r="G8" s="12">
        <f>SUM(Data_PL6[[#This Row],[T01.2024]:[T12.2024]])</f>
        <v>64457272305</v>
      </c>
      <c r="H8" s="12">
        <f>SUM(Data_PL6[[#This Row],[T01.2025]:[T12.2025]])</f>
        <v>88860212617</v>
      </c>
      <c r="I8" s="12">
        <f>SUM(Data_PL6[[#This Row],[T01.2026]:[T12.2026]])</f>
        <v>25136221368</v>
      </c>
      <c r="J8" s="14"/>
      <c r="K8" s="14"/>
      <c r="L8" s="14"/>
      <c r="M8" s="14">
        <v>356035081</v>
      </c>
      <c r="N8" s="14">
        <v>539685001</v>
      </c>
      <c r="O8" s="14">
        <v>10850195</v>
      </c>
      <c r="P8" s="14"/>
      <c r="Q8" s="14"/>
      <c r="R8" s="14"/>
      <c r="S8" s="14">
        <v>84649200</v>
      </c>
      <c r="T8" s="14">
        <v>465251111</v>
      </c>
      <c r="U8" s="14">
        <v>15974935</v>
      </c>
      <c r="V8" s="14">
        <v>168407744</v>
      </c>
      <c r="W8" s="14">
        <v>5395812</v>
      </c>
      <c r="X8" s="14">
        <v>236779308</v>
      </c>
      <c r="Y8" s="14">
        <v>207650748</v>
      </c>
      <c r="Z8" s="14">
        <v>435137862</v>
      </c>
      <c r="AA8" s="14">
        <v>918387357</v>
      </c>
      <c r="AB8" s="14">
        <v>738967733</v>
      </c>
      <c r="AC8" s="14">
        <v>1857317418</v>
      </c>
      <c r="AD8" s="14">
        <v>1276370111</v>
      </c>
      <c r="AE8" s="14">
        <v>2962185705</v>
      </c>
      <c r="AF8" s="14">
        <v>2312380906</v>
      </c>
      <c r="AG8" s="14">
        <v>2612701467</v>
      </c>
      <c r="AH8" s="14">
        <v>2339926056</v>
      </c>
      <c r="AI8" s="14">
        <v>1617373611</v>
      </c>
      <c r="AJ8" s="14">
        <v>4386031675</v>
      </c>
      <c r="AK8" s="14">
        <v>4924018381</v>
      </c>
      <c r="AL8" s="14">
        <v>3584096913</v>
      </c>
      <c r="AM8" s="14">
        <v>4175851308</v>
      </c>
      <c r="AN8" s="14">
        <v>3523205486</v>
      </c>
      <c r="AO8" s="14">
        <v>3237017132</v>
      </c>
      <c r="AP8" s="14">
        <v>3209996558</v>
      </c>
      <c r="AQ8" s="14">
        <v>3747756710</v>
      </c>
      <c r="AR8" s="14">
        <v>2368686966</v>
      </c>
      <c r="AS8" s="14">
        <v>4587732653</v>
      </c>
      <c r="AT8" s="18">
        <v>8360095204</v>
      </c>
      <c r="AU8" s="14">
        <v>3915335812</v>
      </c>
      <c r="AV8" s="14">
        <v>5491561659</v>
      </c>
      <c r="AW8" s="44">
        <v>5777251201</v>
      </c>
      <c r="AX8" s="44">
        <v>9281674213</v>
      </c>
      <c r="AY8" s="44">
        <v>6197150720</v>
      </c>
      <c r="AZ8" s="44">
        <v>4472052819</v>
      </c>
      <c r="BA8" s="44">
        <v>3843795589</v>
      </c>
      <c r="BB8" s="44">
        <v>4098228510</v>
      </c>
      <c r="BC8" s="44">
        <v>4453562079</v>
      </c>
      <c r="BD8" s="45">
        <v>4802207565</v>
      </c>
      <c r="BE8" s="44">
        <v>3764356934</v>
      </c>
      <c r="BF8" s="44">
        <v>2508077713</v>
      </c>
      <c r="BG8" s="44">
        <v>4740440112</v>
      </c>
      <c r="BH8" s="44">
        <v>6014198762</v>
      </c>
      <c r="BI8" s="44">
        <v>7255972077</v>
      </c>
      <c r="BJ8" s="44">
        <v>7126741795</v>
      </c>
      <c r="BK8" s="44">
        <v>9609629830</v>
      </c>
      <c r="BL8" s="44">
        <v>11568387569</v>
      </c>
      <c r="BM8" s="44">
        <v>11854114403</v>
      </c>
      <c r="BN8" s="44">
        <v>9491382430</v>
      </c>
      <c r="BO8" s="44">
        <v>6472207694</v>
      </c>
      <c r="BP8" s="44">
        <v>5524770244</v>
      </c>
      <c r="BQ8" s="44">
        <v>6694289988</v>
      </c>
      <c r="BR8" s="44">
        <v>6508047485</v>
      </c>
      <c r="BS8" s="44">
        <v>4138247394</v>
      </c>
      <c r="BT8" s="44">
        <v>8386341981</v>
      </c>
      <c r="BU8" s="44">
        <v>6103584508</v>
      </c>
      <c r="BV8" s="44"/>
      <c r="BW8" s="44"/>
      <c r="BX8" s="44"/>
      <c r="BY8" s="44"/>
      <c r="BZ8" s="44"/>
      <c r="CA8" s="44"/>
      <c r="CB8" s="44"/>
      <c r="CC8" s="44"/>
    </row>
    <row r="9" spans="1:81">
      <c r="A9" s="67">
        <v>6</v>
      </c>
      <c r="B9" s="10" t="s">
        <v>88</v>
      </c>
      <c r="C9" s="19">
        <v>8</v>
      </c>
      <c r="D9" s="19">
        <f>SUM(Data_PL6[[#This Row],[T1.2021]:[T12.2021]])</f>
        <v>56192401</v>
      </c>
      <c r="E9" s="19">
        <f>SUM(Data_PL6[[#This Row],[T1.2022]:[T12.2022]])</f>
        <v>1318703362</v>
      </c>
      <c r="F9" s="19">
        <f>SUM(Data_PL6[[#This Row],[T1.2023]:[T12.2023]])</f>
        <v>2780320162</v>
      </c>
      <c r="G9" s="19">
        <f>SUM(Data_PL6[[#This Row],[T01.2024]:[T12.2024]])</f>
        <v>-506826755</v>
      </c>
      <c r="H9" s="19">
        <f>SUM(Data_PL6[[#This Row],[T01.2025]:[T12.2025]])</f>
        <v>7324494004</v>
      </c>
      <c r="I9" s="19">
        <f>SUM(Data_PL6[[#This Row],[T01.2026]:[T12.2026]])</f>
        <v>3407098109</v>
      </c>
      <c r="J9" s="20">
        <v>0</v>
      </c>
      <c r="K9" s="20">
        <v>0</v>
      </c>
      <c r="L9" s="20">
        <v>0</v>
      </c>
      <c r="M9" s="20">
        <v>12389069</v>
      </c>
      <c r="N9" s="20">
        <v>141373</v>
      </c>
      <c r="O9" s="20">
        <v>-4195</v>
      </c>
      <c r="P9" s="20">
        <v>0</v>
      </c>
      <c r="Q9" s="20">
        <v>0</v>
      </c>
      <c r="R9" s="20">
        <v>0</v>
      </c>
      <c r="S9" s="20">
        <v>1010000</v>
      </c>
      <c r="T9" s="20">
        <v>36911089</v>
      </c>
      <c r="U9" s="20">
        <v>5745065</v>
      </c>
      <c r="V9" s="20">
        <v>-61956834</v>
      </c>
      <c r="W9" s="20">
        <v>-5395812</v>
      </c>
      <c r="X9" s="20">
        <v>28428602</v>
      </c>
      <c r="Y9" s="20">
        <v>27740215</v>
      </c>
      <c r="Z9" s="20">
        <v>114833638</v>
      </c>
      <c r="AA9" s="20">
        <v>86000643</v>
      </c>
      <c r="AB9" s="20">
        <v>72074767</v>
      </c>
      <c r="AC9" s="20">
        <v>332994525</v>
      </c>
      <c r="AD9" s="20">
        <v>154526889</v>
      </c>
      <c r="AE9" s="20">
        <v>318702295</v>
      </c>
      <c r="AF9" s="20">
        <v>236128144</v>
      </c>
      <c r="AG9" s="20">
        <v>14626290</v>
      </c>
      <c r="AH9" s="20">
        <v>-517502597</v>
      </c>
      <c r="AI9" s="20">
        <v>-113483797</v>
      </c>
      <c r="AJ9" s="20">
        <v>-45492221</v>
      </c>
      <c r="AK9" s="20">
        <v>708448904</v>
      </c>
      <c r="AL9" s="20">
        <v>127677608</v>
      </c>
      <c r="AM9" s="20">
        <v>466346742</v>
      </c>
      <c r="AN9" s="20">
        <v>158278613</v>
      </c>
      <c r="AO9" s="20">
        <v>263092118</v>
      </c>
      <c r="AP9" s="20">
        <v>73783721</v>
      </c>
      <c r="AQ9" s="20">
        <v>413836290</v>
      </c>
      <c r="AR9" s="20">
        <v>25294934</v>
      </c>
      <c r="AS9" s="20">
        <v>1220039847</v>
      </c>
      <c r="AT9" s="20">
        <v>40618696</v>
      </c>
      <c r="AU9" s="20">
        <v>15838988</v>
      </c>
      <c r="AV9" s="20">
        <v>277107641</v>
      </c>
      <c r="AW9" s="20">
        <v>32041399</v>
      </c>
      <c r="AX9" s="20">
        <v>204056687</v>
      </c>
      <c r="AY9" s="20">
        <v>-16219720</v>
      </c>
      <c r="AZ9" s="20">
        <v>-295950819</v>
      </c>
      <c r="BA9" s="20">
        <v>-218043589</v>
      </c>
      <c r="BB9" s="20">
        <v>-177009510</v>
      </c>
      <c r="BC9" s="20">
        <v>-124093979</v>
      </c>
      <c r="BD9" s="20">
        <v>-130456615</v>
      </c>
      <c r="BE9" s="20">
        <v>-114715934</v>
      </c>
      <c r="BF9" s="20">
        <v>-324047443</v>
      </c>
      <c r="BG9" s="20">
        <v>165739583</v>
      </c>
      <c r="BH9" s="20">
        <v>319455846</v>
      </c>
      <c r="BI9" s="20">
        <v>551096097</v>
      </c>
      <c r="BJ9" s="20">
        <v>253405220</v>
      </c>
      <c r="BK9" s="20">
        <v>947133119</v>
      </c>
      <c r="BL9" s="20">
        <v>1306763461</v>
      </c>
      <c r="BM9" s="20">
        <v>1909106337</v>
      </c>
      <c r="BN9" s="20">
        <v>413534210</v>
      </c>
      <c r="BO9" s="20">
        <v>531500806</v>
      </c>
      <c r="BP9" s="20">
        <v>460969756</v>
      </c>
      <c r="BQ9" s="20">
        <v>789837012</v>
      </c>
      <c r="BR9" s="20">
        <v>811970285</v>
      </c>
      <c r="BS9" s="20">
        <f>BS7-BS8</f>
        <v>458241956</v>
      </c>
      <c r="BT9" s="20">
        <f>BT7-BT8</f>
        <v>1230975154</v>
      </c>
      <c r="BU9" s="20">
        <f>BU7-BU8</f>
        <v>905910714</v>
      </c>
      <c r="BV9" s="20"/>
      <c r="BW9" s="20"/>
      <c r="BX9" s="20"/>
      <c r="BY9" s="20"/>
      <c r="BZ9" s="20"/>
      <c r="CA9" s="20"/>
      <c r="CB9" s="20"/>
      <c r="CC9" s="20"/>
    </row>
    <row r="10" spans="1:81">
      <c r="A10" s="67">
        <v>7</v>
      </c>
      <c r="B10" s="10" t="s">
        <v>89</v>
      </c>
      <c r="C10" s="19">
        <v>8</v>
      </c>
      <c r="D10" s="19">
        <f>SUM(Data_PL6[[#This Row],[T1.2021]:[T12.2021]])</f>
        <v>0</v>
      </c>
      <c r="E10" s="19">
        <f>SUM(Data_PL6[[#This Row],[T1.2022]:[T12.2022]])</f>
        <v>0</v>
      </c>
      <c r="F10" s="19">
        <f>SUM(Data_PL6[[#This Row],[T1.2023]:[T12.2023]])</f>
        <v>0</v>
      </c>
      <c r="G10" s="19">
        <f>SUM(Data_PL6[[#This Row],[T01.2024]:[T12.2024]])</f>
        <v>0</v>
      </c>
      <c r="H10" s="19">
        <f>SUM(Data_PL6[[#This Row],[T01.2025]:[T12.2025]])</f>
        <v>0</v>
      </c>
      <c r="I10" s="19">
        <f>SUM(Data_PL6[[#This Row],[T01.2026]:[T12.2026]])</f>
        <v>0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</row>
    <row r="11" spans="1:81">
      <c r="A11" s="65">
        <v>8</v>
      </c>
      <c r="B11" s="13" t="s">
        <v>90</v>
      </c>
      <c r="C11" s="12">
        <v>8</v>
      </c>
      <c r="D11" s="12">
        <f>SUM(Data_PL6[[#This Row],[T1.2021]:[T12.2021]])</f>
        <v>810492</v>
      </c>
      <c r="E11" s="12">
        <f>SUM(Data_PL6[[#This Row],[T1.2022]:[T12.2022]])</f>
        <v>4594327</v>
      </c>
      <c r="F11" s="12">
        <f>SUM(Data_PL6[[#This Row],[T1.2023]:[T12.2023]])</f>
        <v>27223645</v>
      </c>
      <c r="G11" s="12">
        <f>SUM(Data_PL6[[#This Row],[T01.2024]:[T12.2024]])</f>
        <v>192088676</v>
      </c>
      <c r="H11" s="12">
        <f>SUM(Data_PL6[[#This Row],[T01.2025]:[T12.2025]])</f>
        <v>318990785</v>
      </c>
      <c r="I11" s="12">
        <f>SUM(Data_PL6[[#This Row],[T01.2026]:[T12.2026]])</f>
        <v>162989914</v>
      </c>
      <c r="J11" s="14">
        <v>107454</v>
      </c>
      <c r="K11" s="14">
        <v>56525</v>
      </c>
      <c r="L11" s="14">
        <v>64648</v>
      </c>
      <c r="M11" s="14">
        <v>175348</v>
      </c>
      <c r="N11" s="14">
        <v>109741</v>
      </c>
      <c r="O11" s="14">
        <v>71964</v>
      </c>
      <c r="P11" s="14">
        <v>33319</v>
      </c>
      <c r="Q11" s="14">
        <v>35780</v>
      </c>
      <c r="R11" s="14">
        <v>57304</v>
      </c>
      <c r="S11" s="14">
        <v>40536</v>
      </c>
      <c r="T11" s="14">
        <v>27652</v>
      </c>
      <c r="U11" s="14">
        <v>30221</v>
      </c>
      <c r="V11" s="14">
        <v>100771</v>
      </c>
      <c r="W11" s="14">
        <v>22232</v>
      </c>
      <c r="X11" s="14">
        <v>9940</v>
      </c>
      <c r="Y11" s="14">
        <v>18461</v>
      </c>
      <c r="Z11" s="14">
        <v>51784</v>
      </c>
      <c r="AA11" s="14">
        <v>65299</v>
      </c>
      <c r="AB11" s="14">
        <v>28201</v>
      </c>
      <c r="AC11" s="14">
        <v>103587</v>
      </c>
      <c r="AD11" s="14">
        <v>134052</v>
      </c>
      <c r="AE11" s="14">
        <v>100634</v>
      </c>
      <c r="AF11" s="14">
        <v>1758913</v>
      </c>
      <c r="AG11" s="14">
        <v>2200453</v>
      </c>
      <c r="AH11" s="14">
        <v>3773270</v>
      </c>
      <c r="AI11" s="14">
        <v>3236864</v>
      </c>
      <c r="AJ11" s="14">
        <v>2346303</v>
      </c>
      <c r="AK11" s="14">
        <v>1424265</v>
      </c>
      <c r="AL11" s="14">
        <v>777811</v>
      </c>
      <c r="AM11" s="14">
        <v>307201</v>
      </c>
      <c r="AN11" s="14">
        <v>328719</v>
      </c>
      <c r="AO11" s="14">
        <v>368024</v>
      </c>
      <c r="AP11" s="14">
        <v>352533</v>
      </c>
      <c r="AQ11" s="14">
        <v>313627</v>
      </c>
      <c r="AR11" s="14">
        <v>161478</v>
      </c>
      <c r="AS11" s="14">
        <v>13833550</v>
      </c>
      <c r="AT11" s="14">
        <v>9382459</v>
      </c>
      <c r="AU11" s="14">
        <v>10579719</v>
      </c>
      <c r="AV11" s="14">
        <v>9899400</v>
      </c>
      <c r="AW11" s="38">
        <v>10580906</v>
      </c>
      <c r="AX11" s="38">
        <v>10872809</v>
      </c>
      <c r="AY11" s="38">
        <v>12253869</v>
      </c>
      <c r="AZ11" s="38">
        <v>32961164</v>
      </c>
      <c r="BA11" s="38">
        <v>10484107</v>
      </c>
      <c r="BB11" s="38">
        <v>10990062</v>
      </c>
      <c r="BC11" s="38">
        <v>51973968</v>
      </c>
      <c r="BD11" s="38">
        <v>11239032</v>
      </c>
      <c r="BE11" s="39">
        <v>10871181</v>
      </c>
      <c r="BF11" s="39">
        <v>56610291</v>
      </c>
      <c r="BG11" s="39">
        <v>11478700</v>
      </c>
      <c r="BH11" s="39">
        <v>10596772</v>
      </c>
      <c r="BI11" s="39">
        <v>57102551</v>
      </c>
      <c r="BJ11" s="39">
        <v>11106781</v>
      </c>
      <c r="BK11" s="39">
        <v>10419655</v>
      </c>
      <c r="BL11" s="39">
        <v>56496007</v>
      </c>
      <c r="BM11" s="39">
        <v>7319275</v>
      </c>
      <c r="BN11" s="39">
        <v>7346208</v>
      </c>
      <c r="BO11" s="39">
        <v>52495236</v>
      </c>
      <c r="BP11" s="39">
        <v>19072961</v>
      </c>
      <c r="BQ11" s="39">
        <v>18946348</v>
      </c>
      <c r="BR11" s="39">
        <v>65571081</v>
      </c>
      <c r="BS11" s="39">
        <v>20192380</v>
      </c>
      <c r="BT11" s="39">
        <v>18234753</v>
      </c>
      <c r="BU11" s="39">
        <v>58991700</v>
      </c>
      <c r="BV11" s="39"/>
      <c r="BW11" s="39"/>
      <c r="BX11" s="39"/>
      <c r="BY11" s="39"/>
      <c r="BZ11" s="39"/>
      <c r="CA11" s="39"/>
      <c r="CB11" s="39"/>
      <c r="CC11" s="39"/>
    </row>
    <row r="12" spans="1:81">
      <c r="A12" s="64">
        <v>9</v>
      </c>
      <c r="B12" s="10" t="s">
        <v>91</v>
      </c>
      <c r="C12" s="9">
        <v>8</v>
      </c>
      <c r="D12" s="9">
        <f>SUM(Data_PL6[[#This Row],[T1.2021]:[T12.2021]])</f>
        <v>0</v>
      </c>
      <c r="E12" s="9">
        <f>SUM(Data_PL6[[#This Row],[T1.2022]:[T12.2022]])</f>
        <v>0</v>
      </c>
      <c r="F12" s="9">
        <f>SUM(Data_PL6[[#This Row],[T1.2023]:[T12.2023]])</f>
        <v>0</v>
      </c>
      <c r="G12" s="9">
        <f>SUM(Data_PL6[[#This Row],[T01.2024]:[T12.2024]])</f>
        <v>0</v>
      </c>
      <c r="H12" s="9">
        <f>SUM(Data_PL6[[#This Row],[T01.2025]:[T12.2025]])</f>
        <v>3187200</v>
      </c>
      <c r="I12" s="9">
        <f>SUM(Data_PL6[[#This Row],[T01.2026]:[T12.2026]])</f>
        <v>0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48"/>
      <c r="BF12" s="48"/>
      <c r="BG12" s="48"/>
      <c r="BH12" s="48"/>
      <c r="BI12" s="48"/>
      <c r="BJ12" s="48"/>
      <c r="BK12" s="48"/>
      <c r="BL12" s="48">
        <v>3187200</v>
      </c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</row>
    <row r="13" spans="1:81">
      <c r="A13" s="65">
        <v>10</v>
      </c>
      <c r="B13" s="21" t="s">
        <v>92</v>
      </c>
      <c r="C13" s="12">
        <v>8</v>
      </c>
      <c r="D13" s="12">
        <f>SUM(Data_PL6[[#This Row],[T1.2021]:[T12.2021]])</f>
        <v>0</v>
      </c>
      <c r="E13" s="12">
        <f>SUM(Data_PL6[[#This Row],[T1.2022]:[T12.2022]])</f>
        <v>0</v>
      </c>
      <c r="F13" s="12">
        <f>SUM(Data_PL6[[#This Row],[T1.2023]:[T12.2023]])</f>
        <v>0</v>
      </c>
      <c r="G13" s="12">
        <f>SUM(Data_PL6[[#This Row],[T01.2024]:[T12.2024]])</f>
        <v>0</v>
      </c>
      <c r="H13" s="12">
        <f>SUM(Data_PL6[[#This Row],[T01.2025]:[T12.2025]])</f>
        <v>3187200</v>
      </c>
      <c r="I13" s="12">
        <f>SUM(Data_PL6[[#This Row],[T01.2026]:[T12.2026]])</f>
        <v>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38"/>
      <c r="AX13" s="38"/>
      <c r="AY13" s="38"/>
      <c r="AZ13" s="38"/>
      <c r="BA13" s="38"/>
      <c r="BB13" s="38"/>
      <c r="BC13" s="38"/>
      <c r="BD13" s="38"/>
      <c r="BE13" s="39"/>
      <c r="BF13" s="39"/>
      <c r="BG13" s="39"/>
      <c r="BH13" s="39"/>
      <c r="BI13" s="39"/>
      <c r="BJ13" s="39"/>
      <c r="BK13" s="39"/>
      <c r="BL13" s="39">
        <v>3187200</v>
      </c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</row>
    <row r="14" spans="1:81">
      <c r="A14" s="65">
        <v>11</v>
      </c>
      <c r="B14" s="13" t="s">
        <v>93</v>
      </c>
      <c r="C14" s="12">
        <v>8</v>
      </c>
      <c r="D14" s="12">
        <f>SUM(Data_PL6[[#This Row],[T1.2021]:[T12.2021]])</f>
        <v>0</v>
      </c>
      <c r="E14" s="12">
        <f>SUM(Data_PL6[[#This Row],[T1.2022]:[T12.2022]])</f>
        <v>2904725277</v>
      </c>
      <c r="F14" s="12">
        <f>SUM(Data_PL6[[#This Row],[T1.2023]:[T12.2023]])</f>
        <v>5058309993</v>
      </c>
      <c r="G14" s="12">
        <f>SUM(Data_PL6[[#This Row],[T01.2024]:[T12.2024]])</f>
        <v>1040686400</v>
      </c>
      <c r="H14" s="12">
        <f>SUM(Data_PL6[[#This Row],[T01.2025]:[T12.2025]])</f>
        <v>2125300000</v>
      </c>
      <c r="I14" s="12">
        <f>SUM(Data_PL6[[#This Row],[T01.2026]:[T12.2026]])</f>
        <v>784300000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>
        <v>4154275</v>
      </c>
      <c r="W14" s="14">
        <v>111551042</v>
      </c>
      <c r="X14" s="14">
        <v>110233410</v>
      </c>
      <c r="Y14" s="14">
        <v>127730395</v>
      </c>
      <c r="Z14" s="14">
        <v>186833035</v>
      </c>
      <c r="AA14" s="14">
        <v>196635214</v>
      </c>
      <c r="AB14" s="14">
        <v>194194095</v>
      </c>
      <c r="AC14" s="14">
        <v>278805851</v>
      </c>
      <c r="AD14" s="14">
        <v>297860980</v>
      </c>
      <c r="AE14" s="14">
        <v>356552796</v>
      </c>
      <c r="AF14" s="14">
        <v>391895076</v>
      </c>
      <c r="AG14" s="14">
        <v>648279108</v>
      </c>
      <c r="AH14" s="14">
        <v>366527895</v>
      </c>
      <c r="AI14" s="14">
        <v>316438292</v>
      </c>
      <c r="AJ14" s="14">
        <v>474659267</v>
      </c>
      <c r="AK14" s="14">
        <v>500360421</v>
      </c>
      <c r="AL14" s="14">
        <v>442222030</v>
      </c>
      <c r="AM14" s="14">
        <v>537898379</v>
      </c>
      <c r="AN14" s="14">
        <v>496904815</v>
      </c>
      <c r="AO14" s="14">
        <v>432396059</v>
      </c>
      <c r="AP14" s="14">
        <v>375069710</v>
      </c>
      <c r="AQ14" s="14">
        <v>355199519</v>
      </c>
      <c r="AR14" s="14">
        <v>319486926</v>
      </c>
      <c r="AS14" s="14">
        <v>441146680</v>
      </c>
      <c r="AT14" s="14">
        <v>80500000</v>
      </c>
      <c r="AU14" s="14">
        <v>92396800</v>
      </c>
      <c r="AV14" s="14">
        <v>121389600</v>
      </c>
      <c r="AW14" s="38">
        <v>78000000</v>
      </c>
      <c r="AX14" s="38">
        <v>146000000</v>
      </c>
      <c r="AY14" s="38">
        <v>115500000</v>
      </c>
      <c r="AZ14" s="38">
        <v>64000000</v>
      </c>
      <c r="BA14" s="38">
        <v>54000000</v>
      </c>
      <c r="BB14" s="38">
        <v>57900000</v>
      </c>
      <c r="BC14" s="38">
        <v>75900000</v>
      </c>
      <c r="BD14" s="38">
        <v>79200000</v>
      </c>
      <c r="BE14" s="38">
        <v>75900000</v>
      </c>
      <c r="BF14" s="38">
        <v>46200000</v>
      </c>
      <c r="BG14" s="38">
        <v>111100000</v>
      </c>
      <c r="BH14" s="38">
        <v>142500000</v>
      </c>
      <c r="BI14" s="38">
        <v>161600000</v>
      </c>
      <c r="BJ14" s="38">
        <v>157100000</v>
      </c>
      <c r="BK14" s="38">
        <v>207400000</v>
      </c>
      <c r="BL14" s="38">
        <v>261000000</v>
      </c>
      <c r="BM14" s="38">
        <v>278300000</v>
      </c>
      <c r="BN14" s="38">
        <v>246900000</v>
      </c>
      <c r="BO14" s="38">
        <v>175300000</v>
      </c>
      <c r="BP14" s="38">
        <v>144200000</v>
      </c>
      <c r="BQ14" s="38">
        <v>193700000</v>
      </c>
      <c r="BR14" s="38">
        <v>195900000</v>
      </c>
      <c r="BS14" s="38">
        <v>121800000</v>
      </c>
      <c r="BT14" s="38">
        <v>271300000</v>
      </c>
      <c r="BU14" s="38">
        <v>195300000</v>
      </c>
      <c r="BV14" s="38"/>
      <c r="BW14" s="38"/>
      <c r="BX14" s="38"/>
      <c r="BY14" s="38"/>
      <c r="BZ14" s="38"/>
      <c r="CA14" s="38"/>
      <c r="CB14" s="38"/>
      <c r="CC14" s="38"/>
    </row>
    <row r="15" spans="1:81">
      <c r="A15" s="65">
        <v>12</v>
      </c>
      <c r="B15" s="13" t="s">
        <v>94</v>
      </c>
      <c r="C15" s="12">
        <v>8</v>
      </c>
      <c r="D15" s="12">
        <f>SUM(Data_PL6[[#This Row],[T1.2021]:[T12.2021]])</f>
        <v>1872536978</v>
      </c>
      <c r="E15" s="12">
        <f>SUM(Data_PL6[[#This Row],[T1.2022]:[T12.2022]])</f>
        <v>3300814546</v>
      </c>
      <c r="F15" s="12">
        <f>SUM(Data_PL6[[#This Row],[T1.2023]:[T12.2023]])</f>
        <v>1954737169</v>
      </c>
      <c r="G15" s="12">
        <f>SUM(Data_PL6[[#This Row],[T01.2024]:[T12.2024]])</f>
        <v>1657750500</v>
      </c>
      <c r="H15" s="12">
        <f>SUM(Data_PL6[[#This Row],[T01.2025]:[T12.2025]])</f>
        <v>2232589956</v>
      </c>
      <c r="I15" s="12">
        <f>SUM(Data_PL6[[#This Row],[T01.2026]:[T12.2026]])</f>
        <v>1199107431</v>
      </c>
      <c r="J15" s="14">
        <v>221942434</v>
      </c>
      <c r="K15" s="14">
        <v>160995395</v>
      </c>
      <c r="L15" s="14">
        <v>164451697</v>
      </c>
      <c r="M15" s="14">
        <v>178420921</v>
      </c>
      <c r="N15" s="14">
        <v>170443955</v>
      </c>
      <c r="O15" s="14">
        <v>146772545</v>
      </c>
      <c r="P15" s="14">
        <v>112926597</v>
      </c>
      <c r="Q15" s="14">
        <v>92395770</v>
      </c>
      <c r="R15" s="14">
        <v>144942481</v>
      </c>
      <c r="S15" s="14">
        <v>112946309</v>
      </c>
      <c r="T15" s="14">
        <v>203715505</v>
      </c>
      <c r="U15" s="14">
        <v>162583369</v>
      </c>
      <c r="V15" s="14">
        <v>280578279</v>
      </c>
      <c r="W15" s="14">
        <v>215624058</v>
      </c>
      <c r="X15" s="14">
        <v>219366011</v>
      </c>
      <c r="Y15" s="14">
        <v>231890562</v>
      </c>
      <c r="Z15" s="14">
        <v>256308230</v>
      </c>
      <c r="AA15" s="14">
        <v>263761631</v>
      </c>
      <c r="AB15" s="14">
        <v>256193542</v>
      </c>
      <c r="AC15" s="14">
        <v>352498211</v>
      </c>
      <c r="AD15" s="14">
        <v>279335970</v>
      </c>
      <c r="AE15" s="14">
        <v>316719998</v>
      </c>
      <c r="AF15" s="14">
        <v>313644325</v>
      </c>
      <c r="AG15" s="14">
        <v>314893729</v>
      </c>
      <c r="AH15" s="14">
        <v>171041154</v>
      </c>
      <c r="AI15" s="14">
        <v>106732861</v>
      </c>
      <c r="AJ15" s="14">
        <v>216653690</v>
      </c>
      <c r="AK15" s="14">
        <v>175450114</v>
      </c>
      <c r="AL15" s="14">
        <v>150767254</v>
      </c>
      <c r="AM15" s="14">
        <v>113915370</v>
      </c>
      <c r="AN15" s="14">
        <v>131931037</v>
      </c>
      <c r="AO15" s="14">
        <v>141040749</v>
      </c>
      <c r="AP15" s="14">
        <v>159030184</v>
      </c>
      <c r="AQ15" s="14">
        <v>164620496</v>
      </c>
      <c r="AR15" s="14">
        <v>144231512</v>
      </c>
      <c r="AS15" s="14">
        <v>279322748</v>
      </c>
      <c r="AT15" s="14">
        <v>159221608</v>
      </c>
      <c r="AU15" s="14">
        <v>104655178</v>
      </c>
      <c r="AV15" s="14">
        <v>115295655</v>
      </c>
      <c r="AW15" s="38">
        <v>106050997</v>
      </c>
      <c r="AX15" s="38">
        <v>66870820</v>
      </c>
      <c r="AY15" s="38">
        <v>76195851</v>
      </c>
      <c r="AZ15" s="38">
        <v>68152514</v>
      </c>
      <c r="BA15" s="38">
        <v>139408411</v>
      </c>
      <c r="BB15" s="38">
        <v>83156007</v>
      </c>
      <c r="BC15" s="38">
        <v>88772319</v>
      </c>
      <c r="BD15" s="38">
        <v>552891636</v>
      </c>
      <c r="BE15" s="38">
        <v>97079504</v>
      </c>
      <c r="BF15" s="38">
        <v>147069830</v>
      </c>
      <c r="BG15" s="38">
        <v>115999204</v>
      </c>
      <c r="BH15" s="38">
        <v>120706843</v>
      </c>
      <c r="BI15" s="38">
        <v>155764782</v>
      </c>
      <c r="BJ15" s="38">
        <v>142223547</v>
      </c>
      <c r="BK15" s="38">
        <v>131398532</v>
      </c>
      <c r="BL15" s="38">
        <v>129629381</v>
      </c>
      <c r="BM15" s="38">
        <v>133594277</v>
      </c>
      <c r="BN15" s="38">
        <v>218907692</v>
      </c>
      <c r="BO15" s="38">
        <v>204745721</v>
      </c>
      <c r="BP15" s="38">
        <v>227424354</v>
      </c>
      <c r="BQ15" s="38">
        <v>505125793</v>
      </c>
      <c r="BR15" s="38">
        <v>282752757</v>
      </c>
      <c r="BS15" s="38">
        <v>375736155</v>
      </c>
      <c r="BT15" s="38">
        <v>268709308</v>
      </c>
      <c r="BU15" s="38">
        <v>271909211</v>
      </c>
      <c r="BV15" s="38"/>
      <c r="BW15" s="38"/>
      <c r="BX15" s="38"/>
      <c r="BY15" s="38"/>
      <c r="BZ15" s="38"/>
      <c r="CA15" s="38"/>
      <c r="CB15" s="38"/>
      <c r="CC15" s="38"/>
    </row>
    <row r="16" spans="1:81">
      <c r="A16" s="64">
        <v>13</v>
      </c>
      <c r="B16" s="10" t="s">
        <v>95</v>
      </c>
      <c r="C16" s="9">
        <v>8</v>
      </c>
      <c r="D16" s="9">
        <f>SUM(Data_PL6[[#This Row],[T1.2021]:[T12.2021]])</f>
        <v>-1815534085</v>
      </c>
      <c r="E16" s="9">
        <f>SUM(Data_PL6[[#This Row],[T1.2022]:[T12.2022]])</f>
        <v>-4882242134</v>
      </c>
      <c r="F16" s="9">
        <f>SUM(Data_PL6[[#This Row],[T1.2023]:[T12.2023]])</f>
        <v>-4205503355</v>
      </c>
      <c r="G16" s="9">
        <f>SUM(Data_PL6[[#This Row],[T01.2024]:[T12.2024]])</f>
        <v>-3013174979</v>
      </c>
      <c r="H16" s="9">
        <f>SUM(Data_PL6[[#This Row],[T01.2025]:[T12.2025]])</f>
        <v>3282407633</v>
      </c>
      <c r="I16" s="9">
        <f>SUM(Data_PL6[[#This Row],[T01.2026]:[T12.2026]])</f>
        <v>1586680592</v>
      </c>
      <c r="J16" s="11">
        <v>-221834980</v>
      </c>
      <c r="K16" s="11">
        <v>-160938870</v>
      </c>
      <c r="L16" s="11">
        <v>-164387049</v>
      </c>
      <c r="M16" s="11">
        <v>-165856504</v>
      </c>
      <c r="N16" s="11">
        <v>-170192841</v>
      </c>
      <c r="O16" s="11">
        <v>-146704776</v>
      </c>
      <c r="P16" s="11">
        <v>-112893278</v>
      </c>
      <c r="Q16" s="11">
        <v>-92359990</v>
      </c>
      <c r="R16" s="11">
        <v>-144885177</v>
      </c>
      <c r="S16" s="11">
        <v>-111895773</v>
      </c>
      <c r="T16" s="11">
        <v>-166776764</v>
      </c>
      <c r="U16" s="11">
        <v>-156808083</v>
      </c>
      <c r="V16" s="11">
        <v>-346588617</v>
      </c>
      <c r="W16" s="11">
        <v>-332548680</v>
      </c>
      <c r="X16" s="11">
        <v>-301160879</v>
      </c>
      <c r="Y16" s="11">
        <v>-331862281</v>
      </c>
      <c r="Z16" s="11">
        <v>-328255843</v>
      </c>
      <c r="AA16" s="11">
        <v>-374330903</v>
      </c>
      <c r="AB16" s="11">
        <v>-378284669</v>
      </c>
      <c r="AC16" s="11">
        <v>-298205950</v>
      </c>
      <c r="AD16" s="11">
        <v>-422536009</v>
      </c>
      <c r="AE16" s="11">
        <v>-354469865</v>
      </c>
      <c r="AF16" s="11">
        <v>-467652344</v>
      </c>
      <c r="AG16" s="11">
        <v>-946346094</v>
      </c>
      <c r="AH16" s="11">
        <v>-1051298376</v>
      </c>
      <c r="AI16" s="11">
        <v>-533418086</v>
      </c>
      <c r="AJ16" s="11">
        <v>-734458875</v>
      </c>
      <c r="AK16" s="11">
        <v>34062634</v>
      </c>
      <c r="AL16" s="11">
        <v>-464533865</v>
      </c>
      <c r="AM16" s="11">
        <v>-185159806</v>
      </c>
      <c r="AN16" s="11">
        <v>-470228520</v>
      </c>
      <c r="AO16" s="11">
        <v>-309976666</v>
      </c>
      <c r="AP16" s="11">
        <v>-459963640</v>
      </c>
      <c r="AQ16" s="11">
        <v>-105670098</v>
      </c>
      <c r="AR16" s="11">
        <v>-438262026</v>
      </c>
      <c r="AS16" s="11">
        <v>513403969</v>
      </c>
      <c r="AT16" s="11">
        <v>-189720453</v>
      </c>
      <c r="AU16" s="11">
        <v>-170633271</v>
      </c>
      <c r="AV16" s="11">
        <v>50321786</v>
      </c>
      <c r="AW16" s="11">
        <v>-141428692</v>
      </c>
      <c r="AX16" s="11">
        <v>2058676</v>
      </c>
      <c r="AY16" s="11">
        <v>-195661702</v>
      </c>
      <c r="AZ16" s="11">
        <v>-395142169</v>
      </c>
      <c r="BA16" s="11">
        <v>-400967893</v>
      </c>
      <c r="BB16" s="11">
        <v>-307075455</v>
      </c>
      <c r="BC16" s="11">
        <v>-236792330</v>
      </c>
      <c r="BD16" s="11">
        <v>-751309219</v>
      </c>
      <c r="BE16" s="48">
        <v>-276824257</v>
      </c>
      <c r="BF16" s="48">
        <v>-460706982</v>
      </c>
      <c r="BG16" s="48">
        <v>-49880921</v>
      </c>
      <c r="BH16" s="48">
        <v>66845775</v>
      </c>
      <c r="BI16" s="48">
        <v>290833866</v>
      </c>
      <c r="BJ16" s="48">
        <v>-34811546</v>
      </c>
      <c r="BK16" s="48">
        <v>618754242</v>
      </c>
      <c r="BL16" s="48">
        <v>969442887</v>
      </c>
      <c r="BM16" s="48">
        <v>1504531335</v>
      </c>
      <c r="BN16" s="48">
        <v>-44927274</v>
      </c>
      <c r="BO16" s="48">
        <v>203950321</v>
      </c>
      <c r="BP16" s="48">
        <v>108418363</v>
      </c>
      <c r="BQ16" s="48">
        <f>+BQ9+BQ11-BQ12-BQ14-BQ15</f>
        <v>109957567</v>
      </c>
      <c r="BR16" s="48">
        <v>398888609</v>
      </c>
      <c r="BS16" s="48">
        <f>SUM(BS9:BS11)-BS12-BS14-BS15</f>
        <v>-19101819</v>
      </c>
      <c r="BT16" s="48">
        <f>SUM(BT9:BT11)-BT12-BT14-BT15</f>
        <v>709200599</v>
      </c>
      <c r="BU16" s="48">
        <f>SUM(BU9:BU11)-BU12-BU14-BU15</f>
        <v>497693203</v>
      </c>
      <c r="BV16" s="48"/>
      <c r="BW16" s="48"/>
      <c r="BX16" s="48"/>
      <c r="BY16" s="48"/>
      <c r="BZ16" s="48"/>
      <c r="CA16" s="48"/>
      <c r="CB16" s="48"/>
      <c r="CC16" s="48"/>
    </row>
    <row r="17" spans="1:81">
      <c r="A17" s="65">
        <v>14</v>
      </c>
      <c r="B17" s="13" t="s">
        <v>96</v>
      </c>
      <c r="C17" s="12">
        <v>8</v>
      </c>
      <c r="D17" s="12">
        <f>SUM(Data_PL6[[#This Row],[T1.2021]:[T12.2021]])</f>
        <v>0</v>
      </c>
      <c r="E17" s="12">
        <f>SUM(Data_PL6[[#This Row],[T1.2022]:[T12.2022]])</f>
        <v>6181097313</v>
      </c>
      <c r="F17" s="12">
        <f>SUM(Data_PL6[[#This Row],[T1.2023]:[T12.2023]])</f>
        <v>9001</v>
      </c>
      <c r="G17" s="12">
        <f>SUM(Data_PL6[[#This Row],[T01.2024]:[T12.2024]])</f>
        <v>82239351</v>
      </c>
      <c r="H17" s="12">
        <f>SUM(Data_PL6[[#This Row],[T01.2025]:[T12.2025]])</f>
        <v>129727962</v>
      </c>
      <c r="I17" s="12">
        <f>SUM(Data_PL6[[#This Row],[T01.2026]:[T12.2026]])</f>
        <v>53564051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>
        <v>500</v>
      </c>
      <c r="W17" s="14">
        <v>500</v>
      </c>
      <c r="X17" s="14"/>
      <c r="Y17" s="14">
        <v>8003</v>
      </c>
      <c r="Z17" s="14">
        <v>20000</v>
      </c>
      <c r="AA17" s="14">
        <v>310</v>
      </c>
      <c r="AB17" s="14"/>
      <c r="AC17" s="14"/>
      <c r="AD17" s="14"/>
      <c r="AE17" s="14"/>
      <c r="AF17" s="14">
        <v>2683400000</v>
      </c>
      <c r="AG17" s="14">
        <v>3497668000</v>
      </c>
      <c r="AH17" s="14">
        <v>9000</v>
      </c>
      <c r="AI17" s="14"/>
      <c r="AJ17" s="14"/>
      <c r="AK17" s="14"/>
      <c r="AL17" s="14"/>
      <c r="AM17" s="14"/>
      <c r="AN17" s="14"/>
      <c r="AO17" s="14"/>
      <c r="AP17" s="14">
        <v>1</v>
      </c>
      <c r="AQ17" s="14"/>
      <c r="AR17" s="14"/>
      <c r="AS17" s="14"/>
      <c r="AT17" s="14"/>
      <c r="AU17" s="14"/>
      <c r="AV17" s="14"/>
      <c r="AW17" s="38">
        <v>81700000</v>
      </c>
      <c r="AX17" s="38"/>
      <c r="AY17" s="38"/>
      <c r="AZ17" s="38">
        <v>539351</v>
      </c>
      <c r="BA17" s="38"/>
      <c r="BB17" s="38"/>
      <c r="BC17" s="38"/>
      <c r="BD17" s="38"/>
      <c r="BE17" s="39"/>
      <c r="BF17" s="39">
        <v>76532366</v>
      </c>
      <c r="BG17" s="39">
        <v>300</v>
      </c>
      <c r="BH17" s="39">
        <v>13680000</v>
      </c>
      <c r="BI17" s="39">
        <v>6000060</v>
      </c>
      <c r="BJ17" s="39"/>
      <c r="BK17" s="39"/>
      <c r="BL17" s="39">
        <v>70515</v>
      </c>
      <c r="BM17" s="39"/>
      <c r="BN17" s="39"/>
      <c r="BO17" s="39"/>
      <c r="BP17" s="39"/>
      <c r="BQ17" s="39">
        <v>33444721</v>
      </c>
      <c r="BR17" s="39">
        <v>32987038</v>
      </c>
      <c r="BS17" s="39">
        <v>2504914</v>
      </c>
      <c r="BT17" s="39">
        <v>4888889</v>
      </c>
      <c r="BU17" s="39">
        <v>13183210</v>
      </c>
      <c r="BV17" s="39"/>
      <c r="BW17" s="39"/>
      <c r="BX17" s="39"/>
      <c r="BY17" s="39"/>
      <c r="BZ17" s="39"/>
      <c r="CA17" s="39"/>
      <c r="CB17" s="39"/>
      <c r="CC17" s="39"/>
    </row>
    <row r="18" spans="1:81">
      <c r="A18" s="65">
        <v>15</v>
      </c>
      <c r="B18" s="13" t="s">
        <v>97</v>
      </c>
      <c r="C18" s="12">
        <v>8</v>
      </c>
      <c r="D18" s="12">
        <f>SUM(Data_PL6[[#This Row],[T1.2021]:[T12.2021]])</f>
        <v>385614178</v>
      </c>
      <c r="E18" s="12">
        <f>SUM(Data_PL6[[#This Row],[T1.2022]:[T12.2022]])</f>
        <v>6801835760</v>
      </c>
      <c r="F18" s="12">
        <f>SUM(Data_PL6[[#This Row],[T1.2023]:[T12.2023]])</f>
        <v>90513</v>
      </c>
      <c r="G18" s="12">
        <f>SUM(Data_PL6[[#This Row],[T01.2024]:[T12.2024]])</f>
        <v>222311651</v>
      </c>
      <c r="H18" s="12">
        <f>SUM(Data_PL6[[#This Row],[T01.2025]:[T12.2025]])</f>
        <v>42387675</v>
      </c>
      <c r="I18" s="12">
        <f>SUM(Data_PL6[[#This Row],[T01.2026]:[T12.2026]])</f>
        <v>22020396</v>
      </c>
      <c r="J18" s="14"/>
      <c r="K18" s="14">
        <v>2500000</v>
      </c>
      <c r="L18" s="14">
        <v>800000</v>
      </c>
      <c r="M18" s="14"/>
      <c r="N18" s="14"/>
      <c r="O18" s="14"/>
      <c r="P18" s="14"/>
      <c r="Q18" s="14"/>
      <c r="R18" s="14"/>
      <c r="S18" s="14"/>
      <c r="T18" s="14"/>
      <c r="U18" s="14">
        <v>382314178</v>
      </c>
      <c r="V18" s="14"/>
      <c r="W18" s="14"/>
      <c r="X18" s="14"/>
      <c r="Y18" s="14"/>
      <c r="Z18" s="14">
        <v>46</v>
      </c>
      <c r="AA18" s="14"/>
      <c r="AB18" s="14"/>
      <c r="AC18" s="14"/>
      <c r="AD18" s="14"/>
      <c r="AE18" s="14">
        <v>2428</v>
      </c>
      <c r="AF18" s="14">
        <v>3077644948</v>
      </c>
      <c r="AG18" s="14">
        <v>3724188338</v>
      </c>
      <c r="AH18" s="14">
        <v>10</v>
      </c>
      <c r="AI18" s="14"/>
      <c r="AJ18" s="14"/>
      <c r="AK18" s="14"/>
      <c r="AL18" s="14">
        <v>90501</v>
      </c>
      <c r="AM18" s="14"/>
      <c r="AN18" s="14"/>
      <c r="AO18" s="14">
        <v>1</v>
      </c>
      <c r="AP18" s="14">
        <v>1</v>
      </c>
      <c r="AQ18" s="14"/>
      <c r="AR18" s="14"/>
      <c r="AS18" s="14"/>
      <c r="AT18" s="14"/>
      <c r="AU18" s="14">
        <v>4500000</v>
      </c>
      <c r="AV18" s="14"/>
      <c r="AW18" s="38">
        <v>81718690</v>
      </c>
      <c r="AX18" s="38"/>
      <c r="AY18" s="38"/>
      <c r="AZ18" s="38"/>
      <c r="BA18" s="38"/>
      <c r="BB18" s="38"/>
      <c r="BC18" s="38"/>
      <c r="BD18" s="38">
        <v>136092961</v>
      </c>
      <c r="BE18" s="39"/>
      <c r="BF18" s="39">
        <v>36339675</v>
      </c>
      <c r="BG18" s="39"/>
      <c r="BH18" s="39"/>
      <c r="BI18" s="39">
        <v>6000000</v>
      </c>
      <c r="BJ18" s="39"/>
      <c r="BK18" s="39"/>
      <c r="BL18" s="39"/>
      <c r="BM18" s="39"/>
      <c r="BN18" s="39"/>
      <c r="BO18" s="39"/>
      <c r="BP18" s="39"/>
      <c r="BQ18" s="39">
        <v>48000</v>
      </c>
      <c r="BR18" s="39">
        <v>0</v>
      </c>
      <c r="BS18" s="39"/>
      <c r="BT18" s="39">
        <v>450</v>
      </c>
      <c r="BU18" s="39">
        <v>22019946</v>
      </c>
      <c r="BV18" s="39"/>
      <c r="BW18" s="39"/>
      <c r="BX18" s="39"/>
      <c r="BY18" s="39"/>
      <c r="BZ18" s="39"/>
      <c r="CA18" s="39"/>
      <c r="CB18" s="39"/>
      <c r="CC18" s="39"/>
    </row>
    <row r="19" spans="1:81">
      <c r="A19" s="64">
        <v>16</v>
      </c>
      <c r="B19" s="10" t="s">
        <v>98</v>
      </c>
      <c r="C19" s="9">
        <v>8</v>
      </c>
      <c r="D19" s="9">
        <f>SUM(Data_PL6[[#This Row],[T1.2021]:[T12.2021]])</f>
        <v>-385614178</v>
      </c>
      <c r="E19" s="9">
        <f>SUM(Data_PL6[[#This Row],[T1.2022]:[T12.2022]])</f>
        <v>-620738447</v>
      </c>
      <c r="F19" s="9">
        <f>SUM(Data_PL6[[#This Row],[T1.2023]:[T12.2023]])</f>
        <v>-81512</v>
      </c>
      <c r="G19" s="9">
        <f>SUM(Data_PL6[[#This Row],[T01.2024]:[T12.2024]])</f>
        <v>-140072300</v>
      </c>
      <c r="H19" s="9">
        <f>SUM(Data_PL6[[#This Row],[T01.2025]:[T12.2025]])</f>
        <v>87340287</v>
      </c>
      <c r="I19" s="9">
        <f>SUM(Data_PL6[[#This Row],[T01.2026]:[T12.2026]])</f>
        <v>31543655</v>
      </c>
      <c r="J19" s="11">
        <v>0</v>
      </c>
      <c r="K19" s="11">
        <v>-2500000</v>
      </c>
      <c r="L19" s="11">
        <v>-800000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-382314178</v>
      </c>
      <c r="V19" s="11">
        <v>500</v>
      </c>
      <c r="W19" s="11">
        <v>500</v>
      </c>
      <c r="X19" s="11">
        <v>0</v>
      </c>
      <c r="Y19" s="11">
        <v>8003</v>
      </c>
      <c r="Z19" s="11">
        <v>19954</v>
      </c>
      <c r="AA19" s="11">
        <v>310</v>
      </c>
      <c r="AB19" s="11">
        <v>0</v>
      </c>
      <c r="AC19" s="11">
        <v>0</v>
      </c>
      <c r="AD19" s="11">
        <v>0</v>
      </c>
      <c r="AE19" s="11">
        <v>-2428</v>
      </c>
      <c r="AF19" s="11">
        <v>-394244948</v>
      </c>
      <c r="AG19" s="11">
        <v>-226520338</v>
      </c>
      <c r="AH19" s="11">
        <v>8990</v>
      </c>
      <c r="AI19" s="11">
        <v>0</v>
      </c>
      <c r="AJ19" s="11">
        <v>0</v>
      </c>
      <c r="AK19" s="11">
        <v>0</v>
      </c>
      <c r="AL19" s="11">
        <v>-90501</v>
      </c>
      <c r="AM19" s="11">
        <v>0</v>
      </c>
      <c r="AN19" s="11">
        <v>0</v>
      </c>
      <c r="AO19" s="11">
        <v>-1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-4500000</v>
      </c>
      <c r="AV19" s="11">
        <v>0</v>
      </c>
      <c r="AW19" s="11">
        <v>-18690</v>
      </c>
      <c r="AX19" s="11">
        <v>0</v>
      </c>
      <c r="AY19" s="11">
        <v>0</v>
      </c>
      <c r="AZ19" s="11">
        <v>539351</v>
      </c>
      <c r="BA19" s="11">
        <v>0</v>
      </c>
      <c r="BB19" s="11">
        <v>0</v>
      </c>
      <c r="BC19" s="11">
        <v>0</v>
      </c>
      <c r="BD19" s="11">
        <v>-136092961</v>
      </c>
      <c r="BE19" s="48">
        <v>0</v>
      </c>
      <c r="BF19" s="48">
        <v>40192691</v>
      </c>
      <c r="BG19" s="48">
        <v>300</v>
      </c>
      <c r="BH19" s="48">
        <v>13680000</v>
      </c>
      <c r="BI19" s="48">
        <v>60</v>
      </c>
      <c r="BJ19" s="48">
        <v>0</v>
      </c>
      <c r="BK19" s="48">
        <v>0</v>
      </c>
      <c r="BL19" s="48">
        <v>70515</v>
      </c>
      <c r="BM19" s="48">
        <v>0</v>
      </c>
      <c r="BN19" s="48">
        <v>0</v>
      </c>
      <c r="BO19" s="48">
        <v>0</v>
      </c>
      <c r="BP19" s="48">
        <v>0</v>
      </c>
      <c r="BQ19" s="48">
        <v>33396721</v>
      </c>
      <c r="BR19" s="48">
        <v>32987038</v>
      </c>
      <c r="BS19" s="48">
        <f>BS17-BS18</f>
        <v>2504914</v>
      </c>
      <c r="BT19" s="48">
        <f>BT17-BT18</f>
        <v>4888439</v>
      </c>
      <c r="BU19" s="48">
        <f>BU17-BU18</f>
        <v>-8836736</v>
      </c>
      <c r="BV19" s="48"/>
      <c r="BW19" s="48"/>
      <c r="BX19" s="48"/>
      <c r="BY19" s="48"/>
      <c r="BZ19" s="48"/>
      <c r="CA19" s="48"/>
      <c r="CB19" s="48"/>
      <c r="CC19" s="48"/>
    </row>
    <row r="20" spans="1:81">
      <c r="A20" s="66">
        <v>17</v>
      </c>
      <c r="B20" s="10" t="s">
        <v>99</v>
      </c>
      <c r="C20" s="15">
        <v>8</v>
      </c>
      <c r="D20" s="15">
        <f>SUM(Data_PL6[[#This Row],[T1.2021]:[T12.2021]])</f>
        <v>-2201148263</v>
      </c>
      <c r="E20" s="15">
        <f>SUM(Data_PL6[[#This Row],[T1.2022]:[T12.2022]])</f>
        <v>-5502980581</v>
      </c>
      <c r="F20" s="15">
        <f>SUM(Data_PL6[[#This Row],[T1.2023]:[T12.2023]])</f>
        <v>-4205584867</v>
      </c>
      <c r="G20" s="15">
        <f>SUM(Data_PL6[[#This Row],[T01.2024]:[T12.2024]])</f>
        <v>-3153247279</v>
      </c>
      <c r="H20" s="15">
        <f>SUM(Data_PL6[[#This Row],[T01.2025]:[T12.2025]])</f>
        <v>3369747920</v>
      </c>
      <c r="I20" s="15">
        <f>SUM(Data_PL6[[#This Row],[T01.2026]:[T12.2026]])</f>
        <v>1618224247</v>
      </c>
      <c r="J20" s="16">
        <v>-221834980</v>
      </c>
      <c r="K20" s="16">
        <v>-163438870</v>
      </c>
      <c r="L20" s="16">
        <v>-165187049</v>
      </c>
      <c r="M20" s="16">
        <v>-165856504</v>
      </c>
      <c r="N20" s="16">
        <v>-170192841</v>
      </c>
      <c r="O20" s="16">
        <v>-146704776</v>
      </c>
      <c r="P20" s="16">
        <v>-112893278</v>
      </c>
      <c r="Q20" s="16">
        <v>-92359990</v>
      </c>
      <c r="R20" s="16">
        <v>-144885177</v>
      </c>
      <c r="S20" s="16">
        <v>-111895773</v>
      </c>
      <c r="T20" s="16">
        <v>-166776764</v>
      </c>
      <c r="U20" s="16">
        <v>-539122261</v>
      </c>
      <c r="V20" s="16">
        <v>-346588117</v>
      </c>
      <c r="W20" s="16">
        <v>-332548180</v>
      </c>
      <c r="X20" s="16">
        <v>-301160879</v>
      </c>
      <c r="Y20" s="16">
        <v>-331854278</v>
      </c>
      <c r="Z20" s="16">
        <v>-328235889</v>
      </c>
      <c r="AA20" s="16">
        <v>-374330593</v>
      </c>
      <c r="AB20" s="16">
        <v>-378284669</v>
      </c>
      <c r="AC20" s="16">
        <v>-298205950</v>
      </c>
      <c r="AD20" s="16">
        <v>-422536009</v>
      </c>
      <c r="AE20" s="16">
        <v>-354472293</v>
      </c>
      <c r="AF20" s="16">
        <v>-861897292</v>
      </c>
      <c r="AG20" s="16">
        <v>-1172866432</v>
      </c>
      <c r="AH20" s="16">
        <v>-1051289386</v>
      </c>
      <c r="AI20" s="16">
        <v>-533418086</v>
      </c>
      <c r="AJ20" s="16">
        <v>-734458875</v>
      </c>
      <c r="AK20" s="16">
        <v>34062634</v>
      </c>
      <c r="AL20" s="16">
        <v>-464624366</v>
      </c>
      <c r="AM20" s="16">
        <v>-185159806</v>
      </c>
      <c r="AN20" s="16">
        <v>-470228520</v>
      </c>
      <c r="AO20" s="16">
        <v>-309976667</v>
      </c>
      <c r="AP20" s="16">
        <v>-459963640</v>
      </c>
      <c r="AQ20" s="16">
        <v>-105670098</v>
      </c>
      <c r="AR20" s="16">
        <v>-438262026</v>
      </c>
      <c r="AS20" s="16">
        <v>513403969</v>
      </c>
      <c r="AT20" s="16">
        <v>-189720453</v>
      </c>
      <c r="AU20" s="16">
        <v>-175133271</v>
      </c>
      <c r="AV20" s="16">
        <v>50321786</v>
      </c>
      <c r="AW20" s="16">
        <v>-141447382</v>
      </c>
      <c r="AX20" s="16">
        <v>2058676</v>
      </c>
      <c r="AY20" s="16">
        <v>-195661702</v>
      </c>
      <c r="AZ20" s="16">
        <v>-394602818</v>
      </c>
      <c r="BA20" s="16">
        <v>-400967893</v>
      </c>
      <c r="BB20" s="16">
        <v>-307075455</v>
      </c>
      <c r="BC20" s="16">
        <v>-236792330</v>
      </c>
      <c r="BD20" s="16">
        <v>-887402180</v>
      </c>
      <c r="BE20" s="42">
        <v>-276824257</v>
      </c>
      <c r="BF20" s="42">
        <v>-420514291</v>
      </c>
      <c r="BG20" s="42">
        <v>-49880621</v>
      </c>
      <c r="BH20" s="42">
        <v>80525775</v>
      </c>
      <c r="BI20" s="42">
        <v>290833926</v>
      </c>
      <c r="BJ20" s="42">
        <v>-34811546</v>
      </c>
      <c r="BK20" s="42">
        <v>618754242</v>
      </c>
      <c r="BL20" s="42">
        <v>969513402</v>
      </c>
      <c r="BM20" s="42">
        <v>1504531335</v>
      </c>
      <c r="BN20" s="42">
        <v>-44927274</v>
      </c>
      <c r="BO20" s="42">
        <v>203950321</v>
      </c>
      <c r="BP20" s="42">
        <v>108418363</v>
      </c>
      <c r="BQ20" s="42">
        <v>143354288</v>
      </c>
      <c r="BR20" s="42">
        <v>431875647</v>
      </c>
      <c r="BS20" s="42">
        <f>BS16+BS19</f>
        <v>-16596905</v>
      </c>
      <c r="BT20" s="42">
        <f>BT16+BT19</f>
        <v>714089038</v>
      </c>
      <c r="BU20" s="42">
        <f>BU16+BU19</f>
        <v>488856467</v>
      </c>
      <c r="BV20" s="42"/>
      <c r="BW20" s="42"/>
      <c r="BX20" s="42"/>
      <c r="BY20" s="42"/>
      <c r="BZ20" s="42"/>
      <c r="CA20" s="42"/>
      <c r="CB20" s="42"/>
      <c r="CC20" s="42"/>
    </row>
    <row r="21" spans="1:81">
      <c r="A21" s="68">
        <v>18</v>
      </c>
      <c r="B21" s="22" t="s">
        <v>100</v>
      </c>
      <c r="C21" s="12">
        <v>8</v>
      </c>
      <c r="D21" s="12">
        <f>SUM(Data_PL6[[#This Row],[T1.2021]:[T12.2021]])</f>
        <v>0</v>
      </c>
      <c r="E21" s="12">
        <f>SUM(Data_PL6[[#This Row],[T1.2022]:[T12.2022]])</f>
        <v>0</v>
      </c>
      <c r="F21" s="12">
        <f>SUM(Data_PL6[[#This Row],[T1.2023]:[T12.2023]])</f>
        <v>0</v>
      </c>
      <c r="G21" s="12">
        <f>SUM(Data_PL6[[#This Row],[T01.2024]:[T12.2024]])</f>
        <v>0</v>
      </c>
      <c r="H21" s="12">
        <f>SUM(Data_PL6[[#This Row],[T01.2025]:[T12.2025]])</f>
        <v>0</v>
      </c>
      <c r="I21" s="12">
        <f>SUM(Data_PL6[[#This Row],[T01.2026]:[T12.2026]])</f>
        <v>0</v>
      </c>
      <c r="J21" s="50">
        <v>0</v>
      </c>
      <c r="K21" s="50">
        <v>0</v>
      </c>
      <c r="L21" s="50"/>
      <c r="M21" s="50"/>
      <c r="N21" s="50"/>
      <c r="O21" s="50"/>
      <c r="P21" s="50"/>
      <c r="Q21" s="50">
        <v>0</v>
      </c>
      <c r="R21" s="50"/>
      <c r="S21" s="50"/>
      <c r="T21" s="50"/>
      <c r="U21" s="50"/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/>
      <c r="AH21" s="50">
        <v>0</v>
      </c>
      <c r="AI21" s="50">
        <v>0</v>
      </c>
      <c r="AJ21" s="50"/>
      <c r="AK21" s="50"/>
      <c r="AL21" s="50"/>
      <c r="AM21" s="50"/>
      <c r="AN21" s="50"/>
      <c r="AO21" s="50">
        <v>0</v>
      </c>
      <c r="AP21" s="50"/>
      <c r="AQ21" s="50"/>
      <c r="AR21" s="50"/>
      <c r="AS21" s="50"/>
      <c r="AT21" s="14">
        <v>0</v>
      </c>
      <c r="AU21" s="50">
        <v>0</v>
      </c>
      <c r="AV21" s="50"/>
      <c r="AW21" s="50"/>
      <c r="AX21" s="50"/>
      <c r="AY21" s="50"/>
      <c r="AZ21" s="50"/>
      <c r="BA21" s="50">
        <v>0</v>
      </c>
      <c r="BB21" s="50"/>
      <c r="BC21" s="50"/>
      <c r="BD21" s="50"/>
      <c r="BE21" s="51"/>
      <c r="BF21" s="51">
        <v>0</v>
      </c>
      <c r="BG21" s="51">
        <v>0</v>
      </c>
      <c r="BH21" s="51"/>
      <c r="BI21" s="51"/>
      <c r="BJ21" s="51"/>
      <c r="BK21" s="51"/>
      <c r="BL21" s="51"/>
      <c r="BM21" s="51">
        <v>0</v>
      </c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</row>
    <row r="22" spans="1:81">
      <c r="A22" s="69">
        <v>19</v>
      </c>
      <c r="B22" s="13" t="s">
        <v>101</v>
      </c>
      <c r="C22" s="12">
        <v>8</v>
      </c>
      <c r="D22" s="12">
        <f>SUM(Data_PL6[[#This Row],[T1.2021]:[T12.2021]])</f>
        <v>0</v>
      </c>
      <c r="E22" s="12">
        <f>SUM(Data_PL6[[#This Row],[T1.2022]:[T12.2022]])</f>
        <v>0</v>
      </c>
      <c r="F22" s="12">
        <f>SUM(Data_PL6[[#This Row],[T1.2023]:[T12.2023]])</f>
        <v>0</v>
      </c>
      <c r="G22" s="12">
        <f>SUM(Data_PL6[[#This Row],[T01.2024]:[T12.2024]])</f>
        <v>0</v>
      </c>
      <c r="H22" s="12">
        <f>SUM(Data_PL6[[#This Row],[T01.2025]:[T12.2025]])</f>
        <v>0</v>
      </c>
      <c r="I22" s="12">
        <f>SUM(Data_PL6[[#This Row],[T01.2026]:[T12.2026]])</f>
        <v>0</v>
      </c>
      <c r="J22" s="38">
        <v>0</v>
      </c>
      <c r="K22" s="38">
        <v>0</v>
      </c>
      <c r="L22" s="38"/>
      <c r="M22" s="38"/>
      <c r="N22" s="38"/>
      <c r="O22" s="38"/>
      <c r="P22" s="38"/>
      <c r="Q22" s="38">
        <v>0</v>
      </c>
      <c r="R22" s="38"/>
      <c r="S22" s="38"/>
      <c r="T22" s="38"/>
      <c r="U22" s="38"/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38">
        <v>0</v>
      </c>
      <c r="AD22" s="38">
        <v>0</v>
      </c>
      <c r="AE22" s="38">
        <v>0</v>
      </c>
      <c r="AF22" s="38">
        <v>0</v>
      </c>
      <c r="AG22" s="38">
        <v>0</v>
      </c>
      <c r="AH22" s="38">
        <v>0</v>
      </c>
      <c r="AI22" s="38">
        <v>0</v>
      </c>
      <c r="AJ22" s="38"/>
      <c r="AK22" s="38"/>
      <c r="AL22" s="38"/>
      <c r="AM22" s="38"/>
      <c r="AN22" s="38"/>
      <c r="AO22" s="38">
        <v>0</v>
      </c>
      <c r="AP22" s="38"/>
      <c r="AQ22" s="38"/>
      <c r="AR22" s="38"/>
      <c r="AS22" s="38"/>
      <c r="AT22" s="14">
        <v>0</v>
      </c>
      <c r="AU22" s="38">
        <v>0</v>
      </c>
      <c r="AV22" s="38"/>
      <c r="AW22" s="38"/>
      <c r="AX22" s="38"/>
      <c r="AY22" s="38"/>
      <c r="AZ22" s="38"/>
      <c r="BA22" s="38">
        <v>0</v>
      </c>
      <c r="BB22" s="38"/>
      <c r="BC22" s="38"/>
      <c r="BD22" s="38"/>
      <c r="BE22" s="39"/>
      <c r="BF22" s="39">
        <v>0</v>
      </c>
      <c r="BG22" s="39">
        <v>0</v>
      </c>
      <c r="BH22" s="39"/>
      <c r="BI22" s="39"/>
      <c r="BJ22" s="39"/>
      <c r="BK22" s="39"/>
      <c r="BL22" s="39"/>
      <c r="BM22" s="39">
        <v>0</v>
      </c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</row>
    <row r="23" spans="1:81">
      <c r="A23" s="67">
        <v>20</v>
      </c>
      <c r="B23" s="10" t="s">
        <v>102</v>
      </c>
      <c r="C23" s="19">
        <v>8</v>
      </c>
      <c r="D23" s="19">
        <f>SUM(Data_PL6[[#This Row],[T1.2021]:[T12.2021]])</f>
        <v>-2201148263</v>
      </c>
      <c r="E23" s="19">
        <f>SUM(Data_PL6[[#This Row],[T1.2022]:[T12.2022]])</f>
        <v>-5502980581</v>
      </c>
      <c r="F23" s="19">
        <f>SUM(Data_PL6[[#This Row],[T1.2023]:[T12.2023]])</f>
        <v>-4205584867</v>
      </c>
      <c r="G23" s="19">
        <f>SUM(Data_PL6[[#This Row],[T01.2024]:[T12.2024]])</f>
        <v>-3153247279</v>
      </c>
      <c r="H23" s="19">
        <f>SUM(Data_PL6[[#This Row],[T01.2025]:[T12.2025]])</f>
        <v>3369747920</v>
      </c>
      <c r="I23" s="19">
        <f>SUM(Data_PL6[[#This Row],[T01.2026]:[T12.2026]])</f>
        <v>1618224247</v>
      </c>
      <c r="J23" s="20">
        <v>-221834980</v>
      </c>
      <c r="K23" s="20">
        <v>-163438870</v>
      </c>
      <c r="L23" s="20">
        <v>-165187049</v>
      </c>
      <c r="M23" s="20">
        <v>-165856504</v>
      </c>
      <c r="N23" s="20">
        <v>-170192841</v>
      </c>
      <c r="O23" s="20">
        <v>-146704776</v>
      </c>
      <c r="P23" s="20">
        <v>-112893278</v>
      </c>
      <c r="Q23" s="20">
        <v>-92359990</v>
      </c>
      <c r="R23" s="20">
        <v>-144885177</v>
      </c>
      <c r="S23" s="20">
        <v>-111895773</v>
      </c>
      <c r="T23" s="20">
        <v>-166776764</v>
      </c>
      <c r="U23" s="20">
        <v>-539122261</v>
      </c>
      <c r="V23" s="20">
        <v>-346588117</v>
      </c>
      <c r="W23" s="20">
        <v>-332548180</v>
      </c>
      <c r="X23" s="20">
        <v>-301160879</v>
      </c>
      <c r="Y23" s="20">
        <v>-331854278</v>
      </c>
      <c r="Z23" s="20">
        <v>-328235889</v>
      </c>
      <c r="AA23" s="20">
        <v>-374330593</v>
      </c>
      <c r="AB23" s="20">
        <v>-378284669</v>
      </c>
      <c r="AC23" s="20">
        <v>-298205950</v>
      </c>
      <c r="AD23" s="20">
        <v>-422536009</v>
      </c>
      <c r="AE23" s="20">
        <v>-354472293</v>
      </c>
      <c r="AF23" s="20">
        <v>-861897292</v>
      </c>
      <c r="AG23" s="20">
        <v>-1172866432</v>
      </c>
      <c r="AH23" s="20">
        <v>-1051289386</v>
      </c>
      <c r="AI23" s="20">
        <v>-533418086</v>
      </c>
      <c r="AJ23" s="20">
        <v>-734458875</v>
      </c>
      <c r="AK23" s="20">
        <v>34062634</v>
      </c>
      <c r="AL23" s="20">
        <v>-464624366</v>
      </c>
      <c r="AM23" s="20">
        <v>-185159806</v>
      </c>
      <c r="AN23" s="20">
        <v>-470228520</v>
      </c>
      <c r="AO23" s="20">
        <v>-309976667</v>
      </c>
      <c r="AP23" s="20">
        <v>-459963640</v>
      </c>
      <c r="AQ23" s="20">
        <v>-105670098</v>
      </c>
      <c r="AR23" s="20">
        <v>-438262026</v>
      </c>
      <c r="AS23" s="20">
        <v>513403969</v>
      </c>
      <c r="AT23" s="20">
        <v>-189720453</v>
      </c>
      <c r="AU23" s="20">
        <v>-175133271</v>
      </c>
      <c r="AV23" s="20">
        <v>50321786</v>
      </c>
      <c r="AW23" s="20">
        <v>-141447382</v>
      </c>
      <c r="AX23" s="20">
        <v>2058676</v>
      </c>
      <c r="AY23" s="20">
        <v>-195661702</v>
      </c>
      <c r="AZ23" s="20">
        <v>-394602818</v>
      </c>
      <c r="BA23" s="20">
        <v>-400967893</v>
      </c>
      <c r="BB23" s="20">
        <v>-307075455</v>
      </c>
      <c r="BC23" s="20">
        <v>-236792330</v>
      </c>
      <c r="BD23" s="20">
        <v>-887402180</v>
      </c>
      <c r="BE23" s="20">
        <v>-276824257</v>
      </c>
      <c r="BF23" s="20">
        <v>-420514291</v>
      </c>
      <c r="BG23" s="20">
        <v>-49880621</v>
      </c>
      <c r="BH23" s="20">
        <v>80525775</v>
      </c>
      <c r="BI23" s="20">
        <v>290833926</v>
      </c>
      <c r="BJ23" s="20">
        <v>-34811546</v>
      </c>
      <c r="BK23" s="20">
        <v>618754242</v>
      </c>
      <c r="BL23" s="20">
        <v>969513402</v>
      </c>
      <c r="BM23" s="20">
        <v>1504531335</v>
      </c>
      <c r="BN23" s="20">
        <v>-44927274</v>
      </c>
      <c r="BO23" s="20">
        <v>203950321</v>
      </c>
      <c r="BP23" s="20">
        <v>108418363</v>
      </c>
      <c r="BQ23" s="20">
        <v>143354288</v>
      </c>
      <c r="BR23" s="20">
        <v>431875647</v>
      </c>
      <c r="BS23" s="20">
        <f>SUM(BS20:BS22)</f>
        <v>-16596905</v>
      </c>
      <c r="BT23" s="20">
        <f>SUM(BT20:BT22)</f>
        <v>714089038</v>
      </c>
      <c r="BU23" s="20">
        <f>SUM(BU20:BU22)</f>
        <v>488856467</v>
      </c>
      <c r="BV23" s="20"/>
      <c r="BW23" s="20"/>
      <c r="BX23" s="20"/>
      <c r="BY23" s="20"/>
      <c r="BZ23" s="20"/>
      <c r="CA23" s="20"/>
      <c r="CB23" s="20"/>
      <c r="CC23" s="20"/>
    </row>
    <row r="24" spans="1:81">
      <c r="A24" s="88"/>
      <c r="B24" s="72" t="s">
        <v>109</v>
      </c>
      <c r="C24" s="73"/>
      <c r="D24" s="86">
        <f>D23/D7</f>
        <v>-1.4399408966907195</v>
      </c>
      <c r="E24" s="86">
        <f t="shared" ref="E24:I24" si="0">E23/E7</f>
        <v>-0.36563718377406168</v>
      </c>
      <c r="F24" s="86">
        <f t="shared" si="0"/>
        <v>-9.4545739403307877E-2</v>
      </c>
      <c r="G24" s="86">
        <f t="shared" si="0"/>
        <v>-4.930766708317328E-2</v>
      </c>
      <c r="H24" s="86">
        <f t="shared" si="0"/>
        <v>3.5034134202622635E-2</v>
      </c>
      <c r="I24" s="86">
        <f t="shared" si="0"/>
        <v>5.6693624870924816E-2</v>
      </c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</row>
  </sheetData>
  <protectedRanges>
    <protectedRange sqref="J4:CC23" name="PL"/>
  </protectedRanges>
  <phoneticPr fontId="2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 DTRG</vt:lpstr>
      <vt:lpstr>PL DTR</vt:lpstr>
      <vt:lpstr>PL TRAM</vt:lpstr>
      <vt:lpstr>Dai loc</vt:lpstr>
      <vt:lpstr>KN</vt:lpstr>
      <vt:lpstr>DLam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Cư, Lê Hoành</dc:creator>
  <cp:lastModifiedBy>Cư, Lê Hoành</cp:lastModifiedBy>
  <dcterms:created xsi:type="dcterms:W3CDTF">2026-06-02T04:21:20Z</dcterms:created>
  <dcterms:modified xsi:type="dcterms:W3CDTF">2026-06-02T07:05:14Z</dcterms:modified>
</cp:coreProperties>
</file>