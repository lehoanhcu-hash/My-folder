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6" documentId="13_ncr:1_{DE74198D-E423-476D-A1DC-3C740CC7B998}" xr6:coauthVersionLast="47" xr6:coauthVersionMax="47" xr10:uidLastSave="{9C335F84-C3D3-4EA1-BA31-CDF0BF60F7D2}"/>
  <bookViews>
    <workbookView xWindow="-110" yWindow="-110" windowWidth="19420" windowHeight="10300" tabRatio="556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2" i="7" l="1"/>
  <c r="AG11" i="7"/>
  <c r="AH27" i="7"/>
  <c r="AH28" i="7"/>
  <c r="AH6" i="7"/>
  <c r="AH21" i="7"/>
  <c r="AG6" i="7"/>
  <c r="AG21" i="7"/>
  <c r="AG34" i="7"/>
  <c r="AG33" i="7" s="1"/>
  <c r="AH34" i="7"/>
  <c r="AH33" i="7" s="1"/>
  <c r="AG43" i="7"/>
  <c r="AG42" i="7" s="1"/>
  <c r="AH43" i="7"/>
  <c r="AH42" i="7" s="1"/>
  <c r="AG36" i="7"/>
  <c r="AH36" i="7"/>
  <c r="AG27" i="7"/>
  <c r="AH11" i="7"/>
  <c r="AG12" i="7"/>
  <c r="AH12" i="7"/>
  <c r="AG13" i="7"/>
  <c r="AH13" i="7"/>
  <c r="AD6" i="7"/>
  <c r="AC6" i="7"/>
  <c r="AD21" i="7"/>
  <c r="AC21" i="7"/>
  <c r="AE6" i="7"/>
  <c r="AE21" i="7"/>
  <c r="AA6" i="7"/>
  <c r="AA21" i="7"/>
  <c r="Z6" i="7"/>
  <c r="Z21" i="7"/>
  <c r="AE34" i="7"/>
  <c r="AE33" i="7" s="1"/>
  <c r="AF31" i="7"/>
  <c r="Z34" i="7"/>
  <c r="Z33" i="7" s="1"/>
  <c r="AA34" i="7"/>
  <c r="AA33" i="7" s="1"/>
  <c r="AB34" i="7"/>
  <c r="AB33" i="7" s="1"/>
  <c r="AC34" i="7"/>
  <c r="AC33" i="7" s="1"/>
  <c r="AD34" i="7"/>
  <c r="AD33" i="7" s="1"/>
  <c r="Z36" i="7"/>
  <c r="AA36" i="7"/>
  <c r="AB36" i="7"/>
  <c r="AC36" i="7"/>
  <c r="AD36" i="7"/>
  <c r="AE36" i="7"/>
  <c r="AF36" i="7"/>
  <c r="Z27" i="7"/>
  <c r="AA27" i="7"/>
  <c r="AB27" i="7"/>
  <c r="AC27" i="7"/>
  <c r="AD27" i="7"/>
  <c r="AE27" i="7"/>
  <c r="AF27" i="7"/>
  <c r="Z11" i="7"/>
  <c r="AA11" i="7"/>
  <c r="Z12" i="7"/>
  <c r="AA12" i="7"/>
  <c r="AB12" i="7"/>
  <c r="AC12" i="7"/>
  <c r="AD12" i="7"/>
  <c r="AE12" i="7"/>
  <c r="Z13" i="7"/>
  <c r="AA13" i="7"/>
  <c r="AB13" i="7"/>
  <c r="AC13" i="7"/>
  <c r="AD13" i="7"/>
  <c r="AE13" i="7"/>
  <c r="AF13" i="7"/>
  <c r="X6" i="7"/>
  <c r="X21" i="7"/>
  <c r="W6" i="7"/>
  <c r="W21" i="7"/>
  <c r="V6" i="7"/>
  <c r="V21" i="7"/>
  <c r="U6" i="7"/>
  <c r="U21" i="7"/>
  <c r="T6" i="7"/>
  <c r="T21" i="7"/>
  <c r="AG10" i="7" l="1"/>
  <c r="AC11" i="7"/>
  <c r="AC10" i="7" s="1"/>
  <c r="AB11" i="7"/>
  <c r="AH10" i="7"/>
  <c r="AG28" i="7"/>
  <c r="AE28" i="7"/>
  <c r="AF28" i="7"/>
  <c r="AD28" i="7"/>
  <c r="AC28" i="7"/>
  <c r="AB28" i="7"/>
  <c r="Z28" i="7"/>
  <c r="AA28" i="7"/>
  <c r="AH26" i="7"/>
  <c r="AH25" i="7" s="1"/>
  <c r="AG26" i="7"/>
  <c r="AG25" i="7" s="1"/>
  <c r="AB10" i="7"/>
  <c r="Z10" i="7"/>
  <c r="AA10" i="7"/>
  <c r="AF11" i="7"/>
  <c r="AF10" i="7" s="1"/>
  <c r="AE11" i="7"/>
  <c r="AE10" i="7" s="1"/>
  <c r="AD11" i="7"/>
  <c r="AD10" i="7" s="1"/>
  <c r="AB26" i="7"/>
  <c r="AA26" i="7"/>
  <c r="Z26" i="7"/>
  <c r="AF26" i="7"/>
  <c r="AF25" i="7" s="1"/>
  <c r="AE26" i="7"/>
  <c r="AE25" i="7" s="1"/>
  <c r="AD26" i="7"/>
  <c r="AC26" i="7"/>
  <c r="AC25" i="7" s="1"/>
  <c r="AF34" i="7"/>
  <c r="AF33" i="7" s="1"/>
  <c r="W34" i="7"/>
  <c r="W33" i="7" s="1"/>
  <c r="Y31" i="7"/>
  <c r="S11" i="7"/>
  <c r="T11" i="7"/>
  <c r="U11" i="7"/>
  <c r="V11" i="7"/>
  <c r="W11" i="7"/>
  <c r="X11" i="7"/>
  <c r="Y11" i="7"/>
  <c r="S12" i="7"/>
  <c r="T12" i="7"/>
  <c r="U12" i="7"/>
  <c r="V12" i="7"/>
  <c r="W12" i="7"/>
  <c r="X12" i="7"/>
  <c r="Y12" i="7"/>
  <c r="S13" i="7"/>
  <c r="T13" i="7"/>
  <c r="U13" i="7"/>
  <c r="V13" i="7"/>
  <c r="W13" i="7"/>
  <c r="X13" i="7"/>
  <c r="Y13" i="7"/>
  <c r="S26" i="7"/>
  <c r="T26" i="7"/>
  <c r="U26" i="7"/>
  <c r="V26" i="7"/>
  <c r="W26" i="7"/>
  <c r="X26" i="7"/>
  <c r="Y26" i="7"/>
  <c r="S27" i="7"/>
  <c r="T27" i="7"/>
  <c r="U27" i="7"/>
  <c r="V27" i="7"/>
  <c r="W27" i="7"/>
  <c r="X27" i="7"/>
  <c r="Y27" i="7"/>
  <c r="S28" i="7"/>
  <c r="T28" i="7"/>
  <c r="U28" i="7"/>
  <c r="V28" i="7"/>
  <c r="W28" i="7"/>
  <c r="X28" i="7"/>
  <c r="Y28" i="7"/>
  <c r="S34" i="7"/>
  <c r="S33" i="7" s="1"/>
  <c r="T34" i="7"/>
  <c r="T33" i="7" s="1"/>
  <c r="U34" i="7"/>
  <c r="U33" i="7" s="1"/>
  <c r="V34" i="7"/>
  <c r="V33" i="7" s="1"/>
  <c r="S36" i="7"/>
  <c r="T36" i="7"/>
  <c r="U36" i="7"/>
  <c r="V36" i="7"/>
  <c r="W36" i="7"/>
  <c r="X36" i="7"/>
  <c r="Y36" i="7"/>
  <c r="M15" i="10"/>
  <c r="Q6" i="7"/>
  <c r="Q21" i="7"/>
  <c r="P6" i="7"/>
  <c r="P21" i="7"/>
  <c r="O6" i="7"/>
  <c r="P11" i="7" s="1"/>
  <c r="O21" i="7"/>
  <c r="O26" i="7" s="1"/>
  <c r="N6" i="7"/>
  <c r="N11" i="7" s="1"/>
  <c r="N21" i="7"/>
  <c r="M6" i="7"/>
  <c r="M21" i="7"/>
  <c r="Q34" i="7"/>
  <c r="Q33" i="7" s="1"/>
  <c r="L34" i="7"/>
  <c r="L33" i="7" s="1"/>
  <c r="M34" i="7"/>
  <c r="M33" i="7" s="1"/>
  <c r="N34" i="7"/>
  <c r="N33" i="7" s="1"/>
  <c r="O34" i="7"/>
  <c r="O33" i="7" s="1"/>
  <c r="P34" i="7"/>
  <c r="P33" i="7" s="1"/>
  <c r="L36" i="7"/>
  <c r="M36" i="7"/>
  <c r="N36" i="7"/>
  <c r="O36" i="7"/>
  <c r="P36" i="7"/>
  <c r="Q36" i="7"/>
  <c r="R36" i="7"/>
  <c r="L26" i="7"/>
  <c r="M26" i="7"/>
  <c r="L27" i="7"/>
  <c r="M27" i="7"/>
  <c r="N27" i="7"/>
  <c r="O27" i="7"/>
  <c r="P27" i="7"/>
  <c r="Q27" i="7"/>
  <c r="R27" i="7"/>
  <c r="L28" i="7"/>
  <c r="M28" i="7"/>
  <c r="N28" i="7"/>
  <c r="O28" i="7"/>
  <c r="P28" i="7"/>
  <c r="Q28" i="7"/>
  <c r="R28" i="7"/>
  <c r="L11" i="7"/>
  <c r="M11" i="7"/>
  <c r="Q11" i="7"/>
  <c r="R11" i="7"/>
  <c r="L12" i="7"/>
  <c r="M12" i="7"/>
  <c r="N12" i="7"/>
  <c r="O12" i="7"/>
  <c r="P12" i="7"/>
  <c r="Q12" i="7"/>
  <c r="R12" i="7"/>
  <c r="L13" i="7"/>
  <c r="M13" i="7"/>
  <c r="N13" i="7"/>
  <c r="O13" i="7"/>
  <c r="P13" i="7"/>
  <c r="Q13" i="7"/>
  <c r="R13" i="7"/>
  <c r="F6" i="7"/>
  <c r="F21" i="7"/>
  <c r="F26" i="7" s="1"/>
  <c r="J6" i="7"/>
  <c r="J21" i="7"/>
  <c r="I6" i="7"/>
  <c r="I21" i="7"/>
  <c r="G6" i="7"/>
  <c r="G21" i="7"/>
  <c r="E26" i="7"/>
  <c r="E27" i="7"/>
  <c r="F27" i="7"/>
  <c r="G27" i="7"/>
  <c r="H27" i="7"/>
  <c r="I27" i="7"/>
  <c r="J27" i="7"/>
  <c r="K27" i="7"/>
  <c r="E28" i="7"/>
  <c r="F28" i="7"/>
  <c r="G28" i="7"/>
  <c r="H28" i="7"/>
  <c r="I28" i="7"/>
  <c r="J28" i="7"/>
  <c r="K28" i="7"/>
  <c r="AD25" i="7" l="1"/>
  <c r="AB25" i="7"/>
  <c r="Z25" i="7"/>
  <c r="AA25" i="7"/>
  <c r="T25" i="7"/>
  <c r="Y10" i="7"/>
  <c r="S25" i="7"/>
  <c r="L10" i="7"/>
  <c r="M10" i="7"/>
  <c r="W25" i="7"/>
  <c r="Y25" i="7"/>
  <c r="V25" i="7"/>
  <c r="Y34" i="7"/>
  <c r="Y33" i="7" s="1"/>
  <c r="X34" i="7"/>
  <c r="X33" i="7" s="1"/>
  <c r="X25" i="7"/>
  <c r="U25" i="7"/>
  <c r="X10" i="7"/>
  <c r="W10" i="7"/>
  <c r="V10" i="7"/>
  <c r="T10" i="7"/>
  <c r="U10" i="7"/>
  <c r="S10" i="7"/>
  <c r="R10" i="7"/>
  <c r="Q10" i="7"/>
  <c r="L25" i="7"/>
  <c r="O25" i="7"/>
  <c r="P10" i="7"/>
  <c r="M25" i="7"/>
  <c r="N10" i="7"/>
  <c r="O11" i="7"/>
  <c r="O10" i="7" s="1"/>
  <c r="Q26" i="7"/>
  <c r="Q25" i="7" s="1"/>
  <c r="N26" i="7"/>
  <c r="N25" i="7" s="1"/>
  <c r="R26" i="7"/>
  <c r="R25" i="7" s="1"/>
  <c r="P26" i="7"/>
  <c r="P25" i="7" s="1"/>
  <c r="R34" i="7"/>
  <c r="R33" i="7" s="1"/>
  <c r="G26" i="7"/>
  <c r="K26" i="7"/>
  <c r="J26" i="7"/>
  <c r="I26" i="7"/>
  <c r="H26" i="7"/>
  <c r="AI6" i="7" l="1"/>
  <c r="F19" i="2" s="1"/>
  <c r="AI7" i="7"/>
  <c r="F20" i="2" s="1"/>
  <c r="AI8" i="7"/>
  <c r="F21" i="2" s="1"/>
  <c r="I13" i="10"/>
  <c r="I5" i="10"/>
  <c r="W30" i="7"/>
  <c r="BD9" i="10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Z14" i="10"/>
  <c r="AA14" i="10"/>
  <c r="AB14" i="10"/>
  <c r="AC14" i="10"/>
  <c r="Z15" i="10"/>
  <c r="AA15" i="10"/>
  <c r="AB15" i="10"/>
  <c r="AC15" i="10"/>
  <c r="AC13" i="10"/>
  <c r="AB13" i="10"/>
  <c r="AA13" i="10"/>
  <c r="Z13" i="10"/>
  <c r="Z6" i="10"/>
  <c r="AA6" i="10"/>
  <c r="AB6" i="10"/>
  <c r="AC6" i="10"/>
  <c r="Z7" i="10"/>
  <c r="AA7" i="10"/>
  <c r="AB7" i="10"/>
  <c r="AC7" i="10"/>
  <c r="AC5" i="10"/>
  <c r="AB5" i="10"/>
  <c r="AA5" i="10"/>
  <c r="Z5" i="10"/>
  <c r="U14" i="10"/>
  <c r="V14" i="10"/>
  <c r="W14" i="10"/>
  <c r="X14" i="10"/>
  <c r="Y14" i="10"/>
  <c r="U15" i="10"/>
  <c r="V15" i="10"/>
  <c r="W15" i="10"/>
  <c r="X15" i="10"/>
  <c r="Y15" i="10"/>
  <c r="Y13" i="10"/>
  <c r="X13" i="10"/>
  <c r="W13" i="10"/>
  <c r="V13" i="10"/>
  <c r="U13" i="10"/>
  <c r="U6" i="10"/>
  <c r="V6" i="10"/>
  <c r="W6" i="10"/>
  <c r="X6" i="10"/>
  <c r="Y6" i="10"/>
  <c r="U7" i="10"/>
  <c r="V7" i="10"/>
  <c r="W7" i="10"/>
  <c r="X7" i="10"/>
  <c r="Y7" i="10"/>
  <c r="Y5" i="10"/>
  <c r="X5" i="10"/>
  <c r="W5" i="10"/>
  <c r="V5" i="10"/>
  <c r="U5" i="10"/>
  <c r="Q14" i="10"/>
  <c r="R14" i="10"/>
  <c r="S14" i="10"/>
  <c r="T14" i="10"/>
  <c r="Q15" i="10"/>
  <c r="R15" i="10"/>
  <c r="S15" i="10"/>
  <c r="T15" i="10"/>
  <c r="T13" i="10"/>
  <c r="S13" i="10"/>
  <c r="R13" i="10"/>
  <c r="Q13" i="10"/>
  <c r="Q6" i="10"/>
  <c r="R6" i="10"/>
  <c r="S6" i="10"/>
  <c r="T6" i="10"/>
  <c r="Q7" i="10"/>
  <c r="R7" i="10"/>
  <c r="S7" i="10"/>
  <c r="T7" i="10"/>
  <c r="T5" i="10"/>
  <c r="S5" i="10"/>
  <c r="R5" i="10"/>
  <c r="Q5" i="10"/>
  <c r="I34" i="12" l="1"/>
  <c r="K36" i="7" l="1"/>
  <c r="K34" i="7"/>
  <c r="K33" i="7" s="1"/>
  <c r="K11" i="7" l="1"/>
  <c r="K12" i="7"/>
  <c r="K13" i="7"/>
  <c r="K10" i="7" l="1"/>
  <c r="K25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I10" i="7" l="1"/>
  <c r="H10" i="7"/>
  <c r="F10" i="7"/>
  <c r="J10" i="7"/>
  <c r="J25" i="7"/>
  <c r="I25" i="7"/>
  <c r="H25" i="7"/>
  <c r="G25" i="7"/>
  <c r="F25" i="7"/>
  <c r="G10" i="7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F26" i="2" s="1"/>
  <c r="F50" i="2" s="1"/>
  <c r="AI25" i="7"/>
  <c r="AL5" i="7" s="1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36" i="7"/>
  <c r="D28" i="7"/>
  <c r="O15" i="7"/>
  <c r="AI23" i="7"/>
  <c r="F28" i="2" s="1"/>
  <c r="F35" i="2" s="1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 s="1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/>
  <c r="Z11" i="10"/>
  <c r="Z19" i="10" s="1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 s="1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 s="1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H14" i="9" s="1"/>
  <c r="J14" i="12" s="1"/>
  <c r="F12" i="9"/>
  <c r="F13" i="9"/>
  <c r="F15" i="9" s="1"/>
  <c r="F14" i="9"/>
  <c r="E12" i="9"/>
  <c r="E13" i="9"/>
  <c r="E14" i="9"/>
  <c r="D12" i="9"/>
  <c r="H12" i="9" s="1"/>
  <c r="D13" i="9"/>
  <c r="D14" i="9"/>
  <c r="G5" i="9"/>
  <c r="G6" i="9"/>
  <c r="G7" i="9"/>
  <c r="F7" i="9"/>
  <c r="H7" i="9" s="1"/>
  <c r="J7" i="12" s="1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D8" i="9"/>
  <c r="D39" i="9" s="1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5" i="2" s="1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42" i="2"/>
  <c r="F22" i="2"/>
  <c r="E42" i="2"/>
  <c r="E22" i="2"/>
  <c r="D42" i="2"/>
  <c r="E45" i="2"/>
  <c r="D45" i="2"/>
  <c r="D19" i="9"/>
  <c r="D43" i="9" s="1"/>
  <c r="F45" i="2"/>
  <c r="D22" i="2"/>
  <c r="D38" i="2" s="1"/>
  <c r="O42" i="2"/>
  <c r="O22" i="2"/>
  <c r="O41" i="2" s="1"/>
  <c r="G19" i="9"/>
  <c r="H23" i="12"/>
  <c r="G41" i="12"/>
  <c r="G23" i="12"/>
  <c r="G34" i="12"/>
  <c r="G39" i="12"/>
  <c r="AI22" i="7"/>
  <c r="AH20" i="7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Z43" i="7" l="1"/>
  <c r="Z42" i="7" s="1"/>
  <c r="AB43" i="7"/>
  <c r="AB42" i="7" s="1"/>
  <c r="AF43" i="7"/>
  <c r="AF42" i="7" s="1"/>
  <c r="AA43" i="7"/>
  <c r="AA42" i="7" s="1"/>
  <c r="AC43" i="7"/>
  <c r="AC42" i="7" s="1"/>
  <c r="AD43" i="7"/>
  <c r="AD42" i="7" s="1"/>
  <c r="AE43" i="7"/>
  <c r="AE42" i="7" s="1"/>
  <c r="V43" i="7"/>
  <c r="V42" i="7" s="1"/>
  <c r="W43" i="7"/>
  <c r="W42" i="7" s="1"/>
  <c r="X43" i="7"/>
  <c r="X42" i="7" s="1"/>
  <c r="U43" i="7"/>
  <c r="U42" i="7" s="1"/>
  <c r="S43" i="7"/>
  <c r="S42" i="7" s="1"/>
  <c r="T43" i="7"/>
  <c r="T42" i="7" s="1"/>
  <c r="Y43" i="7"/>
  <c r="Y42" i="7" s="1"/>
  <c r="M43" i="7"/>
  <c r="M42" i="7" s="1"/>
  <c r="L43" i="7"/>
  <c r="L42" i="7" s="1"/>
  <c r="P43" i="7"/>
  <c r="P42" i="7" s="1"/>
  <c r="Q43" i="7"/>
  <c r="Q42" i="7" s="1"/>
  <c r="R43" i="7"/>
  <c r="R42" i="7" s="1"/>
  <c r="N43" i="7"/>
  <c r="N42" i="7" s="1"/>
  <c r="O43" i="7"/>
  <c r="O42" i="7" s="1"/>
  <c r="AI5" i="7"/>
  <c r="AJ5" i="7" s="1"/>
  <c r="AE44" i="7" s="1"/>
  <c r="F41" i="2"/>
  <c r="E34" i="2"/>
  <c r="F27" i="2"/>
  <c r="G54" i="2" s="1"/>
  <c r="F33" i="2"/>
  <c r="E36" i="2"/>
  <c r="E33" i="2"/>
  <c r="E50" i="2"/>
  <c r="E51" i="2"/>
  <c r="D35" i="2"/>
  <c r="E35" i="2"/>
  <c r="E41" i="2"/>
  <c r="E38" i="2"/>
  <c r="F38" i="2" s="1"/>
  <c r="BD8" i="10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O50" i="2"/>
  <c r="G53" i="2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D45" i="9" s="1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F39" i="2"/>
  <c r="E39" i="9"/>
  <c r="F39" i="9" s="1"/>
  <c r="G39" i="9" s="1"/>
  <c r="L10" i="10"/>
  <c r="D10" i="10"/>
  <c r="J8" i="12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H8" i="9"/>
  <c r="BD1" i="10"/>
  <c r="BD17" i="10" s="1"/>
  <c r="O1" i="10"/>
  <c r="AA1" i="10"/>
  <c r="S1" i="10"/>
  <c r="AM1" i="10"/>
  <c r="I1" i="10"/>
  <c r="E1" i="10"/>
  <c r="L1" i="10"/>
  <c r="U1" i="10"/>
  <c r="T1" i="10"/>
  <c r="Y1" i="10"/>
  <c r="AB1" i="10"/>
  <c r="AG1" i="10"/>
  <c r="AF1" i="10"/>
  <c r="AK1" i="10"/>
  <c r="J1" i="10"/>
  <c r="AR1" i="10"/>
  <c r="AS1" i="10"/>
  <c r="AZ1" i="10"/>
  <c r="V1" i="10"/>
  <c r="AQ1" i="10"/>
  <c r="AV1" i="10"/>
  <c r="BA1" i="10"/>
  <c r="AP1" i="10"/>
  <c r="M1" i="10"/>
  <c r="BB1" i="10"/>
  <c r="N1" i="10"/>
  <c r="AH1" i="10"/>
  <c r="AL1" i="10"/>
  <c r="AX1" i="10"/>
  <c r="AT1" i="10"/>
  <c r="W1" i="10"/>
  <c r="H1" i="10"/>
  <c r="J12" i="12"/>
  <c r="J15" i="12" s="1"/>
  <c r="H15" i="9"/>
  <c r="AW1" i="10"/>
  <c r="K1" i="10"/>
  <c r="X1" i="10"/>
  <c r="D1" i="10"/>
  <c r="D18" i="10" s="1"/>
  <c r="E18" i="10" s="1"/>
  <c r="AY1" i="10"/>
  <c r="AO1" i="10"/>
  <c r="BC1" i="10"/>
  <c r="P1" i="10"/>
  <c r="AE1" i="10"/>
  <c r="AC1" i="10"/>
  <c r="AD1" i="10"/>
  <c r="G1" i="10"/>
  <c r="Q1" i="10"/>
  <c r="F1" i="10"/>
  <c r="D15" i="9"/>
  <c r="Z1" i="10"/>
  <c r="AU1" i="10"/>
  <c r="AN1" i="10"/>
  <c r="R1" i="10"/>
  <c r="AI1" i="10"/>
  <c r="AJ1" i="10"/>
  <c r="K43" i="7"/>
  <c r="K42" i="7" s="1"/>
  <c r="O51" i="2"/>
  <c r="O36" i="2"/>
  <c r="N35" i="2"/>
  <c r="O35" i="2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G35" i="2"/>
  <c r="AI20" i="7"/>
  <c r="Z46" i="7" s="1"/>
  <c r="G33" i="2"/>
  <c r="G50" i="2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G29" i="2"/>
  <c r="AJ10" i="7"/>
  <c r="AK10" i="7" s="1"/>
  <c r="AL10" i="7" s="1"/>
  <c r="G51" i="2"/>
  <c r="C22" i="7"/>
  <c r="C27" i="7" s="1"/>
  <c r="G34" i="2"/>
  <c r="G36" i="2"/>
  <c r="F51" i="2" l="1"/>
  <c r="F29" i="2"/>
  <c r="F49" i="2" s="1"/>
  <c r="F34" i="2"/>
  <c r="F36" i="2"/>
  <c r="D28" i="9"/>
  <c r="D35" i="9" s="1"/>
  <c r="E44" i="2"/>
  <c r="E29" i="2"/>
  <c r="E49" i="2" s="1"/>
  <c r="D33" i="2"/>
  <c r="D36" i="2"/>
  <c r="F53" i="2"/>
  <c r="D29" i="2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49" i="2"/>
  <c r="G52" i="2" l="1"/>
  <c r="D29" i="9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<sst xmlns="http://schemas.openxmlformats.org/spreadsheetml/2006/main" count="321" uniqueCount="94">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</sst>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1"/>
                <c:pt idx="0">
                  <c:v>66</c:v>
                </c:pt>
                <c:pt idx="1">
                  <c:v>126</c:v>
                </c:pt>
                <c:pt idx="2">
                  <c:v>126</c:v>
                </c:pt>
                <c:pt idx="3">
                  <c:v>141</c:v>
                </c:pt>
                <c:pt idx="4">
                  <c:v>114</c:v>
                </c:pt>
                <c:pt idx="5">
                  <c:v>151</c:v>
                </c:pt>
                <c:pt idx="6">
                  <c:v>122</c:v>
                </c:pt>
                <c:pt idx="7">
                  <c:v>120</c:v>
                </c:pt>
                <c:pt idx="8">
                  <c:v>102</c:v>
                </c:pt>
                <c:pt idx="9">
                  <c:v>133</c:v>
                </c:pt>
                <c:pt idx="10">
                  <c:v>138</c:v>
                </c:pt>
                <c:pt idx="11">
                  <c:v>72</c:v>
                </c:pt>
                <c:pt idx="12">
                  <c:v>193</c:v>
                </c:pt>
                <c:pt idx="13">
                  <c:v>137</c:v>
                </c:pt>
                <c:pt idx="14">
                  <c:v>155</c:v>
                </c:pt>
                <c:pt idx="15">
                  <c:v>131</c:v>
                </c:pt>
                <c:pt idx="16">
                  <c:v>101</c:v>
                </c:pt>
                <c:pt idx="17">
                  <c:v>135</c:v>
                </c:pt>
                <c:pt idx="18">
                  <c:v>120</c:v>
                </c:pt>
                <c:pt idx="19">
                  <c:v>137</c:v>
                </c:pt>
                <c:pt idx="20">
                  <c:v>121</c:v>
                </c:pt>
                <c:pt idx="21">
                  <c:v>168.77500000000001</c:v>
                </c:pt>
                <c:pt idx="22">
                  <c:v>179</c:v>
                </c:pt>
                <c:pt idx="23">
                  <c:v>86</c:v>
                </c:pt>
                <c:pt idx="24">
                  <c:v>185</c:v>
                </c:pt>
                <c:pt idx="25">
                  <c:v>178</c:v>
                </c:pt>
                <c:pt idx="26">
                  <c:v>181</c:v>
                </c:pt>
                <c:pt idx="27">
                  <c:v>154</c:v>
                </c:pt>
                <c:pt idx="28">
                  <c:v>163.89999999999998</c:v>
                </c:pt>
                <c:pt idx="29">
                  <c:v>207</c:v>
                </c:pt>
                <c:pt idx="3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184.97541935483872</c:v>
                </c:pt>
                <c:pt idx="1">
                  <c:v>184.97541935483872</c:v>
                </c:pt>
                <c:pt idx="2">
                  <c:v>184.97541935483872</c:v>
                </c:pt>
                <c:pt idx="3">
                  <c:v>184.97541935483872</c:v>
                </c:pt>
                <c:pt idx="4">
                  <c:v>184.97541935483872</c:v>
                </c:pt>
                <c:pt idx="5">
                  <c:v>184.97541935483872</c:v>
                </c:pt>
                <c:pt idx="6">
                  <c:v>184.97541935483872</c:v>
                </c:pt>
                <c:pt idx="7">
                  <c:v>184.97541935483872</c:v>
                </c:pt>
                <c:pt idx="8">
                  <c:v>184.97541935483872</c:v>
                </c:pt>
                <c:pt idx="9">
                  <c:v>184.97541935483872</c:v>
                </c:pt>
                <c:pt idx="10">
                  <c:v>184.97541935483872</c:v>
                </c:pt>
                <c:pt idx="11">
                  <c:v>184.97541935483872</c:v>
                </c:pt>
                <c:pt idx="12">
                  <c:v>184.97541935483872</c:v>
                </c:pt>
                <c:pt idx="13">
                  <c:v>184.97541935483872</c:v>
                </c:pt>
                <c:pt idx="14">
                  <c:v>184.97541935483872</c:v>
                </c:pt>
                <c:pt idx="15">
                  <c:v>184.97541935483872</c:v>
                </c:pt>
                <c:pt idx="16">
                  <c:v>184.97541935483872</c:v>
                </c:pt>
                <c:pt idx="17">
                  <c:v>184.97541935483872</c:v>
                </c:pt>
                <c:pt idx="18">
                  <c:v>184.97541935483872</c:v>
                </c:pt>
                <c:pt idx="19">
                  <c:v>184.97541935483872</c:v>
                </c:pt>
                <c:pt idx="20">
                  <c:v>184.97541935483872</c:v>
                </c:pt>
                <c:pt idx="21">
                  <c:v>184.97541935483872</c:v>
                </c:pt>
                <c:pt idx="22">
                  <c:v>184.97541935483872</c:v>
                </c:pt>
                <c:pt idx="23">
                  <c:v>184.97541935483872</c:v>
                </c:pt>
                <c:pt idx="24">
                  <c:v>184.97541935483872</c:v>
                </c:pt>
                <c:pt idx="25">
                  <c:v>184.97541935483872</c:v>
                </c:pt>
                <c:pt idx="26">
                  <c:v>184.97541935483872</c:v>
                </c:pt>
                <c:pt idx="27">
                  <c:v>184.97541935483872</c:v>
                </c:pt>
                <c:pt idx="28">
                  <c:v>184.97541935483872</c:v>
                </c:pt>
                <c:pt idx="29">
                  <c:v>184.97541935483872</c:v>
                </c:pt>
                <c:pt idx="30">
                  <c:v>184.97541935483872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1"/>
                <c:pt idx="0">
                  <c:v>0</c:v>
                </c:pt>
                <c:pt idx="1">
                  <c:v>124.8</c:v>
                </c:pt>
                <c:pt idx="2">
                  <c:v>68.222999999999999</c:v>
                </c:pt>
                <c:pt idx="3">
                  <c:v>62.373999999999995</c:v>
                </c:pt>
                <c:pt idx="4">
                  <c:v>103.4</c:v>
                </c:pt>
                <c:pt idx="5">
                  <c:v>187</c:v>
                </c:pt>
                <c:pt idx="6">
                  <c:v>543.50199999999995</c:v>
                </c:pt>
                <c:pt idx="7">
                  <c:v>110</c:v>
                </c:pt>
                <c:pt idx="8">
                  <c:v>172.28</c:v>
                </c:pt>
                <c:pt idx="9">
                  <c:v>145.477</c:v>
                </c:pt>
                <c:pt idx="10">
                  <c:v>81.15100000000001</c:v>
                </c:pt>
                <c:pt idx="11">
                  <c:v>106.22999999999999</c:v>
                </c:pt>
                <c:pt idx="12">
                  <c:v>108.504</c:v>
                </c:pt>
                <c:pt idx="13">
                  <c:v>109.82</c:v>
                </c:pt>
                <c:pt idx="14">
                  <c:v>352</c:v>
                </c:pt>
                <c:pt idx="15">
                  <c:v>454.15</c:v>
                </c:pt>
                <c:pt idx="16">
                  <c:v>449.65199999999999</c:v>
                </c:pt>
                <c:pt idx="17">
                  <c:v>503</c:v>
                </c:pt>
                <c:pt idx="18">
                  <c:v>364.25</c:v>
                </c:pt>
                <c:pt idx="19">
                  <c:v>423.85</c:v>
                </c:pt>
                <c:pt idx="20">
                  <c:v>53.85</c:v>
                </c:pt>
                <c:pt idx="21">
                  <c:v>0</c:v>
                </c:pt>
                <c:pt idx="22">
                  <c:v>52.097000000000001</c:v>
                </c:pt>
                <c:pt idx="23">
                  <c:v>98.13</c:v>
                </c:pt>
                <c:pt idx="24">
                  <c:v>80.349999999999994</c:v>
                </c:pt>
                <c:pt idx="25">
                  <c:v>281.32299999999998</c:v>
                </c:pt>
                <c:pt idx="26">
                  <c:v>76.999999999999972</c:v>
                </c:pt>
                <c:pt idx="27">
                  <c:v>280.55200000000002</c:v>
                </c:pt>
                <c:pt idx="28">
                  <c:v>176</c:v>
                </c:pt>
                <c:pt idx="29">
                  <c:v>97.9</c:v>
                </c:pt>
                <c:pt idx="30">
                  <c:v>67.373000000000005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1"/>
                <c:pt idx="0">
                  <c:v>155.95191344919138</c:v>
                </c:pt>
                <c:pt idx="1">
                  <c:v>155.95191344919138</c:v>
                </c:pt>
                <c:pt idx="2">
                  <c:v>155.95191344919138</c:v>
                </c:pt>
                <c:pt idx="3">
                  <c:v>155.95191344919138</c:v>
                </c:pt>
                <c:pt idx="4">
                  <c:v>155.95191344919138</c:v>
                </c:pt>
                <c:pt idx="5">
                  <c:v>155.95191344919138</c:v>
                </c:pt>
                <c:pt idx="6">
                  <c:v>155.95191344919138</c:v>
                </c:pt>
                <c:pt idx="7">
                  <c:v>155.95191344919138</c:v>
                </c:pt>
                <c:pt idx="8">
                  <c:v>155.95191344919138</c:v>
                </c:pt>
                <c:pt idx="9">
                  <c:v>155.95191344919138</c:v>
                </c:pt>
                <c:pt idx="10">
                  <c:v>155.95191344919138</c:v>
                </c:pt>
                <c:pt idx="11">
                  <c:v>155.95191344919138</c:v>
                </c:pt>
                <c:pt idx="12">
                  <c:v>155.95191344919138</c:v>
                </c:pt>
                <c:pt idx="13">
                  <c:v>155.95191344919138</c:v>
                </c:pt>
                <c:pt idx="14">
                  <c:v>155.95191344919138</c:v>
                </c:pt>
                <c:pt idx="15">
                  <c:v>155.95191344919138</c:v>
                </c:pt>
                <c:pt idx="16">
                  <c:v>155.95191344919138</c:v>
                </c:pt>
                <c:pt idx="17">
                  <c:v>155.95191344919138</c:v>
                </c:pt>
                <c:pt idx="18">
                  <c:v>155.95191344919138</c:v>
                </c:pt>
                <c:pt idx="19">
                  <c:v>155.95191344919138</c:v>
                </c:pt>
                <c:pt idx="20">
                  <c:v>155.95191344919138</c:v>
                </c:pt>
                <c:pt idx="21">
                  <c:v>155.95191344919138</c:v>
                </c:pt>
                <c:pt idx="22">
                  <c:v>155.95191344919138</c:v>
                </c:pt>
                <c:pt idx="23">
                  <c:v>155.95191344919138</c:v>
                </c:pt>
                <c:pt idx="24">
                  <c:v>155.95191344919138</c:v>
                </c:pt>
                <c:pt idx="25">
                  <c:v>155.95191344919138</c:v>
                </c:pt>
                <c:pt idx="26">
                  <c:v>155.95191344919138</c:v>
                </c:pt>
                <c:pt idx="27">
                  <c:v>155.95191344919138</c:v>
                </c:pt>
                <c:pt idx="28">
                  <c:v>155.95191344919138</c:v>
                </c:pt>
                <c:pt idx="29">
                  <c:v>155.95191344919138</c:v>
                </c:pt>
                <c:pt idx="30">
                  <c:v>155.95191344919138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455381367424E-2"/>
                  <c:y val="-7.598938243506618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184.97541935483872</c:v>
                </c:pt>
                <c:pt idx="1">
                  <c:v>184.97541935483872</c:v>
                </c:pt>
                <c:pt idx="2">
                  <c:v>184.97541935483872</c:v>
                </c:pt>
                <c:pt idx="3">
                  <c:v>184.97541935483872</c:v>
                </c:pt>
                <c:pt idx="4">
                  <c:v>184.97541935483872</c:v>
                </c:pt>
                <c:pt idx="5">
                  <c:v>184.97541935483872</c:v>
                </c:pt>
                <c:pt idx="6">
                  <c:v>184.97541935483872</c:v>
                </c:pt>
                <c:pt idx="7">
                  <c:v>184.97541935483872</c:v>
                </c:pt>
                <c:pt idx="8">
                  <c:v>184.97541935483872</c:v>
                </c:pt>
                <c:pt idx="9">
                  <c:v>184.97541935483872</c:v>
                </c:pt>
                <c:pt idx="10">
                  <c:v>184.97541935483872</c:v>
                </c:pt>
                <c:pt idx="11">
                  <c:v>184.97541935483872</c:v>
                </c:pt>
                <c:pt idx="12">
                  <c:v>184.97541935483872</c:v>
                </c:pt>
                <c:pt idx="13">
                  <c:v>184.97541935483872</c:v>
                </c:pt>
                <c:pt idx="14">
                  <c:v>184.97541935483872</c:v>
                </c:pt>
                <c:pt idx="15">
                  <c:v>184.97541935483872</c:v>
                </c:pt>
                <c:pt idx="16">
                  <c:v>184.97541935483872</c:v>
                </c:pt>
                <c:pt idx="17">
                  <c:v>184.97541935483872</c:v>
                </c:pt>
                <c:pt idx="18">
                  <c:v>184.97541935483872</c:v>
                </c:pt>
                <c:pt idx="19">
                  <c:v>184.97541935483872</c:v>
                </c:pt>
                <c:pt idx="20">
                  <c:v>184.97541935483872</c:v>
                </c:pt>
                <c:pt idx="21">
                  <c:v>184.97541935483872</c:v>
                </c:pt>
                <c:pt idx="22">
                  <c:v>184.97541935483872</c:v>
                </c:pt>
                <c:pt idx="23">
                  <c:v>184.97541935483872</c:v>
                </c:pt>
                <c:pt idx="24">
                  <c:v>184.97541935483872</c:v>
                </c:pt>
                <c:pt idx="25">
                  <c:v>184.97541935483872</c:v>
                </c:pt>
                <c:pt idx="26">
                  <c:v>184.97541935483872</c:v>
                </c:pt>
                <c:pt idx="27">
                  <c:v>184.97541935483872</c:v>
                </c:pt>
                <c:pt idx="28">
                  <c:v>184.97541935483872</c:v>
                </c:pt>
                <c:pt idx="29">
                  <c:v>184.97541935483872</c:v>
                </c:pt>
                <c:pt idx="30">
                  <c:v>184.97541935483872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1"/>
                <c:pt idx="0">
                  <c:v>0</c:v>
                </c:pt>
                <c:pt idx="1">
                  <c:v>3569.56</c:v>
                </c:pt>
                <c:pt idx="2">
                  <c:v>2004.5350000000001</c:v>
                </c:pt>
                <c:pt idx="3">
                  <c:v>1909.1110000000001</c:v>
                </c:pt>
                <c:pt idx="4">
                  <c:v>3184.71</c:v>
                </c:pt>
                <c:pt idx="5">
                  <c:v>5615.0120000000006</c:v>
                </c:pt>
                <c:pt idx="6">
                  <c:v>16106.739</c:v>
                </c:pt>
                <c:pt idx="7">
                  <c:v>3138.38</c:v>
                </c:pt>
                <c:pt idx="8">
                  <c:v>5169.08</c:v>
                </c:pt>
                <c:pt idx="9">
                  <c:v>4534.0430000000006</c:v>
                </c:pt>
                <c:pt idx="10">
                  <c:v>2073.7190000000001</c:v>
                </c:pt>
                <c:pt idx="11">
                  <c:v>2910.6309999999999</c:v>
                </c:pt>
                <c:pt idx="12">
                  <c:v>2351.5099999999998</c:v>
                </c:pt>
                <c:pt idx="13">
                  <c:v>2753.9780000000001</c:v>
                </c:pt>
                <c:pt idx="14">
                  <c:v>9839.2099999999991</c:v>
                </c:pt>
                <c:pt idx="15">
                  <c:v>13046.119999999999</c:v>
                </c:pt>
                <c:pt idx="16">
                  <c:v>13254.94</c:v>
                </c:pt>
                <c:pt idx="17">
                  <c:v>13630.976999999999</c:v>
                </c:pt>
                <c:pt idx="18">
                  <c:v>10001.110999999999</c:v>
                </c:pt>
                <c:pt idx="19">
                  <c:v>12065.503000000001</c:v>
                </c:pt>
                <c:pt idx="20">
                  <c:v>1652.748</c:v>
                </c:pt>
                <c:pt idx="21">
                  <c:v>0</c:v>
                </c:pt>
                <c:pt idx="22">
                  <c:v>1698.2</c:v>
                </c:pt>
                <c:pt idx="23">
                  <c:v>3033.0559999999996</c:v>
                </c:pt>
                <c:pt idx="24">
                  <c:v>2592.4699999999998</c:v>
                </c:pt>
                <c:pt idx="25">
                  <c:v>8297.7270000000008</c:v>
                </c:pt>
                <c:pt idx="26">
                  <c:v>2165.67</c:v>
                </c:pt>
                <c:pt idx="27">
                  <c:v>8430.7919999999995</c:v>
                </c:pt>
                <c:pt idx="28">
                  <c:v>5088.3599999999997</c:v>
                </c:pt>
                <c:pt idx="29">
                  <c:v>2901.38</c:v>
                </c:pt>
                <c:pt idx="30">
                  <c:v>2142.5720000000001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6702124598088E-2"/>
                  <c:y val="5.454192595085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1"/>
                <c:pt idx="0">
                  <c:v>4951.4765778251603</c:v>
                </c:pt>
                <c:pt idx="1">
                  <c:v>4951.4765778251603</c:v>
                </c:pt>
                <c:pt idx="2">
                  <c:v>4951.4765778251603</c:v>
                </c:pt>
                <c:pt idx="3">
                  <c:v>4951.4765778251603</c:v>
                </c:pt>
                <c:pt idx="4">
                  <c:v>4951.4765778251603</c:v>
                </c:pt>
                <c:pt idx="5">
                  <c:v>4951.4765778251603</c:v>
                </c:pt>
                <c:pt idx="6">
                  <c:v>4951.4765778251603</c:v>
                </c:pt>
                <c:pt idx="7">
                  <c:v>4951.4765778251603</c:v>
                </c:pt>
                <c:pt idx="8">
                  <c:v>4951.4765778251603</c:v>
                </c:pt>
                <c:pt idx="9">
                  <c:v>4951.4765778251603</c:v>
                </c:pt>
                <c:pt idx="10">
                  <c:v>4951.4765778251603</c:v>
                </c:pt>
                <c:pt idx="11">
                  <c:v>4951.4765778251603</c:v>
                </c:pt>
                <c:pt idx="12">
                  <c:v>4951.4765778251603</c:v>
                </c:pt>
                <c:pt idx="13">
                  <c:v>4951.4765778251603</c:v>
                </c:pt>
                <c:pt idx="14">
                  <c:v>4951.4765778251603</c:v>
                </c:pt>
                <c:pt idx="15">
                  <c:v>4951.4765778251603</c:v>
                </c:pt>
                <c:pt idx="16">
                  <c:v>4951.4765778251603</c:v>
                </c:pt>
                <c:pt idx="17">
                  <c:v>4951.4765778251603</c:v>
                </c:pt>
                <c:pt idx="18">
                  <c:v>4951.4765778251603</c:v>
                </c:pt>
                <c:pt idx="19">
                  <c:v>4951.4765778251603</c:v>
                </c:pt>
                <c:pt idx="20">
                  <c:v>4951.4765778251603</c:v>
                </c:pt>
                <c:pt idx="21">
                  <c:v>4951.4765778251603</c:v>
                </c:pt>
                <c:pt idx="22">
                  <c:v>4951.4765778251603</c:v>
                </c:pt>
                <c:pt idx="23">
                  <c:v>4951.4765778251603</c:v>
                </c:pt>
                <c:pt idx="24">
                  <c:v>4951.4765778251603</c:v>
                </c:pt>
                <c:pt idx="25">
                  <c:v>4951.4765778251603</c:v>
                </c:pt>
                <c:pt idx="26">
                  <c:v>4951.4765778251603</c:v>
                </c:pt>
                <c:pt idx="27">
                  <c:v>4951.4765778251603</c:v>
                </c:pt>
                <c:pt idx="28">
                  <c:v>4951.4765778251603</c:v>
                </c:pt>
                <c:pt idx="29">
                  <c:v>4951.4765778251603</c:v>
                </c:pt>
                <c:pt idx="30">
                  <c:v>4951.4765778251603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618621431206291E-2"/>
                  <c:y val="-6.81944825047206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42893335379103E-2"/>
                      <c:h val="0.104034720172633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1"/>
                <c:pt idx="0">
                  <c:v>5327.8014193548397</c:v>
                </c:pt>
                <c:pt idx="1">
                  <c:v>5327.8014193548397</c:v>
                </c:pt>
                <c:pt idx="2">
                  <c:v>5327.8014193548397</c:v>
                </c:pt>
                <c:pt idx="3">
                  <c:v>5327.8014193548397</c:v>
                </c:pt>
                <c:pt idx="4">
                  <c:v>5327.8014193548397</c:v>
                </c:pt>
                <c:pt idx="5">
                  <c:v>5327.8014193548397</c:v>
                </c:pt>
                <c:pt idx="6">
                  <c:v>5327.8014193548397</c:v>
                </c:pt>
                <c:pt idx="7">
                  <c:v>5327.8014193548397</c:v>
                </c:pt>
                <c:pt idx="8">
                  <c:v>5327.8014193548397</c:v>
                </c:pt>
                <c:pt idx="9">
                  <c:v>5327.8014193548397</c:v>
                </c:pt>
                <c:pt idx="10">
                  <c:v>5327.8014193548397</c:v>
                </c:pt>
                <c:pt idx="11">
                  <c:v>5327.8014193548397</c:v>
                </c:pt>
                <c:pt idx="12">
                  <c:v>5327.8014193548397</c:v>
                </c:pt>
                <c:pt idx="13">
                  <c:v>5327.8014193548397</c:v>
                </c:pt>
                <c:pt idx="14">
                  <c:v>5327.8014193548397</c:v>
                </c:pt>
                <c:pt idx="15">
                  <c:v>5327.8014193548397</c:v>
                </c:pt>
                <c:pt idx="16">
                  <c:v>5327.8014193548397</c:v>
                </c:pt>
                <c:pt idx="17">
                  <c:v>5327.8014193548397</c:v>
                </c:pt>
                <c:pt idx="18">
                  <c:v>5327.8014193548397</c:v>
                </c:pt>
                <c:pt idx="19">
                  <c:v>5327.8014193548397</c:v>
                </c:pt>
                <c:pt idx="20">
                  <c:v>5327.8014193548397</c:v>
                </c:pt>
                <c:pt idx="21">
                  <c:v>5327.8014193548397</c:v>
                </c:pt>
                <c:pt idx="22">
                  <c:v>5327.8014193548397</c:v>
                </c:pt>
                <c:pt idx="23">
                  <c:v>5327.8014193548397</c:v>
                </c:pt>
                <c:pt idx="24">
                  <c:v>5327.8014193548397</c:v>
                </c:pt>
                <c:pt idx="25">
                  <c:v>5327.8014193548397</c:v>
                </c:pt>
                <c:pt idx="26">
                  <c:v>5327.8014193548397</c:v>
                </c:pt>
                <c:pt idx="27">
                  <c:v>5327.8014193548397</c:v>
                </c:pt>
                <c:pt idx="28">
                  <c:v>5327.8014193548397</c:v>
                </c:pt>
                <c:pt idx="29">
                  <c:v>5327.8014193548397</c:v>
                </c:pt>
                <c:pt idx="30">
                  <c:v>5327.8014193548397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1"/>
                <c:pt idx="0">
                  <c:v>9403.9500000000007</c:v>
                </c:pt>
                <c:pt idx="1">
                  <c:v>9464.4500000000007</c:v>
                </c:pt>
                <c:pt idx="2">
                  <c:v>9439.25</c:v>
                </c:pt>
                <c:pt idx="3">
                  <c:v>9403.93</c:v>
                </c:pt>
                <c:pt idx="4">
                  <c:v>9415.91</c:v>
                </c:pt>
                <c:pt idx="5">
                  <c:v>9474.6</c:v>
                </c:pt>
                <c:pt idx="6">
                  <c:v>9159.6</c:v>
                </c:pt>
                <c:pt idx="7">
                  <c:v>8974.9</c:v>
                </c:pt>
                <c:pt idx="8">
                  <c:v>9045.7999999999993</c:v>
                </c:pt>
                <c:pt idx="9">
                  <c:v>9045.7999999999993</c:v>
                </c:pt>
                <c:pt idx="10">
                  <c:v>8932.52</c:v>
                </c:pt>
                <c:pt idx="11">
                  <c:v>8991.23</c:v>
                </c:pt>
                <c:pt idx="12">
                  <c:v>8934.75</c:v>
                </c:pt>
                <c:pt idx="13">
                  <c:v>8979.4500000000007</c:v>
                </c:pt>
                <c:pt idx="14">
                  <c:v>8965.35</c:v>
                </c:pt>
                <c:pt idx="15">
                  <c:v>8826.1299999999992</c:v>
                </c:pt>
                <c:pt idx="16">
                  <c:v>8472.6299999999992</c:v>
                </c:pt>
                <c:pt idx="17">
                  <c:v>8176.14</c:v>
                </c:pt>
                <c:pt idx="18">
                  <c:v>7570.82</c:v>
                </c:pt>
                <c:pt idx="19">
                  <c:v>7534.11</c:v>
                </c:pt>
                <c:pt idx="20">
                  <c:v>7195.99</c:v>
                </c:pt>
                <c:pt idx="21">
                  <c:v>7256.7</c:v>
                </c:pt>
                <c:pt idx="22">
                  <c:v>7426.15</c:v>
                </c:pt>
                <c:pt idx="23">
                  <c:v>7527.45</c:v>
                </c:pt>
                <c:pt idx="24">
                  <c:v>7584.18</c:v>
                </c:pt>
                <c:pt idx="25">
                  <c:v>7572.08</c:v>
                </c:pt>
                <c:pt idx="26">
                  <c:v>7493.92</c:v>
                </c:pt>
                <c:pt idx="27">
                  <c:v>7662.09</c:v>
                </c:pt>
                <c:pt idx="28">
                  <c:v>7484.46</c:v>
                </c:pt>
                <c:pt idx="29">
                  <c:v>7466.86</c:v>
                </c:pt>
                <c:pt idx="30">
                  <c:v>7510.39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1"/>
                <c:pt idx="0">
                  <c:v>0</c:v>
                </c:pt>
                <c:pt idx="1">
                  <c:v>9491.44</c:v>
                </c:pt>
                <c:pt idx="2">
                  <c:v>16031.99</c:v>
                </c:pt>
                <c:pt idx="3">
                  <c:v>18433.66</c:v>
                </c:pt>
                <c:pt idx="4">
                  <c:v>22873.62</c:v>
                </c:pt>
                <c:pt idx="5">
                  <c:v>25124.89</c:v>
                </c:pt>
                <c:pt idx="6">
                  <c:v>25124.89</c:v>
                </c:pt>
                <c:pt idx="7">
                  <c:v>25124.89</c:v>
                </c:pt>
                <c:pt idx="8">
                  <c:v>44425.970000000008</c:v>
                </c:pt>
                <c:pt idx="9">
                  <c:v>47197.270000000004</c:v>
                </c:pt>
                <c:pt idx="10">
                  <c:v>53992.689999999995</c:v>
                </c:pt>
                <c:pt idx="11">
                  <c:v>58897.87</c:v>
                </c:pt>
                <c:pt idx="12">
                  <c:v>72910.45</c:v>
                </c:pt>
                <c:pt idx="13">
                  <c:v>73608.69</c:v>
                </c:pt>
                <c:pt idx="14">
                  <c:v>73608.69</c:v>
                </c:pt>
                <c:pt idx="15">
                  <c:v>74775.87</c:v>
                </c:pt>
                <c:pt idx="16">
                  <c:v>82972.739999999991</c:v>
                </c:pt>
                <c:pt idx="17">
                  <c:v>83035.95</c:v>
                </c:pt>
                <c:pt idx="18">
                  <c:v>86741.36</c:v>
                </c:pt>
                <c:pt idx="19">
                  <c:v>89053.38</c:v>
                </c:pt>
                <c:pt idx="20">
                  <c:v>89053.38</c:v>
                </c:pt>
                <c:pt idx="21">
                  <c:v>136907.72</c:v>
                </c:pt>
                <c:pt idx="22">
                  <c:v>145543.44</c:v>
                </c:pt>
                <c:pt idx="23">
                  <c:v>187259.49000000002</c:v>
                </c:pt>
                <c:pt idx="24">
                  <c:v>189936.78</c:v>
                </c:pt>
                <c:pt idx="25">
                  <c:v>198522.12</c:v>
                </c:pt>
                <c:pt idx="26">
                  <c:v>202982.57</c:v>
                </c:pt>
                <c:pt idx="27">
                  <c:v>203012.82</c:v>
                </c:pt>
                <c:pt idx="28">
                  <c:v>203012.82</c:v>
                </c:pt>
                <c:pt idx="29">
                  <c:v>220848.56</c:v>
                </c:pt>
                <c:pt idx="30">
                  <c:v>222935.72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D2-439D-B2AA-9AB8B1AB35FF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1"/>
                <c:pt idx="0">
                  <c:v>0</c:v>
                </c:pt>
                <c:pt idx="1">
                  <c:v>3569.56</c:v>
                </c:pt>
                <c:pt idx="2">
                  <c:v>5574.0949999999993</c:v>
                </c:pt>
                <c:pt idx="3">
                  <c:v>7483.2060000000001</c:v>
                </c:pt>
                <c:pt idx="4">
                  <c:v>10667.916000000001</c:v>
                </c:pt>
                <c:pt idx="5">
                  <c:v>16282.928</c:v>
                </c:pt>
                <c:pt idx="6">
                  <c:v>32389.666999999998</c:v>
                </c:pt>
                <c:pt idx="7">
                  <c:v>35528.046999999999</c:v>
                </c:pt>
                <c:pt idx="8">
                  <c:v>40697.127</c:v>
                </c:pt>
                <c:pt idx="9">
                  <c:v>45231.170000000006</c:v>
                </c:pt>
                <c:pt idx="10">
                  <c:v>47304.888999999996</c:v>
                </c:pt>
                <c:pt idx="11">
                  <c:v>50215.519999999997</c:v>
                </c:pt>
                <c:pt idx="12">
                  <c:v>52567.03</c:v>
                </c:pt>
                <c:pt idx="13">
                  <c:v>55321.008000000002</c:v>
                </c:pt>
                <c:pt idx="14">
                  <c:v>65160.218000000001</c:v>
                </c:pt>
                <c:pt idx="15">
                  <c:v>78206.337999999989</c:v>
                </c:pt>
                <c:pt idx="16">
                  <c:v>91461.278000000006</c:v>
                </c:pt>
                <c:pt idx="17">
                  <c:v>105092.25499999999</c:v>
                </c:pt>
                <c:pt idx="18">
                  <c:v>115093.36599999998</c:v>
                </c:pt>
                <c:pt idx="19">
                  <c:v>127158.86899999999</c:v>
                </c:pt>
                <c:pt idx="20">
                  <c:v>128811.617</c:v>
                </c:pt>
                <c:pt idx="21">
                  <c:v>128811.617</c:v>
                </c:pt>
                <c:pt idx="22">
                  <c:v>130509.817</c:v>
                </c:pt>
                <c:pt idx="23">
                  <c:v>133542.87299999999</c:v>
                </c:pt>
                <c:pt idx="24">
                  <c:v>136135.34299999999</c:v>
                </c:pt>
                <c:pt idx="25">
                  <c:v>144433.06999999998</c:v>
                </c:pt>
                <c:pt idx="26">
                  <c:v>146598.73999999996</c:v>
                </c:pt>
                <c:pt idx="27">
                  <c:v>155029.53200000001</c:v>
                </c:pt>
                <c:pt idx="28">
                  <c:v>160117.89199999999</c:v>
                </c:pt>
                <c:pt idx="29">
                  <c:v>163019.272</c:v>
                </c:pt>
                <c:pt idx="30">
                  <c:v>165161.84399999995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6-4DB5-A75D-0A6AD37AE70C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31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86-4DB5-A75D-0A6AD37AE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2"/>
                <c:pt idx="0">
                  <c:v>0</c:v>
                </c:pt>
                <c:pt idx="1">
                  <c:v>3569.56</c:v>
                </c:pt>
                <c:pt idx="2">
                  <c:v>5574.0949999999993</c:v>
                </c:pt>
                <c:pt idx="3">
                  <c:v>7483.2060000000001</c:v>
                </c:pt>
                <c:pt idx="4">
                  <c:v>10667.916000000001</c:v>
                </c:pt>
                <c:pt idx="5">
                  <c:v>16282.928</c:v>
                </c:pt>
                <c:pt idx="6">
                  <c:v>32389.666999999998</c:v>
                </c:pt>
                <c:pt idx="7">
                  <c:v>35528.046999999999</c:v>
                </c:pt>
                <c:pt idx="8">
                  <c:v>40697.127</c:v>
                </c:pt>
                <c:pt idx="9">
                  <c:v>45231.170000000006</c:v>
                </c:pt>
                <c:pt idx="10">
                  <c:v>47304.888999999996</c:v>
                </c:pt>
                <c:pt idx="11">
                  <c:v>50215.519999999997</c:v>
                </c:pt>
                <c:pt idx="12">
                  <c:v>52567.03</c:v>
                </c:pt>
                <c:pt idx="13">
                  <c:v>55321.008000000002</c:v>
                </c:pt>
                <c:pt idx="14">
                  <c:v>65160.218000000001</c:v>
                </c:pt>
                <c:pt idx="15">
                  <c:v>78206.337999999989</c:v>
                </c:pt>
                <c:pt idx="16">
                  <c:v>91461.278000000006</c:v>
                </c:pt>
                <c:pt idx="17">
                  <c:v>105092.25499999999</c:v>
                </c:pt>
                <c:pt idx="18">
                  <c:v>115093.36599999998</c:v>
                </c:pt>
                <c:pt idx="19">
                  <c:v>127158.86899999999</c:v>
                </c:pt>
                <c:pt idx="20">
                  <c:v>128811.617</c:v>
                </c:pt>
                <c:pt idx="21">
                  <c:v>128811.617</c:v>
                </c:pt>
                <c:pt idx="22">
                  <c:v>130509.817</c:v>
                </c:pt>
                <c:pt idx="23">
                  <c:v>133542.87299999999</c:v>
                </c:pt>
                <c:pt idx="24">
                  <c:v>136135.34299999999</c:v>
                </c:pt>
                <c:pt idx="25">
                  <c:v>144433.06999999998</c:v>
                </c:pt>
                <c:pt idx="26">
                  <c:v>146598.73999999996</c:v>
                </c:pt>
                <c:pt idx="27">
                  <c:v>155029.53200000001</c:v>
                </c:pt>
                <c:pt idx="28">
                  <c:v>160117.89199999999</c:v>
                </c:pt>
                <c:pt idx="29">
                  <c:v>163019.272</c:v>
                </c:pt>
                <c:pt idx="30">
                  <c:v>165161.84399999995</c:v>
                </c:pt>
                <c:pt idx="31">
                  <c:v>143752.54580782723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2"/>
                <c:pt idx="0">
                  <c:v>4791.7515269275746</c:v>
                </c:pt>
                <c:pt idx="1">
                  <c:v>9583.5030538551491</c:v>
                </c:pt>
                <c:pt idx="2">
                  <c:v>14375.254580782723</c:v>
                </c:pt>
                <c:pt idx="3">
                  <c:v>19167.006107710298</c:v>
                </c:pt>
                <c:pt idx="4">
                  <c:v>23958.757634637874</c:v>
                </c:pt>
                <c:pt idx="5">
                  <c:v>28750.509161565449</c:v>
                </c:pt>
                <c:pt idx="6">
                  <c:v>33542.260688493021</c:v>
                </c:pt>
                <c:pt idx="7">
                  <c:v>38334.012215420596</c:v>
                </c:pt>
                <c:pt idx="8">
                  <c:v>43125.763742348172</c:v>
                </c:pt>
                <c:pt idx="9">
                  <c:v>47917.515269275747</c:v>
                </c:pt>
                <c:pt idx="10">
                  <c:v>52709.266796203323</c:v>
                </c:pt>
                <c:pt idx="11">
                  <c:v>57501.018323130898</c:v>
                </c:pt>
                <c:pt idx="12">
                  <c:v>62292.769850058474</c:v>
                </c:pt>
                <c:pt idx="13">
                  <c:v>67084.521376986042</c:v>
                </c:pt>
                <c:pt idx="14">
                  <c:v>71876.272903913617</c:v>
                </c:pt>
                <c:pt idx="15">
                  <c:v>76668.024430841193</c:v>
                </c:pt>
                <c:pt idx="16">
                  <c:v>81459.775957768768</c:v>
                </c:pt>
                <c:pt idx="17">
                  <c:v>86251.527484696344</c:v>
                </c:pt>
                <c:pt idx="18">
                  <c:v>91043.279011623919</c:v>
                </c:pt>
                <c:pt idx="19">
                  <c:v>95835.030538551495</c:v>
                </c:pt>
                <c:pt idx="20">
                  <c:v>100626.78206547907</c:v>
                </c:pt>
                <c:pt idx="21">
                  <c:v>105418.53359240665</c:v>
                </c:pt>
                <c:pt idx="22">
                  <c:v>110210.28511933422</c:v>
                </c:pt>
                <c:pt idx="23">
                  <c:v>115002.0366462618</c:v>
                </c:pt>
                <c:pt idx="24">
                  <c:v>119793.78817318937</c:v>
                </c:pt>
                <c:pt idx="25">
                  <c:v>124585.53970011695</c:v>
                </c:pt>
                <c:pt idx="26">
                  <c:v>129377.29122704452</c:v>
                </c:pt>
                <c:pt idx="27">
                  <c:v>134169.04275397208</c:v>
                </c:pt>
                <c:pt idx="28">
                  <c:v>138960.79428089966</c:v>
                </c:pt>
                <c:pt idx="29">
                  <c:v>143752.54580782723</c:v>
                </c:pt>
                <c:pt idx="30">
                  <c:v>148544.29733475481</c:v>
                </c:pt>
                <c:pt idx="31">
                  <c:v>148544.29733475481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114,9%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1.1489316107193914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7-44B2-9F6F-9A119C598125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1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E7-44B2-9F6F-9A119C598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2"/>
                <c:pt idx="0">
                  <c:v>0</c:v>
                </c:pt>
                <c:pt idx="1">
                  <c:v>1003.34</c:v>
                </c:pt>
                <c:pt idx="2">
                  <c:v>2469.835</c:v>
                </c:pt>
                <c:pt idx="3">
                  <c:v>3325.5060000000003</c:v>
                </c:pt>
                <c:pt idx="4">
                  <c:v>5864.9060000000009</c:v>
                </c:pt>
                <c:pt idx="5">
                  <c:v>8953.978000000001</c:v>
                </c:pt>
                <c:pt idx="6">
                  <c:v>11542.277000000002</c:v>
                </c:pt>
                <c:pt idx="7">
                  <c:v>11542.277000000002</c:v>
                </c:pt>
                <c:pt idx="8">
                  <c:v>16019.177000000001</c:v>
                </c:pt>
                <c:pt idx="9">
                  <c:v>19425.980000000003</c:v>
                </c:pt>
                <c:pt idx="10">
                  <c:v>21153.069000000003</c:v>
                </c:pt>
                <c:pt idx="11">
                  <c:v>21907.730000000003</c:v>
                </c:pt>
                <c:pt idx="12">
                  <c:v>23870.180000000004</c:v>
                </c:pt>
                <c:pt idx="13">
                  <c:v>24577.768000000004</c:v>
                </c:pt>
                <c:pt idx="14">
                  <c:v>24577.768000000004</c:v>
                </c:pt>
                <c:pt idx="15">
                  <c:v>27377.638000000003</c:v>
                </c:pt>
                <c:pt idx="16">
                  <c:v>33011.048000000003</c:v>
                </c:pt>
                <c:pt idx="17">
                  <c:v>38124.514999999999</c:v>
                </c:pt>
                <c:pt idx="18">
                  <c:v>45012.275999999998</c:v>
                </c:pt>
                <c:pt idx="19">
                  <c:v>50710.478999999999</c:v>
                </c:pt>
                <c:pt idx="20">
                  <c:v>51585.106999999996</c:v>
                </c:pt>
                <c:pt idx="21">
                  <c:v>51585.106999999996</c:v>
                </c:pt>
                <c:pt idx="22">
                  <c:v>52372.546999999999</c:v>
                </c:pt>
                <c:pt idx="23">
                  <c:v>54310.102999999996</c:v>
                </c:pt>
                <c:pt idx="24">
                  <c:v>56513.512999999992</c:v>
                </c:pt>
                <c:pt idx="25">
                  <c:v>59093.989999999991</c:v>
                </c:pt>
                <c:pt idx="26">
                  <c:v>61045.979999999989</c:v>
                </c:pt>
                <c:pt idx="27">
                  <c:v>63363.311999999991</c:v>
                </c:pt>
                <c:pt idx="28">
                  <c:v>63363.311999999991</c:v>
                </c:pt>
                <c:pt idx="29">
                  <c:v>64994.041999999994</c:v>
                </c:pt>
                <c:pt idx="30">
                  <c:v>66434.883999999991</c:v>
                </c:pt>
                <c:pt idx="31">
                  <c:v>58341.325716918152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2"/>
                <c:pt idx="0">
                  <c:v>1944.7108572306051</c:v>
                </c:pt>
                <c:pt idx="1">
                  <c:v>3889.4217144612103</c:v>
                </c:pt>
                <c:pt idx="2">
                  <c:v>5834.1325716918154</c:v>
                </c:pt>
                <c:pt idx="3">
                  <c:v>7778.8434289224206</c:v>
                </c:pt>
                <c:pt idx="4">
                  <c:v>9723.5542861530266</c:v>
                </c:pt>
                <c:pt idx="5">
                  <c:v>11668.265143383633</c:v>
                </c:pt>
                <c:pt idx="6">
                  <c:v>13612.976000614239</c:v>
                </c:pt>
                <c:pt idx="7">
                  <c:v>15557.686857844845</c:v>
                </c:pt>
                <c:pt idx="8">
                  <c:v>17502.397715075451</c:v>
                </c:pt>
                <c:pt idx="9">
                  <c:v>19447.108572306057</c:v>
                </c:pt>
                <c:pt idx="10">
                  <c:v>21391.819429536663</c:v>
                </c:pt>
                <c:pt idx="11">
                  <c:v>23336.530286767269</c:v>
                </c:pt>
                <c:pt idx="12">
                  <c:v>25281.241143997875</c:v>
                </c:pt>
                <c:pt idx="13">
                  <c:v>27225.952001228481</c:v>
                </c:pt>
                <c:pt idx="14">
                  <c:v>29170.662858459087</c:v>
                </c:pt>
                <c:pt idx="15">
                  <c:v>31115.373715689693</c:v>
                </c:pt>
                <c:pt idx="16">
                  <c:v>33060.084572920299</c:v>
                </c:pt>
                <c:pt idx="17">
                  <c:v>35004.795430150902</c:v>
                </c:pt>
                <c:pt idx="18">
                  <c:v>36949.506287381504</c:v>
                </c:pt>
                <c:pt idx="19">
                  <c:v>38894.217144612106</c:v>
                </c:pt>
                <c:pt idx="20">
                  <c:v>40838.928001842709</c:v>
                </c:pt>
                <c:pt idx="21">
                  <c:v>42783.638859073311</c:v>
                </c:pt>
                <c:pt idx="22">
                  <c:v>44728.349716303914</c:v>
                </c:pt>
                <c:pt idx="23">
                  <c:v>46673.060573534516</c:v>
                </c:pt>
                <c:pt idx="24">
                  <c:v>48617.771430765119</c:v>
                </c:pt>
                <c:pt idx="25">
                  <c:v>50562.482287995721</c:v>
                </c:pt>
                <c:pt idx="26">
                  <c:v>52507.193145226323</c:v>
                </c:pt>
                <c:pt idx="27">
                  <c:v>54451.904002456926</c:v>
                </c:pt>
                <c:pt idx="28">
                  <c:v>56396.614859687528</c:v>
                </c:pt>
                <c:pt idx="29">
                  <c:v>58341.325716918131</c:v>
                </c:pt>
                <c:pt idx="30">
                  <c:v>60286.036574148733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C1-4B98-B785-6205F40627A8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31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C1-4B98-B785-6205F4062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2"/>
                <c:pt idx="0">
                  <c:v>0</c:v>
                </c:pt>
                <c:pt idx="1">
                  <c:v>1874.04</c:v>
                </c:pt>
                <c:pt idx="2">
                  <c:v>1874.04</c:v>
                </c:pt>
                <c:pt idx="3">
                  <c:v>1874.04</c:v>
                </c:pt>
                <c:pt idx="4">
                  <c:v>1812.54</c:v>
                </c:pt>
                <c:pt idx="5">
                  <c:v>3735.75</c:v>
                </c:pt>
                <c:pt idx="6">
                  <c:v>16865.129999999997</c:v>
                </c:pt>
                <c:pt idx="7">
                  <c:v>20003.509999999998</c:v>
                </c:pt>
                <c:pt idx="8">
                  <c:v>20003.509999999998</c:v>
                </c:pt>
                <c:pt idx="9">
                  <c:v>20003.509999999998</c:v>
                </c:pt>
                <c:pt idx="10">
                  <c:v>20003.509999999998</c:v>
                </c:pt>
                <c:pt idx="11">
                  <c:v>20689.189999999999</c:v>
                </c:pt>
                <c:pt idx="12">
                  <c:v>20689.189999999999</c:v>
                </c:pt>
                <c:pt idx="13">
                  <c:v>21957.46</c:v>
                </c:pt>
                <c:pt idx="14">
                  <c:v>31796.67</c:v>
                </c:pt>
                <c:pt idx="15">
                  <c:v>41001.629999999997</c:v>
                </c:pt>
                <c:pt idx="16">
                  <c:v>48234.1</c:v>
                </c:pt>
                <c:pt idx="17">
                  <c:v>56190.81</c:v>
                </c:pt>
                <c:pt idx="18">
                  <c:v>58597.35</c:v>
                </c:pt>
                <c:pt idx="19">
                  <c:v>64388.38</c:v>
                </c:pt>
                <c:pt idx="20">
                  <c:v>64388.38</c:v>
                </c:pt>
                <c:pt idx="21">
                  <c:v>64388.38</c:v>
                </c:pt>
                <c:pt idx="22">
                  <c:v>64388.38</c:v>
                </c:pt>
                <c:pt idx="23">
                  <c:v>64388.38</c:v>
                </c:pt>
                <c:pt idx="24">
                  <c:v>64388.38</c:v>
                </c:pt>
                <c:pt idx="25">
                  <c:v>68680.929999999993</c:v>
                </c:pt>
                <c:pt idx="26">
                  <c:v>68680.929999999993</c:v>
                </c:pt>
                <c:pt idx="27">
                  <c:v>74405.329999999987</c:v>
                </c:pt>
                <c:pt idx="28">
                  <c:v>79493.689999999988</c:v>
                </c:pt>
                <c:pt idx="29">
                  <c:v>80764.339999999982</c:v>
                </c:pt>
                <c:pt idx="30">
                  <c:v>80759.629999999976</c:v>
                </c:pt>
                <c:pt idx="31">
                  <c:v>85075.995090909084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2"/>
                <c:pt idx="0">
                  <c:v>2835.8665030303027</c:v>
                </c:pt>
                <c:pt idx="1">
                  <c:v>5671.7330060606055</c:v>
                </c:pt>
                <c:pt idx="2">
                  <c:v>8507.5995090909091</c:v>
                </c:pt>
                <c:pt idx="3">
                  <c:v>11343.466012121211</c:v>
                </c:pt>
                <c:pt idx="4">
                  <c:v>14179.332515151513</c:v>
                </c:pt>
                <c:pt idx="5">
                  <c:v>17015.199018181815</c:v>
                </c:pt>
                <c:pt idx="6">
                  <c:v>19851.065521212116</c:v>
                </c:pt>
                <c:pt idx="7">
                  <c:v>22686.932024242418</c:v>
                </c:pt>
                <c:pt idx="8">
                  <c:v>25522.79852727272</c:v>
                </c:pt>
                <c:pt idx="9">
                  <c:v>28358.665030303022</c:v>
                </c:pt>
                <c:pt idx="10">
                  <c:v>31194.531533333324</c:v>
                </c:pt>
                <c:pt idx="11">
                  <c:v>34030.398036363629</c:v>
                </c:pt>
                <c:pt idx="12">
                  <c:v>36866.264539393931</c:v>
                </c:pt>
                <c:pt idx="13">
                  <c:v>39702.131042424233</c:v>
                </c:pt>
                <c:pt idx="14">
                  <c:v>42537.997545454535</c:v>
                </c:pt>
                <c:pt idx="15">
                  <c:v>45373.864048484837</c:v>
                </c:pt>
                <c:pt idx="16">
                  <c:v>48209.730551515138</c:v>
                </c:pt>
                <c:pt idx="17">
                  <c:v>51045.59705454544</c:v>
                </c:pt>
                <c:pt idx="18">
                  <c:v>53881.463557575742</c:v>
                </c:pt>
                <c:pt idx="19">
                  <c:v>56717.330060606044</c:v>
                </c:pt>
                <c:pt idx="20">
                  <c:v>59553.196563636346</c:v>
                </c:pt>
                <c:pt idx="21">
                  <c:v>62389.063066666648</c:v>
                </c:pt>
                <c:pt idx="22">
                  <c:v>65224.929569696949</c:v>
                </c:pt>
                <c:pt idx="23">
                  <c:v>68060.796072727258</c:v>
                </c:pt>
                <c:pt idx="24">
                  <c:v>70896.662575757568</c:v>
                </c:pt>
                <c:pt idx="25">
                  <c:v>73732.529078787877</c:v>
                </c:pt>
                <c:pt idx="26">
                  <c:v>76568.395581818186</c:v>
                </c:pt>
                <c:pt idx="27">
                  <c:v>79404.262084848495</c:v>
                </c:pt>
                <c:pt idx="28">
                  <c:v>82240.128587878804</c:v>
                </c:pt>
                <c:pt idx="29">
                  <c:v>85075.995090909113</c:v>
                </c:pt>
                <c:pt idx="30">
                  <c:v>87911.861593939422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113,9%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1.1387277060235679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94,9%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0.94926459471562108</c:v>
                </c:pt>
                <c:pt idx="1">
                  <c:v>5.073540528437892E-2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34802.148240000002</c:v>
                </c:pt>
                <c:pt idx="6">
                  <c:v>31546.400000000001</c:v>
                </c:pt>
                <c:pt idx="7">
                  <c:v>0</c:v>
                </c:pt>
                <c:pt idx="8">
                  <c:v>26823.610999999997</c:v>
                </c:pt>
                <c:pt idx="9">
                  <c:v>35528.046999999999</c:v>
                </c:pt>
                <c:pt idx="10">
                  <c:v>29632.170999999998</c:v>
                </c:pt>
                <c:pt idx="11">
                  <c:v>63651.398999999998</c:v>
                </c:pt>
                <c:pt idx="12">
                  <c:v>31306.275000000001</c:v>
                </c:pt>
                <c:pt idx="13">
                  <c:v>33469.63407465045</c:v>
                </c:pt>
                <c:pt idx="14">
                  <c:v>33469.63407465045</c:v>
                </c:pt>
                <c:pt idx="15">
                  <c:v>33469.63407465045</c:v>
                </c:pt>
                <c:pt idx="16">
                  <c:v>33469.63407465045</c:v>
                </c:pt>
                <c:pt idx="17">
                  <c:v>28485.174032947412</c:v>
                </c:pt>
                <c:pt idx="18">
                  <c:v>28485.174032947412</c:v>
                </c:pt>
                <c:pt idx="19">
                  <c:v>28485.174032947412</c:v>
                </c:pt>
                <c:pt idx="20">
                  <c:v>28485.174032947412</c:v>
                </c:pt>
                <c:pt idx="21">
                  <c:v>28485.174032947412</c:v>
                </c:pt>
                <c:pt idx="22">
                  <c:v>35878.768224810912</c:v>
                </c:pt>
                <c:pt idx="23">
                  <c:v>35878.768224810912</c:v>
                </c:pt>
                <c:pt idx="24">
                  <c:v>35878.768224810912</c:v>
                </c:pt>
                <c:pt idx="25">
                  <c:v>35878.768224810912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10104.70824</c:v>
                </c:pt>
                <c:pt idx="6">
                  <c:v>8008.23</c:v>
                </c:pt>
                <c:pt idx="8">
                  <c:v>7140.2709999999997</c:v>
                </c:pt>
                <c:pt idx="9">
                  <c:v>11542.277000000002</c:v>
                </c:pt>
                <c:pt idx="10">
                  <c:v>13035.490999999998</c:v>
                </c:pt>
                <c:pt idx="11">
                  <c:v>27007.339000000004</c:v>
                </c:pt>
                <c:pt idx="12">
                  <c:v>11778.205</c:v>
                </c:pt>
                <c:pt idx="13">
                  <c:v>15244.067551923175</c:v>
                </c:pt>
                <c:pt idx="14">
                  <c:v>15244.067551923175</c:v>
                </c:pt>
                <c:pt idx="15">
                  <c:v>15244.067551923175</c:v>
                </c:pt>
                <c:pt idx="16">
                  <c:v>15244.067551923175</c:v>
                </c:pt>
                <c:pt idx="17">
                  <c:v>12290.044014765595</c:v>
                </c:pt>
                <c:pt idx="18">
                  <c:v>12290.044014765595</c:v>
                </c:pt>
                <c:pt idx="19">
                  <c:v>12290.044014765595</c:v>
                </c:pt>
                <c:pt idx="20">
                  <c:v>12290.044014765595</c:v>
                </c:pt>
                <c:pt idx="21">
                  <c:v>12290.044014765595</c:v>
                </c:pt>
                <c:pt idx="22">
                  <c:v>14621.455952083637</c:v>
                </c:pt>
                <c:pt idx="23">
                  <c:v>14621.455952083637</c:v>
                </c:pt>
                <c:pt idx="24">
                  <c:v>14621.455952083637</c:v>
                </c:pt>
                <c:pt idx="25">
                  <c:v>14621.455952083637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21434.21</c:v>
                </c:pt>
                <c:pt idx="6">
                  <c:v>18311.300000000003</c:v>
                </c:pt>
                <c:pt idx="8">
                  <c:v>17117.879999999997</c:v>
                </c:pt>
                <c:pt idx="9">
                  <c:v>20003.509999999998</c:v>
                </c:pt>
                <c:pt idx="10">
                  <c:v>11793.16</c:v>
                </c:pt>
                <c:pt idx="11">
                  <c:v>32591.71</c:v>
                </c:pt>
                <c:pt idx="12">
                  <c:v>15105.310000000001</c:v>
                </c:pt>
                <c:pt idx="13">
                  <c:v>18141.760272727275</c:v>
                </c:pt>
                <c:pt idx="14">
                  <c:v>18141.760272727275</c:v>
                </c:pt>
                <c:pt idx="15">
                  <c:v>18141.760272727275</c:v>
                </c:pt>
                <c:pt idx="16">
                  <c:v>18141.760272727275</c:v>
                </c:pt>
                <c:pt idx="17">
                  <c:v>16128.085018181819</c:v>
                </c:pt>
                <c:pt idx="18">
                  <c:v>16128.085018181819</c:v>
                </c:pt>
                <c:pt idx="19">
                  <c:v>16128.085018181819</c:v>
                </c:pt>
                <c:pt idx="20">
                  <c:v>16128.085018181819</c:v>
                </c:pt>
                <c:pt idx="21">
                  <c:v>16128.085018181819</c:v>
                </c:pt>
                <c:pt idx="22">
                  <c:v>21173.506022727273</c:v>
                </c:pt>
                <c:pt idx="23">
                  <c:v>21173.506022727273</c:v>
                </c:pt>
                <c:pt idx="24">
                  <c:v>21173.506022727273</c:v>
                </c:pt>
                <c:pt idx="25">
                  <c:v>21173.506022727273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141131.71824000002</c:v>
                </c:pt>
                <c:pt idx="6">
                  <c:v>172678.11824000001</c:v>
                </c:pt>
                <c:pt idx="7">
                  <c:v>172678.11824000001</c:v>
                </c:pt>
                <c:pt idx="8">
                  <c:v>199501.72924000002</c:v>
                </c:pt>
                <c:pt idx="9">
                  <c:v>235029.77624000001</c:v>
                </c:pt>
                <c:pt idx="10">
                  <c:v>264661.94724000001</c:v>
                </c:pt>
                <c:pt idx="11">
                  <c:v>328313.34623999998</c:v>
                </c:pt>
                <c:pt idx="12">
                  <c:v>359619.62124000001</c:v>
                </c:pt>
                <c:pt idx="13">
                  <c:v>393089.25531465048</c:v>
                </c:pt>
                <c:pt idx="14">
                  <c:v>426558.88938930095</c:v>
                </c:pt>
                <c:pt idx="15">
                  <c:v>460028.52346395142</c:v>
                </c:pt>
                <c:pt idx="16">
                  <c:v>493498.1575386019</c:v>
                </c:pt>
                <c:pt idx="17">
                  <c:v>521983.33157154929</c:v>
                </c:pt>
                <c:pt idx="18">
                  <c:v>550468.50560449669</c:v>
                </c:pt>
                <c:pt idx="19">
                  <c:v>578953.67963744409</c:v>
                </c:pt>
                <c:pt idx="20">
                  <c:v>607438.85367039149</c:v>
                </c:pt>
                <c:pt idx="21">
                  <c:v>635924.02770333888</c:v>
                </c:pt>
                <c:pt idx="22">
                  <c:v>671802.79592814983</c:v>
                </c:pt>
                <c:pt idx="23">
                  <c:v>707681.56415296078</c:v>
                </c:pt>
                <c:pt idx="24">
                  <c:v>743560.33237777173</c:v>
                </c:pt>
                <c:pt idx="25">
                  <c:v>779439.10060258268</c:v>
                </c:pt>
                <c:pt idx="26">
                  <c:v>807960.58837617468</c:v>
                </c:pt>
                <c:pt idx="27">
                  <c:v>836482.07614976668</c:v>
                </c:pt>
                <c:pt idx="28">
                  <c:v>865003.56392335868</c:v>
                </c:pt>
                <c:pt idx="29">
                  <c:v>893525.05169695069</c:v>
                </c:pt>
                <c:pt idx="30">
                  <c:v>922046.53947054269</c:v>
                </c:pt>
                <c:pt idx="31">
                  <c:v>956647.52772007883</c:v>
                </c:pt>
                <c:pt idx="32">
                  <c:v>991248.51596961496</c:v>
                </c:pt>
                <c:pt idx="33">
                  <c:v>1025849.5042191511</c:v>
                </c:pt>
                <c:pt idx="34">
                  <c:v>1060450.4924686872</c:v>
                </c:pt>
                <c:pt idx="35">
                  <c:v>1096800.462724258</c:v>
                </c:pt>
                <c:pt idx="36">
                  <c:v>1133150.4329798287</c:v>
                </c:pt>
                <c:pt idx="37">
                  <c:v>1169500.4032353994</c:v>
                </c:pt>
                <c:pt idx="38">
                  <c:v>1205850.3734909701</c:v>
                </c:pt>
                <c:pt idx="39">
                  <c:v>1232872.7880356028</c:v>
                </c:pt>
                <c:pt idx="40">
                  <c:v>1259895.2025802354</c:v>
                </c:pt>
                <c:pt idx="41">
                  <c:v>1286917.6171248681</c:v>
                </c:pt>
                <c:pt idx="42">
                  <c:v>1313940.0316695007</c:v>
                </c:pt>
                <c:pt idx="43">
                  <c:v>1340962.4462141334</c:v>
                </c:pt>
                <c:pt idx="44">
                  <c:v>1376746.2045938401</c:v>
                </c:pt>
                <c:pt idx="45">
                  <c:v>1412529.9629735467</c:v>
                </c:pt>
                <c:pt idx="46">
                  <c:v>1448313.7213532533</c:v>
                </c:pt>
                <c:pt idx="47">
                  <c:v>1484097.47973296</c:v>
                </c:pt>
                <c:pt idx="48">
                  <c:v>1520242.256764503</c:v>
                </c:pt>
                <c:pt idx="49">
                  <c:v>1556387.0337960459</c:v>
                </c:pt>
                <c:pt idx="50">
                  <c:v>1592531.8108275889</c:v>
                </c:pt>
                <c:pt idx="51">
                  <c:v>1628676.5878591319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97,3%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0.97262317831644396</c:v>
                </c:pt>
                <c:pt idx="1">
                  <c:v>2.7376821683556041E-2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4676.7440000000006</c:v>
                </c:pt>
                <c:pt idx="6">
                  <c:v>5744.9240000000009</c:v>
                </c:pt>
                <c:pt idx="7">
                  <c:v>5744.9240000000009</c:v>
                </c:pt>
                <c:pt idx="8">
                  <c:v>6679.764000000001</c:v>
                </c:pt>
                <c:pt idx="9">
                  <c:v>7879.063000000001</c:v>
                </c:pt>
                <c:pt idx="10">
                  <c:v>8954.5250000000015</c:v>
                </c:pt>
                <c:pt idx="11">
                  <c:v>11203.277000000002</c:v>
                </c:pt>
                <c:pt idx="12">
                  <c:v>12248.729000000001</c:v>
                </c:pt>
                <c:pt idx="13">
                  <c:v>13347.286879669182</c:v>
                </c:pt>
                <c:pt idx="14">
                  <c:v>14445.844759338363</c:v>
                </c:pt>
                <c:pt idx="15">
                  <c:v>15544.402639007543</c:v>
                </c:pt>
                <c:pt idx="16">
                  <c:v>16642.960518676722</c:v>
                </c:pt>
                <c:pt idx="17">
                  <c:v>17575.647806513229</c:v>
                </c:pt>
                <c:pt idx="18">
                  <c:v>18508.335094349735</c:v>
                </c:pt>
                <c:pt idx="19">
                  <c:v>19441.022382186242</c:v>
                </c:pt>
                <c:pt idx="20">
                  <c:v>20373.709670022748</c:v>
                </c:pt>
                <c:pt idx="21">
                  <c:v>21306.396957859255</c:v>
                </c:pt>
                <c:pt idx="22">
                  <c:v>22479.385003416155</c:v>
                </c:pt>
                <c:pt idx="23">
                  <c:v>23652.373048973055</c:v>
                </c:pt>
                <c:pt idx="24">
                  <c:v>24825.361094529955</c:v>
                </c:pt>
                <c:pt idx="25">
                  <c:v>25998.349140086855</c:v>
                </c:pt>
                <c:pt idx="26">
                  <c:v>26936.233643481508</c:v>
                </c:pt>
                <c:pt idx="27">
                  <c:v>27874.118146876161</c:v>
                </c:pt>
                <c:pt idx="28">
                  <c:v>28812.002650270813</c:v>
                </c:pt>
                <c:pt idx="29">
                  <c:v>29749.887153665466</c:v>
                </c:pt>
                <c:pt idx="30">
                  <c:v>30687.771657060119</c:v>
                </c:pt>
                <c:pt idx="31">
                  <c:v>31828.484031787302</c:v>
                </c:pt>
                <c:pt idx="32">
                  <c:v>32969.196406514486</c:v>
                </c:pt>
                <c:pt idx="33">
                  <c:v>34109.908781241669</c:v>
                </c:pt>
                <c:pt idx="34">
                  <c:v>35250.621155968853</c:v>
                </c:pt>
                <c:pt idx="35">
                  <c:v>36444.276931441076</c:v>
                </c:pt>
                <c:pt idx="36">
                  <c:v>37637.9327069133</c:v>
                </c:pt>
                <c:pt idx="37">
                  <c:v>38831.588482385523</c:v>
                </c:pt>
                <c:pt idx="38">
                  <c:v>40025.244257857747</c:v>
                </c:pt>
                <c:pt idx="39">
                  <c:v>40918.969517343459</c:v>
                </c:pt>
                <c:pt idx="40">
                  <c:v>41812.694776829172</c:v>
                </c:pt>
                <c:pt idx="41">
                  <c:v>42706.420036314885</c:v>
                </c:pt>
                <c:pt idx="42">
                  <c:v>43600.145295800598</c:v>
                </c:pt>
                <c:pt idx="43">
                  <c:v>44493.87055528631</c:v>
                </c:pt>
                <c:pt idx="44">
                  <c:v>45673.931336374924</c:v>
                </c:pt>
                <c:pt idx="45">
                  <c:v>46853.992117463538</c:v>
                </c:pt>
                <c:pt idx="46">
                  <c:v>48034.052898552152</c:v>
                </c:pt>
                <c:pt idx="47">
                  <c:v>49214.113679640766</c:v>
                </c:pt>
                <c:pt idx="48">
                  <c:v>50410.243784283273</c:v>
                </c:pt>
                <c:pt idx="49">
                  <c:v>51606.37388892578</c:v>
                </c:pt>
                <c:pt idx="50">
                  <c:v>52802.503993568287</c:v>
                </c:pt>
                <c:pt idx="51">
                  <c:v>53998.634098210794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98,2%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0.9817933472011614</c:v>
                </c:pt>
                <c:pt idx="1">
                  <c:v>1.8206652798838596E-2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93172.171999999991</c:v>
                </c:pt>
                <c:pt idx="2">
                  <c:v>165161.84399999995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3166.7799999999997</c:v>
                </c:pt>
                <c:pt idx="2">
                  <c:v>5734.2379999999994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12413.998000000001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  <c:pt idx="1">
                  <c:v>810.02999999999986</c:v>
                </c:pt>
                <c:pt idx="2">
                  <c:v>2361.0880000000002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  <c:pt idx="1">
                  <c:v>2026.35</c:v>
                </c:pt>
                <c:pt idx="2">
                  <c:v>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4337.7880000000005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6732.35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364663.58599999995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  <c:pt idx="1">
                  <c:v>25253.222000000002</c:v>
                </c:pt>
                <c:pt idx="2">
                  <c:v>66434.883999999991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  <c:pt idx="1">
                  <c:v>56863.39</c:v>
                </c:pt>
                <c:pt idx="2">
                  <c:v>80759.629999999976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129801.166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191095.11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129801.166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191095.11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364663.58599999995</c:v>
                </c:pt>
                <c:pt idx="2">
                  <c:v>364663.58599999995</c:v>
                </c:pt>
                <c:pt idx="3">
                  <c:v>364663.58599999995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129801.166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191095.11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364663.58599999995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4337.7880000000005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6732.35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12413.998000000001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2171</xdr:colOff>
      <xdr:row>44</xdr:row>
      <xdr:rowOff>26323</xdr:rowOff>
    </xdr:from>
    <xdr:to>
      <xdr:col>15</xdr:col>
      <xdr:colOff>72877</xdr:colOff>
      <xdr:row>90</xdr:row>
      <xdr:rowOff>174328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67861" y="7967472"/>
          <a:ext cx="11486108" cy="9366454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532</xdr:colOff>
      <xdr:row>43</xdr:row>
      <xdr:rowOff>137977</xdr:rowOff>
    </xdr:from>
    <xdr:to>
      <xdr:col>2</xdr:col>
      <xdr:colOff>5225814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66222" y="7918552"/>
          <a:ext cx="4942889" cy="713084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7" zoomScaleNormal="87" workbookViewId="0">
      <pane xSplit="3" ySplit="4" topLeftCell="Q11" activePane="bottomRight" state="frozen"/>
      <selection pane="topRight" activeCell="D1" sqref="D1"/>
      <selection pane="bottomLeft" activeCell="A5" sqref="A5"/>
      <selection pane="bottomRight" activeCell="Y22" sqref="Y22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4" width="8.81640625" style="50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46112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4791.7515269275746</v>
      </c>
      <c r="E2" s="22">
        <f t="shared" ref="E2:AH2" si="0">D2+$AI$10/$AI$1</f>
        <v>9583.5030538551491</v>
      </c>
      <c r="F2" s="22">
        <f t="shared" si="0"/>
        <v>14375.254580782723</v>
      </c>
      <c r="G2" s="22">
        <f t="shared" si="0"/>
        <v>19167.006107710298</v>
      </c>
      <c r="H2" s="22">
        <f t="shared" si="0"/>
        <v>23958.757634637874</v>
      </c>
      <c r="I2" s="22">
        <f t="shared" si="0"/>
        <v>28750.509161565449</v>
      </c>
      <c r="J2" s="22">
        <f t="shared" si="0"/>
        <v>33542.260688493021</v>
      </c>
      <c r="K2" s="22">
        <f t="shared" si="0"/>
        <v>38334.012215420596</v>
      </c>
      <c r="L2" s="22">
        <f t="shared" si="0"/>
        <v>43125.763742348172</v>
      </c>
      <c r="M2" s="22">
        <f t="shared" si="0"/>
        <v>47917.515269275747</v>
      </c>
      <c r="N2" s="22">
        <f t="shared" si="0"/>
        <v>52709.266796203323</v>
      </c>
      <c r="O2" s="22">
        <f t="shared" si="0"/>
        <v>57501.018323130898</v>
      </c>
      <c r="P2" s="22">
        <f t="shared" si="0"/>
        <v>62292.769850058474</v>
      </c>
      <c r="Q2" s="22">
        <f t="shared" si="0"/>
        <v>67084.521376986042</v>
      </c>
      <c r="R2" s="22">
        <f t="shared" si="0"/>
        <v>71876.272903913617</v>
      </c>
      <c r="S2" s="22">
        <f t="shared" si="0"/>
        <v>76668.024430841193</v>
      </c>
      <c r="T2" s="22">
        <f t="shared" si="0"/>
        <v>81459.775957768768</v>
      </c>
      <c r="U2" s="22">
        <f t="shared" si="0"/>
        <v>86251.527484696344</v>
      </c>
      <c r="V2" s="22">
        <f t="shared" si="0"/>
        <v>91043.279011623919</v>
      </c>
      <c r="W2" s="22">
        <f t="shared" si="0"/>
        <v>95835.030538551495</v>
      </c>
      <c r="X2" s="22">
        <f t="shared" si="0"/>
        <v>100626.78206547907</v>
      </c>
      <c r="Y2" s="22">
        <f t="shared" si="0"/>
        <v>105418.53359240665</v>
      </c>
      <c r="Z2" s="22">
        <f t="shared" si="0"/>
        <v>110210.28511933422</v>
      </c>
      <c r="AA2" s="22">
        <f t="shared" si="0"/>
        <v>115002.0366462618</v>
      </c>
      <c r="AB2" s="22">
        <f t="shared" si="0"/>
        <v>119793.78817318937</v>
      </c>
      <c r="AC2" s="22">
        <f t="shared" si="0"/>
        <v>124585.53970011695</v>
      </c>
      <c r="AD2" s="22">
        <f t="shared" si="0"/>
        <v>129377.29122704452</v>
      </c>
      <c r="AE2" s="22">
        <f t="shared" si="0"/>
        <v>134169.04275397208</v>
      </c>
      <c r="AF2" s="22">
        <f t="shared" si="0"/>
        <v>138960.79428089966</v>
      </c>
      <c r="AG2" s="22">
        <f t="shared" si="0"/>
        <v>143752.54580782723</v>
      </c>
      <c r="AH2" s="22">
        <f t="shared" si="0"/>
        <v>148544.29733475481</v>
      </c>
      <c r="AI2" s="22">
        <f>AH2</f>
        <v>148544.29733475481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31/03/2026</v>
      </c>
      <c r="D3" s="22">
        <f t="shared" ref="D3:AH3" si="1">$AI$2/($AI$1)</f>
        <v>4951.4765778251603</v>
      </c>
      <c r="E3" s="22">
        <f t="shared" si="1"/>
        <v>4951.4765778251603</v>
      </c>
      <c r="F3" s="22">
        <f t="shared" si="1"/>
        <v>4951.4765778251603</v>
      </c>
      <c r="G3" s="22">
        <f t="shared" si="1"/>
        <v>4951.4765778251603</v>
      </c>
      <c r="H3" s="22">
        <f t="shared" si="1"/>
        <v>4951.4765778251603</v>
      </c>
      <c r="I3" s="22">
        <f t="shared" si="1"/>
        <v>4951.4765778251603</v>
      </c>
      <c r="J3" s="22">
        <f t="shared" si="1"/>
        <v>4951.4765778251603</v>
      </c>
      <c r="K3" s="22">
        <f t="shared" si="1"/>
        <v>4951.4765778251603</v>
      </c>
      <c r="L3" s="22">
        <f t="shared" si="1"/>
        <v>4951.4765778251603</v>
      </c>
      <c r="M3" s="22">
        <f t="shared" si="1"/>
        <v>4951.4765778251603</v>
      </c>
      <c r="N3" s="22">
        <f t="shared" si="1"/>
        <v>4951.4765778251603</v>
      </c>
      <c r="O3" s="22">
        <f t="shared" si="1"/>
        <v>4951.4765778251603</v>
      </c>
      <c r="P3" s="22">
        <f t="shared" si="1"/>
        <v>4951.4765778251603</v>
      </c>
      <c r="Q3" s="22">
        <f t="shared" si="1"/>
        <v>4951.4765778251603</v>
      </c>
      <c r="R3" s="22">
        <f t="shared" si="1"/>
        <v>4951.4765778251603</v>
      </c>
      <c r="S3" s="22">
        <f t="shared" si="1"/>
        <v>4951.4765778251603</v>
      </c>
      <c r="T3" s="22">
        <f t="shared" si="1"/>
        <v>4951.4765778251603</v>
      </c>
      <c r="U3" s="22">
        <f t="shared" si="1"/>
        <v>4951.4765778251603</v>
      </c>
      <c r="V3" s="22">
        <f t="shared" si="1"/>
        <v>4951.4765778251603</v>
      </c>
      <c r="W3" s="22">
        <f t="shared" si="1"/>
        <v>4951.4765778251603</v>
      </c>
      <c r="X3" s="22">
        <f t="shared" si="1"/>
        <v>4951.4765778251603</v>
      </c>
      <c r="Y3" s="22">
        <f t="shared" si="1"/>
        <v>4951.4765778251603</v>
      </c>
      <c r="Z3" s="22">
        <f t="shared" si="1"/>
        <v>4951.4765778251603</v>
      </c>
      <c r="AA3" s="22">
        <f t="shared" si="1"/>
        <v>4951.4765778251603</v>
      </c>
      <c r="AB3" s="22">
        <f t="shared" si="1"/>
        <v>4951.4765778251603</v>
      </c>
      <c r="AC3" s="22">
        <f t="shared" si="1"/>
        <v>4951.4765778251603</v>
      </c>
      <c r="AD3" s="22">
        <f>$AI$2/($AI$1)</f>
        <v>4951.4765778251603</v>
      </c>
      <c r="AE3" s="22">
        <f t="shared" si="1"/>
        <v>4951.4765778251603</v>
      </c>
      <c r="AF3" s="22">
        <f t="shared" si="1"/>
        <v>4951.4765778251603</v>
      </c>
      <c r="AG3" s="22">
        <f t="shared" si="1"/>
        <v>4951.4765778251603</v>
      </c>
      <c r="AH3" s="22">
        <f t="shared" si="1"/>
        <v>4951.4765778251603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143">
        <v>29</v>
      </c>
      <c r="AG4" s="41">
        <v>30</v>
      </c>
      <c r="AH4" s="41">
        <v>31</v>
      </c>
      <c r="AI4" s="205" t="s">
        <v>9</v>
      </c>
      <c r="AJ4" s="27" t="s">
        <v>49</v>
      </c>
      <c r="AL4" s="27" t="s">
        <v>50</v>
      </c>
    </row>
    <row r="5" spans="1:53" s="13" customFormat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0</v>
      </c>
      <c r="E5" s="42">
        <f t="shared" ref="E5:G5" si="2">SUM(E6:E8)</f>
        <v>3569.56</v>
      </c>
      <c r="F5" s="42">
        <f t="shared" si="2"/>
        <v>2004.5350000000001</v>
      </c>
      <c r="G5" s="42">
        <f t="shared" si="2"/>
        <v>1909.1110000000001</v>
      </c>
      <c r="H5" s="42">
        <f t="shared" ref="H5" si="3">SUM(H6:H8)</f>
        <v>3184.71</v>
      </c>
      <c r="I5" s="42">
        <f t="shared" ref="I5" si="4">SUM(I6:I8)</f>
        <v>5615.0120000000006</v>
      </c>
      <c r="J5" s="42">
        <f t="shared" ref="J5" si="5">SUM(J6:J8)</f>
        <v>16106.739</v>
      </c>
      <c r="K5" s="42">
        <f t="shared" ref="K5" si="6">SUM(K6:K8)</f>
        <v>3138.38</v>
      </c>
      <c r="L5" s="42">
        <f t="shared" ref="L5" si="7">SUM(L6:L8)</f>
        <v>5169.08</v>
      </c>
      <c r="M5" s="42">
        <f t="shared" ref="M5" si="8">SUM(M6:M8)</f>
        <v>4534.0430000000006</v>
      </c>
      <c r="N5" s="42">
        <f t="shared" ref="N5" si="9">SUM(N6:N8)</f>
        <v>2073.7190000000001</v>
      </c>
      <c r="O5" s="42">
        <f t="shared" ref="O5" si="10">SUM(O6:O8)</f>
        <v>2910.6309999999999</v>
      </c>
      <c r="P5" s="42">
        <f t="shared" ref="P5" si="11">SUM(P6:P8)</f>
        <v>2351.5099999999998</v>
      </c>
      <c r="Q5" s="42">
        <f t="shared" ref="Q5" si="12">SUM(Q6:Q8)</f>
        <v>2753.9780000000001</v>
      </c>
      <c r="R5" s="42">
        <f t="shared" ref="R5:Z5" si="13">SUM(R6:R8)</f>
        <v>9839.2099999999991</v>
      </c>
      <c r="S5" s="42">
        <f t="shared" si="13"/>
        <v>13046.119999999999</v>
      </c>
      <c r="T5" s="42">
        <f t="shared" si="13"/>
        <v>13254.94</v>
      </c>
      <c r="U5" s="42">
        <f t="shared" si="13"/>
        <v>13630.976999999999</v>
      </c>
      <c r="V5" s="42">
        <f t="shared" si="13"/>
        <v>10001.110999999999</v>
      </c>
      <c r="W5" s="42">
        <f t="shared" si="13"/>
        <v>12065.503000000001</v>
      </c>
      <c r="X5" s="42">
        <f t="shared" si="13"/>
        <v>1652.748</v>
      </c>
      <c r="Y5" s="42">
        <f t="shared" si="13"/>
        <v>0</v>
      </c>
      <c r="Z5" s="42">
        <f t="shared" si="13"/>
        <v>1698.2</v>
      </c>
      <c r="AA5" s="42">
        <f t="shared" ref="AA5" si="14">SUM(AA6:AA8)</f>
        <v>3033.0559999999996</v>
      </c>
      <c r="AB5" s="42">
        <f t="shared" ref="AB5:AE5" si="15">SUM(AB6:AB8)</f>
        <v>2592.4699999999998</v>
      </c>
      <c r="AC5" s="42">
        <f t="shared" si="15"/>
        <v>8297.7270000000008</v>
      </c>
      <c r="AD5" s="42">
        <f t="shared" si="15"/>
        <v>2165.67</v>
      </c>
      <c r="AE5" s="42">
        <f t="shared" si="15"/>
        <v>8430.7919999999995</v>
      </c>
      <c r="AF5" s="42">
        <f>SUM(AF6:AF8)</f>
        <v>5088.3599999999997</v>
      </c>
      <c r="AG5" s="42">
        <f>SUM(AG6:AG8)</f>
        <v>2901.38</v>
      </c>
      <c r="AH5" s="42">
        <f>SUM(AH6:AH8)</f>
        <v>2142.5720000000001</v>
      </c>
      <c r="AI5" s="194">
        <f>SUM(D5:AH5)</f>
        <v>165161.84400000004</v>
      </c>
      <c r="AJ5" s="194">
        <f>AI5/DAY(C1)</f>
        <v>5327.8014193548397</v>
      </c>
      <c r="AK5" s="27"/>
      <c r="AL5" s="194">
        <f>AI25/AI1</f>
        <v>155.95191344919138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outlineLevel="1" x14ac:dyDescent="0.45">
      <c r="B6" s="14"/>
      <c r="C6" s="15" t="s">
        <v>0</v>
      </c>
      <c r="D6" s="38"/>
      <c r="E6" s="38">
        <v>1003.34</v>
      </c>
      <c r="F6" s="39">
        <f>1482.65-16.155</f>
        <v>1466.4950000000001</v>
      </c>
      <c r="G6" s="39">
        <f>1123.67-267.999</f>
        <v>855.67100000000005</v>
      </c>
      <c r="H6" s="39">
        <v>2539.4</v>
      </c>
      <c r="I6" s="39">
        <f>3158.77-69.698</f>
        <v>3089.0720000000001</v>
      </c>
      <c r="J6" s="39">
        <f>2828.83-240.531</f>
        <v>2588.299</v>
      </c>
      <c r="K6" s="39"/>
      <c r="L6" s="38">
        <v>4476.8999999999996</v>
      </c>
      <c r="M6" s="38">
        <f>3574.01-167.207</f>
        <v>3406.8030000000003</v>
      </c>
      <c r="N6" s="38">
        <f>2205.14-478.051</f>
        <v>1727.0889999999999</v>
      </c>
      <c r="O6" s="38">
        <f>895.85-141.189</f>
        <v>754.66100000000006</v>
      </c>
      <c r="P6" s="38">
        <f>2226.45-264</f>
        <v>1962.4499999999998</v>
      </c>
      <c r="Q6" s="137">
        <f>1371.88-664.292</f>
        <v>707.58800000000008</v>
      </c>
      <c r="R6" s="137"/>
      <c r="S6" s="137">
        <v>2799.87</v>
      </c>
      <c r="T6" s="137">
        <f>5843.68-210.27</f>
        <v>5633.41</v>
      </c>
      <c r="U6" s="137">
        <f>5176.68-63.213</f>
        <v>5113.4670000000006</v>
      </c>
      <c r="V6" s="137">
        <f>6916.93-29.169</f>
        <v>6887.7610000000004</v>
      </c>
      <c r="W6" s="137">
        <f>5730.58-32.377</f>
        <v>5698.2029999999995</v>
      </c>
      <c r="X6" s="137">
        <f>970.64-96.012</f>
        <v>874.62799999999993</v>
      </c>
      <c r="Y6" s="137"/>
      <c r="Z6" s="137">
        <f>946.44-159</f>
        <v>787.44</v>
      </c>
      <c r="AA6" s="38">
        <f>1967.35-29.794</f>
        <v>1937.5559999999998</v>
      </c>
      <c r="AB6" s="137">
        <v>2203.41</v>
      </c>
      <c r="AC6" s="137">
        <f>3262.27-(668.593+13.2)</f>
        <v>2580.4769999999999</v>
      </c>
      <c r="AD6" s="137">
        <f>5179.05-(541.56+2685.5)</f>
        <v>1951.9900000000002</v>
      </c>
      <c r="AE6" s="137">
        <f>2662.44-345.108</f>
        <v>2317.3319999999999</v>
      </c>
      <c r="AF6" s="137"/>
      <c r="AG6" s="137">
        <f>2198.34-567.61</f>
        <v>1630.73</v>
      </c>
      <c r="AH6" s="137">
        <f>1630.15-189.308</f>
        <v>1440.8420000000001</v>
      </c>
      <c r="AI6" s="22">
        <f>SUM(D6:AH6)</f>
        <v>66434.883999999991</v>
      </c>
      <c r="AO6" s="22"/>
    </row>
    <row r="7" spans="1:53" outlineLevel="1" x14ac:dyDescent="0.45">
      <c r="B7" s="14"/>
      <c r="C7" s="15" t="s">
        <v>4</v>
      </c>
      <c r="D7" s="38"/>
      <c r="E7" s="38">
        <v>1874.04</v>
      </c>
      <c r="F7" s="39"/>
      <c r="G7" s="39"/>
      <c r="H7" s="39">
        <v>-61.5</v>
      </c>
      <c r="I7" s="39">
        <v>1923.21</v>
      </c>
      <c r="J7" s="39">
        <v>13129.38</v>
      </c>
      <c r="K7" s="39">
        <v>3138.38</v>
      </c>
      <c r="L7" s="38"/>
      <c r="M7" s="38"/>
      <c r="N7" s="38"/>
      <c r="O7" s="38">
        <v>685.68</v>
      </c>
      <c r="P7" s="38"/>
      <c r="Q7" s="137">
        <v>1268.27</v>
      </c>
      <c r="R7" s="137">
        <v>9839.2099999999991</v>
      </c>
      <c r="S7" s="137">
        <v>9204.9599999999991</v>
      </c>
      <c r="T7" s="137">
        <v>7232.47</v>
      </c>
      <c r="U7" s="137">
        <v>7956.71</v>
      </c>
      <c r="V7" s="137">
        <v>2406.54</v>
      </c>
      <c r="W7" s="137">
        <v>5791.03</v>
      </c>
      <c r="X7" s="137"/>
      <c r="Y7" s="137"/>
      <c r="Z7" s="137"/>
      <c r="AA7" s="38"/>
      <c r="AB7" s="137"/>
      <c r="AC7" s="137">
        <v>4292.55</v>
      </c>
      <c r="AD7" s="137"/>
      <c r="AE7" s="137">
        <v>5724.4</v>
      </c>
      <c r="AF7" s="137">
        <v>5088.3599999999997</v>
      </c>
      <c r="AG7" s="137">
        <v>1270.6500000000001</v>
      </c>
      <c r="AH7" s="137">
        <v>-4.71</v>
      </c>
      <c r="AI7" s="22">
        <f>SUM(D7:AH7)</f>
        <v>80759.629999999976</v>
      </c>
      <c r="AO7" s="22"/>
    </row>
    <row r="8" spans="1:53" outlineLevel="1" x14ac:dyDescent="0.45">
      <c r="B8" s="16"/>
      <c r="C8" s="28" t="s">
        <v>5</v>
      </c>
      <c r="D8" s="39"/>
      <c r="E8" s="39">
        <v>692.18</v>
      </c>
      <c r="F8" s="39">
        <v>538.04</v>
      </c>
      <c r="G8" s="39">
        <v>1053.44</v>
      </c>
      <c r="H8" s="39">
        <v>706.81</v>
      </c>
      <c r="I8" s="39">
        <v>602.73</v>
      </c>
      <c r="J8" s="39">
        <v>389.06</v>
      </c>
      <c r="K8" s="39"/>
      <c r="L8" s="38">
        <v>692.18</v>
      </c>
      <c r="M8" s="38">
        <v>1127.24</v>
      </c>
      <c r="N8" s="38">
        <v>346.63</v>
      </c>
      <c r="O8" s="38">
        <v>1470.29</v>
      </c>
      <c r="P8" s="38">
        <v>389.06</v>
      </c>
      <c r="Q8" s="137">
        <v>778.12</v>
      </c>
      <c r="R8" s="137"/>
      <c r="S8" s="137">
        <v>1041.29</v>
      </c>
      <c r="T8" s="137">
        <v>389.06</v>
      </c>
      <c r="U8" s="137">
        <v>560.79999999999995</v>
      </c>
      <c r="V8" s="137">
        <v>706.81</v>
      </c>
      <c r="W8" s="137">
        <v>576.27</v>
      </c>
      <c r="X8" s="137">
        <v>778.12</v>
      </c>
      <c r="Y8" s="137"/>
      <c r="Z8" s="137">
        <v>910.76</v>
      </c>
      <c r="AA8" s="38">
        <v>1095.5</v>
      </c>
      <c r="AB8" s="137">
        <v>389.06</v>
      </c>
      <c r="AC8" s="137">
        <v>1424.7</v>
      </c>
      <c r="AD8" s="137">
        <v>213.68</v>
      </c>
      <c r="AE8" s="137">
        <v>389.06</v>
      </c>
      <c r="AF8" s="137"/>
      <c r="AG8" s="137"/>
      <c r="AH8" s="137">
        <v>706.44</v>
      </c>
      <c r="AI8" s="22">
        <f>SUM(D8:AH8)</f>
        <v>17967.329999999998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0</v>
      </c>
      <c r="E10" s="43">
        <f t="shared" si="16"/>
        <v>3569.56</v>
      </c>
      <c r="F10" s="43">
        <f t="shared" ref="F10:J10" si="17">SUM(F11:F13)</f>
        <v>5574.0949999999993</v>
      </c>
      <c r="G10" s="43">
        <f t="shared" si="17"/>
        <v>7483.2060000000001</v>
      </c>
      <c r="H10" s="43">
        <f t="shared" si="17"/>
        <v>10667.916000000001</v>
      </c>
      <c r="I10" s="43">
        <f t="shared" si="17"/>
        <v>16282.928</v>
      </c>
      <c r="J10" s="43">
        <f t="shared" si="17"/>
        <v>32389.666999999998</v>
      </c>
      <c r="K10" s="43">
        <f t="shared" ref="K10:R10" si="18">SUM(K11:K13)</f>
        <v>35528.046999999999</v>
      </c>
      <c r="L10" s="43">
        <f t="shared" si="18"/>
        <v>40697.127</v>
      </c>
      <c r="M10" s="43">
        <f t="shared" si="18"/>
        <v>45231.170000000006</v>
      </c>
      <c r="N10" s="43">
        <f t="shared" si="18"/>
        <v>47304.888999999996</v>
      </c>
      <c r="O10" s="43">
        <f t="shared" si="18"/>
        <v>50215.519999999997</v>
      </c>
      <c r="P10" s="43">
        <f t="shared" si="18"/>
        <v>52567.03</v>
      </c>
      <c r="Q10" s="43">
        <f t="shared" si="18"/>
        <v>55321.008000000002</v>
      </c>
      <c r="R10" s="43">
        <f t="shared" si="18"/>
        <v>65160.218000000001</v>
      </c>
      <c r="S10" s="43">
        <f t="shared" ref="S10:Y10" si="19">SUM(S11:S13)</f>
        <v>78206.337999999989</v>
      </c>
      <c r="T10" s="43">
        <f t="shared" si="19"/>
        <v>91461.278000000006</v>
      </c>
      <c r="U10" s="43">
        <f t="shared" si="19"/>
        <v>105092.25499999999</v>
      </c>
      <c r="V10" s="43">
        <f t="shared" si="19"/>
        <v>115093.36599999998</v>
      </c>
      <c r="W10" s="43">
        <f t="shared" si="19"/>
        <v>127158.86899999999</v>
      </c>
      <c r="X10" s="43">
        <f t="shared" si="19"/>
        <v>128811.617</v>
      </c>
      <c r="Y10" s="43">
        <f t="shared" si="19"/>
        <v>128811.617</v>
      </c>
      <c r="Z10" s="43">
        <f t="shared" ref="Z10:AF10" si="20">SUM(Z11:Z13)</f>
        <v>130509.817</v>
      </c>
      <c r="AA10" s="43">
        <f t="shared" si="20"/>
        <v>133542.87299999999</v>
      </c>
      <c r="AB10" s="43">
        <f t="shared" si="20"/>
        <v>136135.34299999999</v>
      </c>
      <c r="AC10" s="43">
        <f t="shared" si="20"/>
        <v>144433.06999999998</v>
      </c>
      <c r="AD10" s="43">
        <f t="shared" si="20"/>
        <v>146598.73999999996</v>
      </c>
      <c r="AE10" s="43">
        <f t="shared" si="20"/>
        <v>155029.53200000001</v>
      </c>
      <c r="AF10" s="43">
        <f t="shared" si="20"/>
        <v>160117.89199999999</v>
      </c>
      <c r="AG10" s="43">
        <f t="shared" ref="AG10:AH10" si="21">SUM(AG11:AG13)</f>
        <v>163019.272</v>
      </c>
      <c r="AH10" s="43">
        <f t="shared" si="21"/>
        <v>165161.84399999995</v>
      </c>
      <c r="AI10" s="206">
        <f t="shared" ref="AI10" si="22">SUM(AI11:AI13)</f>
        <v>143752.54580782723</v>
      </c>
      <c r="AJ10" s="22">
        <f>SUM(D5:AH5)</f>
        <v>165161.84400000004</v>
      </c>
      <c r="AK10" s="99">
        <f>AJ10/AI10</f>
        <v>1.1489316107193914</v>
      </c>
      <c r="AL10" s="195">
        <f>IF(100%-AK10&gt;0,100%-AK10,0)</f>
        <v>0</v>
      </c>
      <c r="AM10" s="22">
        <f>SUM(D6:AH6)</f>
        <v>66434.883999999991</v>
      </c>
      <c r="AN10" s="99">
        <f>AM10/AI11</f>
        <v>1.1387277060235679</v>
      </c>
      <c r="AO10" s="99">
        <f>IF(100%-AN10&gt;0,100%-AN10,0)</f>
        <v>0</v>
      </c>
      <c r="AP10" s="22"/>
      <c r="AQ10" s="99"/>
      <c r="AR10" s="99"/>
      <c r="AS10" s="22">
        <f>SUM(D7:AH7)</f>
        <v>80759.629999999976</v>
      </c>
      <c r="AT10" s="57">
        <f>AS10/AI12</f>
        <v>0.94926459471562108</v>
      </c>
      <c r="AU10" s="57">
        <f>1-AT10</f>
        <v>5.073540528437892E-2</v>
      </c>
      <c r="AV10" s="27"/>
      <c r="AW10" s="27"/>
      <c r="AX10" s="27"/>
      <c r="AY10" s="27"/>
      <c r="AZ10" s="27"/>
      <c r="BA10" s="27"/>
    </row>
    <row r="11" spans="1:53" outlineLevel="1" x14ac:dyDescent="0.45">
      <c r="B11" s="14"/>
      <c r="C11" s="15" t="str">
        <f>C6</f>
        <v>B2B</v>
      </c>
      <c r="D11" s="38">
        <f>SUM($D6:D6)</f>
        <v>0</v>
      </c>
      <c r="E11" s="38">
        <f>SUM($D6:E6)</f>
        <v>1003.34</v>
      </c>
      <c r="F11" s="38">
        <f>SUM($D6:F6)</f>
        <v>2469.835</v>
      </c>
      <c r="G11" s="38">
        <f>SUM($D6:G6)</f>
        <v>3325.5060000000003</v>
      </c>
      <c r="H11" s="38">
        <f>SUM($D6:H6)</f>
        <v>5864.9060000000009</v>
      </c>
      <c r="I11" s="38">
        <f>SUM($D6:I6)</f>
        <v>8953.978000000001</v>
      </c>
      <c r="J11" s="38">
        <f>SUM($D6:J6)</f>
        <v>11542.277000000002</v>
      </c>
      <c r="K11" s="38">
        <f>SUM($D6:K6)</f>
        <v>11542.277000000002</v>
      </c>
      <c r="L11" s="38">
        <f>SUM($D6:L6)</f>
        <v>16019.177000000001</v>
      </c>
      <c r="M11" s="38">
        <f>SUM($D6:M6)</f>
        <v>19425.980000000003</v>
      </c>
      <c r="N11" s="38">
        <f>SUM($D6:N6)</f>
        <v>21153.069000000003</v>
      </c>
      <c r="O11" s="38">
        <f>SUM($D6:O6)</f>
        <v>21907.730000000003</v>
      </c>
      <c r="P11" s="38">
        <f>SUM($D6:P6)</f>
        <v>23870.180000000004</v>
      </c>
      <c r="Q11" s="38">
        <f>SUM($D6:Q6)</f>
        <v>24577.768000000004</v>
      </c>
      <c r="R11" s="38">
        <f>SUM($D6:R6)</f>
        <v>24577.768000000004</v>
      </c>
      <c r="S11" s="38">
        <f>SUM($D6:S6)</f>
        <v>27377.638000000003</v>
      </c>
      <c r="T11" s="38">
        <f>SUM($D6:T6)</f>
        <v>33011.048000000003</v>
      </c>
      <c r="U11" s="38">
        <f>SUM($D6:U6)</f>
        <v>38124.514999999999</v>
      </c>
      <c r="V11" s="38">
        <f>SUM($D6:V6)</f>
        <v>45012.275999999998</v>
      </c>
      <c r="W11" s="38">
        <f>SUM($D6:W6)</f>
        <v>50710.478999999999</v>
      </c>
      <c r="X11" s="38">
        <f>SUM($D6:X6)</f>
        <v>51585.106999999996</v>
      </c>
      <c r="Y11" s="38">
        <f>SUM($D6:Y6)</f>
        <v>51585.106999999996</v>
      </c>
      <c r="Z11" s="38">
        <f>SUM($D6:Z6)</f>
        <v>52372.546999999999</v>
      </c>
      <c r="AA11" s="38">
        <f>SUM($D6:AA6)</f>
        <v>54310.102999999996</v>
      </c>
      <c r="AB11" s="38">
        <f>SUM($D6:AB6)</f>
        <v>56513.512999999992</v>
      </c>
      <c r="AC11" s="38">
        <f>SUM($D6:AC6)</f>
        <v>59093.989999999991</v>
      </c>
      <c r="AD11" s="38">
        <f>SUM($D6:AD6)</f>
        <v>61045.979999999989</v>
      </c>
      <c r="AE11" s="38">
        <f>SUM($D6:AE6)</f>
        <v>63363.311999999991</v>
      </c>
      <c r="AF11" s="38">
        <f>SUM($D6:AF6)</f>
        <v>63363.311999999991</v>
      </c>
      <c r="AG11" s="38">
        <f>SUM($D6:AG6)</f>
        <v>64994.041999999994</v>
      </c>
      <c r="AH11" s="38">
        <f>SUM($D6:AH6)</f>
        <v>66434.883999999991</v>
      </c>
      <c r="AI11" s="22">
        <v>58341.325716918152</v>
      </c>
      <c r="AJ11" s="22"/>
    </row>
    <row r="12" spans="1:53" outlineLevel="1" x14ac:dyDescent="0.45">
      <c r="B12" s="14"/>
      <c r="C12" s="15" t="str">
        <f>C7</f>
        <v>Export</v>
      </c>
      <c r="D12" s="38">
        <f>SUM($D7:D7)</f>
        <v>0</v>
      </c>
      <c r="E12" s="38">
        <f>SUM($D7:E7)</f>
        <v>1874.04</v>
      </c>
      <c r="F12" s="38">
        <f>SUM($D7:F7)</f>
        <v>1874.04</v>
      </c>
      <c r="G12" s="38">
        <f>SUM($D7:G7)</f>
        <v>1874.04</v>
      </c>
      <c r="H12" s="38">
        <f>SUM($D7:H7)</f>
        <v>1812.54</v>
      </c>
      <c r="I12" s="38">
        <f>SUM($D7:I7)</f>
        <v>3735.75</v>
      </c>
      <c r="J12" s="38">
        <f>SUM($D7:J7)</f>
        <v>16865.129999999997</v>
      </c>
      <c r="K12" s="38">
        <f>SUM($D7:K7)</f>
        <v>20003.509999999998</v>
      </c>
      <c r="L12" s="38">
        <f>SUM($D7:L7)</f>
        <v>20003.509999999998</v>
      </c>
      <c r="M12" s="38">
        <f>SUM($D7:M7)</f>
        <v>20003.509999999998</v>
      </c>
      <c r="N12" s="38">
        <f>SUM($D7:N7)</f>
        <v>20003.509999999998</v>
      </c>
      <c r="O12" s="38">
        <f>SUM($D7:O7)</f>
        <v>20689.189999999999</v>
      </c>
      <c r="P12" s="38">
        <f>SUM($D7:P7)</f>
        <v>20689.189999999999</v>
      </c>
      <c r="Q12" s="38">
        <f>SUM($D7:Q7)</f>
        <v>21957.46</v>
      </c>
      <c r="R12" s="38">
        <f>SUM($D7:R7)</f>
        <v>31796.67</v>
      </c>
      <c r="S12" s="38">
        <f>SUM($D7:S7)</f>
        <v>41001.629999999997</v>
      </c>
      <c r="T12" s="38">
        <f>SUM($D7:T7)</f>
        <v>48234.1</v>
      </c>
      <c r="U12" s="38">
        <f>SUM($D7:U7)</f>
        <v>56190.81</v>
      </c>
      <c r="V12" s="38">
        <f>SUM($D7:V7)</f>
        <v>58597.35</v>
      </c>
      <c r="W12" s="38">
        <f>SUM($D7:W7)</f>
        <v>64388.38</v>
      </c>
      <c r="X12" s="38">
        <f>SUM($D7:X7)</f>
        <v>64388.38</v>
      </c>
      <c r="Y12" s="38">
        <f>SUM($D7:Y7)</f>
        <v>64388.38</v>
      </c>
      <c r="Z12" s="38">
        <f>SUM($D7:Z7)</f>
        <v>64388.38</v>
      </c>
      <c r="AA12" s="38">
        <f>SUM($D7:AA7)</f>
        <v>64388.38</v>
      </c>
      <c r="AB12" s="38">
        <f>SUM($D7:AB7)</f>
        <v>64388.38</v>
      </c>
      <c r="AC12" s="38">
        <f>SUM($D7:AC7)</f>
        <v>68680.929999999993</v>
      </c>
      <c r="AD12" s="38">
        <f>SUM($D7:AD7)</f>
        <v>68680.929999999993</v>
      </c>
      <c r="AE12" s="38">
        <f>SUM($D7:AE7)</f>
        <v>74405.329999999987</v>
      </c>
      <c r="AF12" s="38">
        <f>SUM($D7:AF7)</f>
        <v>79493.689999999988</v>
      </c>
      <c r="AG12" s="38">
        <f>SUM($D7:AG7)</f>
        <v>80764.339999999982</v>
      </c>
      <c r="AH12" s="38">
        <f>SUM($D7:AH7)</f>
        <v>80759.629999999976</v>
      </c>
      <c r="AI12" s="22">
        <v>85075.995090909084</v>
      </c>
      <c r="AJ12" s="22"/>
    </row>
    <row r="13" spans="1:53" outlineLevel="1" x14ac:dyDescent="0.45">
      <c r="B13" s="14"/>
      <c r="C13" s="15" t="str">
        <f>C8</f>
        <v>Other</v>
      </c>
      <c r="D13" s="38">
        <f>SUM($D8:D8)</f>
        <v>0</v>
      </c>
      <c r="E13" s="38">
        <f>SUM($D8:E8)</f>
        <v>692.18</v>
      </c>
      <c r="F13" s="38">
        <f>SUM($D8:F8)</f>
        <v>1230.2199999999998</v>
      </c>
      <c r="G13" s="38">
        <f>SUM($D8:G8)</f>
        <v>2283.66</v>
      </c>
      <c r="H13" s="38">
        <f>SUM($D8:H8)</f>
        <v>2990.47</v>
      </c>
      <c r="I13" s="38">
        <f>SUM($D8:I8)</f>
        <v>3593.2</v>
      </c>
      <c r="J13" s="38">
        <f>SUM($D8:J8)</f>
        <v>3982.2599999999998</v>
      </c>
      <c r="K13" s="38">
        <f>SUM($D8:K8)</f>
        <v>3982.2599999999998</v>
      </c>
      <c r="L13" s="38">
        <f>SUM($D8:L8)</f>
        <v>4674.4399999999996</v>
      </c>
      <c r="M13" s="38">
        <f>SUM($D8:M8)</f>
        <v>5801.6799999999994</v>
      </c>
      <c r="N13" s="38">
        <f>SUM($D8:N8)</f>
        <v>6148.3099999999995</v>
      </c>
      <c r="O13" s="38">
        <f>SUM($D8:O8)</f>
        <v>7618.5999999999995</v>
      </c>
      <c r="P13" s="38">
        <f>SUM($D8:P8)</f>
        <v>8007.66</v>
      </c>
      <c r="Q13" s="38">
        <f>SUM($D8:Q8)</f>
        <v>8785.7800000000007</v>
      </c>
      <c r="R13" s="38">
        <f>SUM($D8:R8)</f>
        <v>8785.7800000000007</v>
      </c>
      <c r="S13" s="38">
        <f>SUM($D8:S8)</f>
        <v>9827.07</v>
      </c>
      <c r="T13" s="38">
        <f>SUM($D8:T8)</f>
        <v>10216.129999999999</v>
      </c>
      <c r="U13" s="38">
        <f>SUM($D8:U8)</f>
        <v>10776.929999999998</v>
      </c>
      <c r="V13" s="38">
        <f>SUM($D8:V8)</f>
        <v>11483.739999999998</v>
      </c>
      <c r="W13" s="38">
        <f>SUM($D8:W8)</f>
        <v>12060.009999999998</v>
      </c>
      <c r="X13" s="38">
        <f>SUM($D8:X8)</f>
        <v>12838.13</v>
      </c>
      <c r="Y13" s="38">
        <f>SUM($D8:Y8)</f>
        <v>12838.13</v>
      </c>
      <c r="Z13" s="38">
        <f>SUM($D8:Z8)</f>
        <v>13748.89</v>
      </c>
      <c r="AA13" s="38">
        <f>SUM($D8:AA8)</f>
        <v>14844.39</v>
      </c>
      <c r="AB13" s="38">
        <f>SUM($D8:AB8)</f>
        <v>15233.449999999999</v>
      </c>
      <c r="AC13" s="38">
        <f>SUM($D8:AC8)</f>
        <v>16658.149999999998</v>
      </c>
      <c r="AD13" s="38">
        <f>SUM($D8:AD8)</f>
        <v>16871.829999999998</v>
      </c>
      <c r="AE13" s="38">
        <f>SUM($D8:AE8)</f>
        <v>17260.89</v>
      </c>
      <c r="AF13" s="38">
        <f>SUM($D8:AF8)</f>
        <v>17260.89</v>
      </c>
      <c r="AG13" s="38">
        <f>SUM($D8:AG8)</f>
        <v>17260.89</v>
      </c>
      <c r="AH13" s="38">
        <f>SUM($D8:AH8)</f>
        <v>17967.329999999998</v>
      </c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0</v>
      </c>
      <c r="E15" s="43">
        <f t="shared" ref="E15:G15" si="23">SUM(E16:E18)</f>
        <v>9491.44</v>
      </c>
      <c r="F15" s="43">
        <f t="shared" si="23"/>
        <v>16031.99</v>
      </c>
      <c r="G15" s="43">
        <f t="shared" si="23"/>
        <v>18433.66</v>
      </c>
      <c r="H15" s="43">
        <f t="shared" ref="H15" si="24">SUM(H16:H18)</f>
        <v>22873.62</v>
      </c>
      <c r="I15" s="43">
        <f t="shared" ref="I15" si="25">SUM(I16:I18)</f>
        <v>25124.89</v>
      </c>
      <c r="J15" s="43">
        <f t="shared" ref="J15" si="26">SUM(J16:J18)</f>
        <v>25124.89</v>
      </c>
      <c r="K15" s="43">
        <f>SUM(K16:K18)</f>
        <v>25124.89</v>
      </c>
      <c r="L15" s="43">
        <f t="shared" ref="L15:N15" si="27">SUM(L16:L18)</f>
        <v>44425.970000000008</v>
      </c>
      <c r="M15" s="43">
        <f t="shared" si="27"/>
        <v>47197.270000000004</v>
      </c>
      <c r="N15" s="43">
        <f t="shared" si="27"/>
        <v>53992.689999999995</v>
      </c>
      <c r="O15" s="43">
        <f t="shared" ref="O15:P15" si="28">SUM(O16:O18)</f>
        <v>58897.87</v>
      </c>
      <c r="P15" s="43">
        <f t="shared" si="28"/>
        <v>72910.45</v>
      </c>
      <c r="Q15" s="43">
        <f t="shared" ref="Q15:R15" si="29">SUM(Q16:Q18)</f>
        <v>73608.69</v>
      </c>
      <c r="R15" s="43">
        <f t="shared" si="29"/>
        <v>73608.69</v>
      </c>
      <c r="S15" s="43">
        <f t="shared" ref="S15" si="30">SUM(S16:S18)</f>
        <v>74775.87</v>
      </c>
      <c r="T15" s="43">
        <f t="shared" ref="T15" si="31">SUM(T16:T18)</f>
        <v>82972.739999999991</v>
      </c>
      <c r="U15" s="43">
        <f t="shared" ref="U15" si="32">SUM(U16:U18)</f>
        <v>83035.95</v>
      </c>
      <c r="V15" s="43">
        <f t="shared" ref="V15" si="33">SUM(V16:V18)</f>
        <v>86741.36</v>
      </c>
      <c r="W15" s="43">
        <f t="shared" ref="W15" si="34">SUM(W16:W18)</f>
        <v>89053.38</v>
      </c>
      <c r="X15" s="43">
        <f t="shared" ref="X15" si="35">SUM(X16:X18)</f>
        <v>89053.38</v>
      </c>
      <c r="Y15" s="43">
        <f t="shared" ref="Y15" si="36">SUM(Y16:Y18)</f>
        <v>136907.72</v>
      </c>
      <c r="Z15" s="43">
        <f t="shared" ref="Z15" si="37">SUM(Z16:Z18)</f>
        <v>145543.44</v>
      </c>
      <c r="AA15" s="43">
        <f t="shared" ref="AA15" si="38">SUM(AA16:AA18)</f>
        <v>187259.49000000002</v>
      </c>
      <c r="AB15" s="43">
        <f>SUM(AB16:AB18)</f>
        <v>189936.78</v>
      </c>
      <c r="AC15" s="43">
        <f t="shared" ref="AC15" si="39">SUM(AC16:AC18)</f>
        <v>198522.12</v>
      </c>
      <c r="AD15" s="43">
        <f t="shared" ref="AD15" si="40">SUM(AD16:AD18)</f>
        <v>202982.57</v>
      </c>
      <c r="AE15" s="43">
        <f t="shared" ref="AE15:AH15" si="41">SUM(AE16:AE18)</f>
        <v>203012.82</v>
      </c>
      <c r="AF15" s="43">
        <f t="shared" si="41"/>
        <v>203012.82</v>
      </c>
      <c r="AG15" s="43">
        <f>SUM(AG16:AG18)</f>
        <v>220848.56</v>
      </c>
      <c r="AH15" s="43">
        <f t="shared" si="41"/>
        <v>222935.72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outlineLevel="1" x14ac:dyDescent="0.45">
      <c r="B16" s="14"/>
      <c r="C16" s="15" t="str">
        <f>C11</f>
        <v>B2B</v>
      </c>
      <c r="D16" s="38"/>
      <c r="E16" s="38">
        <v>9142.32</v>
      </c>
      <c r="F16" s="38">
        <v>14021.3</v>
      </c>
      <c r="G16" s="38">
        <v>14021.3</v>
      </c>
      <c r="H16" s="38">
        <v>14661.09</v>
      </c>
      <c r="I16" s="38">
        <v>16912.36</v>
      </c>
      <c r="J16" s="38">
        <v>16912.36</v>
      </c>
      <c r="K16" s="38">
        <v>16912.36</v>
      </c>
      <c r="L16" s="38">
        <v>34417.230000000003</v>
      </c>
      <c r="M16" s="38">
        <v>36457.230000000003</v>
      </c>
      <c r="N16" s="38">
        <v>37089.17</v>
      </c>
      <c r="O16" s="38">
        <v>41780.18</v>
      </c>
      <c r="P16" s="38">
        <v>54523.23</v>
      </c>
      <c r="Q16" s="38">
        <v>54523.23</v>
      </c>
      <c r="R16" s="38">
        <v>54523.23</v>
      </c>
      <c r="S16" s="38">
        <v>54523.23</v>
      </c>
      <c r="T16" s="38">
        <v>55854.46</v>
      </c>
      <c r="U16" s="38">
        <v>55917.67</v>
      </c>
      <c r="V16" s="38">
        <v>59616.73</v>
      </c>
      <c r="W16" s="38">
        <v>61928.75</v>
      </c>
      <c r="X16" s="38">
        <v>61928.75</v>
      </c>
      <c r="Y16" s="38">
        <v>109783.09</v>
      </c>
      <c r="Z16" s="38">
        <v>116813.64</v>
      </c>
      <c r="AA16" s="38">
        <v>120390.72</v>
      </c>
      <c r="AB16" s="137">
        <v>123068.01</v>
      </c>
      <c r="AC16" s="137">
        <v>126929.88</v>
      </c>
      <c r="AD16" s="137">
        <v>131390.32999999999</v>
      </c>
      <c r="AE16" s="137">
        <v>131420.57999999999</v>
      </c>
      <c r="AF16" s="137">
        <v>131420.57999999999</v>
      </c>
      <c r="AG16" s="137">
        <v>141350.5</v>
      </c>
      <c r="AH16" s="137">
        <v>142051.09</v>
      </c>
      <c r="AI16" s="22"/>
    </row>
    <row r="17" spans="2:53" outlineLevel="1" x14ac:dyDescent="0.45">
      <c r="B17" s="14"/>
      <c r="C17" s="15" t="str">
        <f>C12</f>
        <v>Export</v>
      </c>
      <c r="D17" s="38"/>
      <c r="E17" s="38"/>
      <c r="F17" s="38"/>
      <c r="G17" s="38">
        <v>2401.67</v>
      </c>
      <c r="H17" s="38">
        <v>6201.84</v>
      </c>
      <c r="I17" s="38">
        <v>6201.84</v>
      </c>
      <c r="J17" s="38">
        <v>6201.84</v>
      </c>
      <c r="K17" s="38">
        <v>6201.84</v>
      </c>
      <c r="L17" s="38">
        <v>6201.84</v>
      </c>
      <c r="M17" s="38">
        <v>6201.84</v>
      </c>
      <c r="N17" s="38">
        <v>12365.32</v>
      </c>
      <c r="O17" s="38">
        <v>12365.32</v>
      </c>
      <c r="P17" s="38">
        <v>12365.32</v>
      </c>
      <c r="Q17" s="38">
        <v>12365.32</v>
      </c>
      <c r="R17" s="38">
        <v>12365.32</v>
      </c>
      <c r="S17" s="38">
        <v>12365.32</v>
      </c>
      <c r="T17" s="38">
        <v>13784.13</v>
      </c>
      <c r="U17" s="38">
        <v>13784.13</v>
      </c>
      <c r="V17" s="38">
        <v>13784.13</v>
      </c>
      <c r="W17" s="38">
        <v>13784.13</v>
      </c>
      <c r="X17" s="38">
        <v>13784.13</v>
      </c>
      <c r="Y17" s="38">
        <v>13784.13</v>
      </c>
      <c r="Z17" s="38">
        <v>13784.13</v>
      </c>
      <c r="AA17" s="38">
        <v>51923.1</v>
      </c>
      <c r="AB17" s="144">
        <v>51923.1</v>
      </c>
      <c r="AC17" s="144">
        <v>56314.61</v>
      </c>
      <c r="AD17" s="144">
        <v>56314.61</v>
      </c>
      <c r="AE17" s="144">
        <v>56314.61</v>
      </c>
      <c r="AF17" s="144">
        <v>56314.61</v>
      </c>
      <c r="AG17" s="144">
        <v>62936.93</v>
      </c>
      <c r="AH17" s="144">
        <v>62936.93</v>
      </c>
      <c r="AI17" s="22"/>
    </row>
    <row r="18" spans="2:53" outlineLevel="1" x14ac:dyDescent="0.45">
      <c r="B18" s="14"/>
      <c r="C18" s="15" t="s">
        <v>5</v>
      </c>
      <c r="D18" s="38"/>
      <c r="E18" s="39">
        <v>349.12</v>
      </c>
      <c r="F18" s="39">
        <v>2010.69</v>
      </c>
      <c r="G18" s="39">
        <v>2010.69</v>
      </c>
      <c r="H18" s="39">
        <v>2010.69</v>
      </c>
      <c r="I18" s="38">
        <v>2010.69</v>
      </c>
      <c r="J18" s="38">
        <v>2010.69</v>
      </c>
      <c r="K18" s="38">
        <v>2010.69</v>
      </c>
      <c r="L18" s="38">
        <v>3806.9</v>
      </c>
      <c r="M18" s="38">
        <v>4538.2</v>
      </c>
      <c r="N18" s="38">
        <v>4538.2</v>
      </c>
      <c r="O18" s="38">
        <v>4752.37</v>
      </c>
      <c r="P18" s="38">
        <v>6021.9</v>
      </c>
      <c r="Q18" s="38">
        <v>6720.14</v>
      </c>
      <c r="R18" s="38">
        <v>6720.14</v>
      </c>
      <c r="S18" s="38">
        <v>7887.32</v>
      </c>
      <c r="T18" s="38">
        <v>13334.15</v>
      </c>
      <c r="U18" s="38">
        <v>13334.15</v>
      </c>
      <c r="V18" s="38">
        <v>13340.5</v>
      </c>
      <c r="W18" s="38">
        <v>13340.5</v>
      </c>
      <c r="X18" s="38">
        <v>13340.5</v>
      </c>
      <c r="Y18" s="38">
        <v>13340.5</v>
      </c>
      <c r="Z18" s="38">
        <v>14945.67</v>
      </c>
      <c r="AA18" s="38">
        <v>14945.67</v>
      </c>
      <c r="AB18" s="144">
        <v>14945.67</v>
      </c>
      <c r="AC18" s="144">
        <v>15277.63</v>
      </c>
      <c r="AD18" s="144">
        <v>15277.63</v>
      </c>
      <c r="AE18" s="144">
        <v>15277.63</v>
      </c>
      <c r="AF18" s="144">
        <v>15277.63</v>
      </c>
      <c r="AG18" s="144">
        <v>16561.13</v>
      </c>
      <c r="AH18" s="144">
        <v>17947.7</v>
      </c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0</v>
      </c>
      <c r="E20" s="43">
        <f t="shared" ref="E20:AH20" si="42">SUM(E21:E23)</f>
        <v>124.8</v>
      </c>
      <c r="F20" s="43">
        <f t="shared" si="42"/>
        <v>68.222999999999999</v>
      </c>
      <c r="G20" s="43">
        <f t="shared" si="42"/>
        <v>62.373999999999995</v>
      </c>
      <c r="H20" s="43">
        <f t="shared" si="42"/>
        <v>103.4</v>
      </c>
      <c r="I20" s="43">
        <f t="shared" si="42"/>
        <v>187</v>
      </c>
      <c r="J20" s="43">
        <f t="shared" si="42"/>
        <v>543.50199999999995</v>
      </c>
      <c r="K20" s="43">
        <f t="shared" si="42"/>
        <v>110</v>
      </c>
      <c r="L20" s="43">
        <f t="shared" si="42"/>
        <v>172.28</v>
      </c>
      <c r="M20" s="43">
        <f t="shared" si="42"/>
        <v>145.477</v>
      </c>
      <c r="N20" s="43">
        <f t="shared" ref="N20:O20" si="43">SUM(N21:N23)</f>
        <v>81.15100000000001</v>
      </c>
      <c r="O20" s="43">
        <f t="shared" si="43"/>
        <v>106.22999999999999</v>
      </c>
      <c r="P20" s="43">
        <f t="shared" ref="P20" si="44">SUM(P21:P23)</f>
        <v>108.504</v>
      </c>
      <c r="Q20" s="43">
        <f t="shared" si="42"/>
        <v>109.82</v>
      </c>
      <c r="R20" s="43">
        <f t="shared" si="42"/>
        <v>352</v>
      </c>
      <c r="S20" s="43">
        <f t="shared" si="42"/>
        <v>454.15</v>
      </c>
      <c r="T20" s="43">
        <f t="shared" si="42"/>
        <v>449.65199999999999</v>
      </c>
      <c r="U20" s="43">
        <f t="shared" si="42"/>
        <v>503</v>
      </c>
      <c r="V20" s="43">
        <f t="shared" si="42"/>
        <v>364.25</v>
      </c>
      <c r="W20" s="43">
        <f t="shared" si="42"/>
        <v>423.85</v>
      </c>
      <c r="X20" s="43">
        <f t="shared" si="42"/>
        <v>53.85</v>
      </c>
      <c r="Y20" s="43">
        <f>SUM(Y21:Y23)</f>
        <v>0</v>
      </c>
      <c r="Z20" s="43">
        <f t="shared" si="42"/>
        <v>52.097000000000001</v>
      </c>
      <c r="AA20" s="43">
        <f>SUM(AA21:AA23)</f>
        <v>98.13</v>
      </c>
      <c r="AB20" s="43">
        <f t="shared" si="42"/>
        <v>80.349999999999994</v>
      </c>
      <c r="AC20" s="43">
        <f t="shared" si="42"/>
        <v>281.32299999999998</v>
      </c>
      <c r="AD20" s="43">
        <f t="shared" ref="AD20" si="45">SUM(AD21:AD23)</f>
        <v>76.999999999999972</v>
      </c>
      <c r="AE20" s="43">
        <f t="shared" si="42"/>
        <v>280.55200000000002</v>
      </c>
      <c r="AF20" s="43">
        <f t="shared" si="42"/>
        <v>176</v>
      </c>
      <c r="AG20" s="43">
        <f t="shared" si="42"/>
        <v>97.9</v>
      </c>
      <c r="AH20" s="43">
        <f t="shared" si="42"/>
        <v>67.373000000000005</v>
      </c>
      <c r="AI20" s="194">
        <f>SUM(D20:AH20)/DAY(C1)</f>
        <v>184.97541935483872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outlineLevel="1" x14ac:dyDescent="0.45">
      <c r="B21" s="14"/>
      <c r="C21" s="15" t="str">
        <f>C11</f>
        <v>B2B</v>
      </c>
      <c r="D21" s="38"/>
      <c r="E21" s="38">
        <v>36.799999999999997</v>
      </c>
      <c r="F21" s="38">
        <f>50.35-1.077</f>
        <v>49.273000000000003</v>
      </c>
      <c r="G21" s="38">
        <f>52.9-23.526</f>
        <v>29.373999999999999</v>
      </c>
      <c r="H21" s="38">
        <v>81.400000000000006</v>
      </c>
      <c r="I21" s="38">
        <f>106.02-6.02</f>
        <v>100</v>
      </c>
      <c r="J21" s="38">
        <f>113.9-21.398</f>
        <v>92.50200000000001</v>
      </c>
      <c r="K21" s="38"/>
      <c r="L21" s="38">
        <v>150.28</v>
      </c>
      <c r="M21" s="38">
        <f>126.64-14.163</f>
        <v>112.477</v>
      </c>
      <c r="N21" s="38">
        <f>112.39-42.239</f>
        <v>70.15100000000001</v>
      </c>
      <c r="O21" s="38">
        <f>62.23-22</f>
        <v>40.229999999999997</v>
      </c>
      <c r="P21" s="38">
        <f>124.65-27.146</f>
        <v>97.504000000000005</v>
      </c>
      <c r="Q21" s="137">
        <f>102.72-58.9</f>
        <v>43.82</v>
      </c>
      <c r="R21" s="137"/>
      <c r="S21" s="137">
        <v>113.15</v>
      </c>
      <c r="T21" s="137">
        <f>220.42-23.768</f>
        <v>196.65199999999999</v>
      </c>
      <c r="U21" s="137">
        <f>210.17-15.17</f>
        <v>195</v>
      </c>
      <c r="V21" s="137">
        <f>241.25-7</f>
        <v>234.25</v>
      </c>
      <c r="W21" s="137">
        <f>217.12-7.77</f>
        <v>209.35</v>
      </c>
      <c r="X21" s="137">
        <f>39.85-8</f>
        <v>31.85</v>
      </c>
      <c r="Y21" s="137"/>
      <c r="Z21" s="137">
        <f>47.43-22.833</f>
        <v>24.597000000000001</v>
      </c>
      <c r="AA21" s="38">
        <f>72.28-7.15</f>
        <v>65.13</v>
      </c>
      <c r="AB21" s="137">
        <v>69.349999999999994</v>
      </c>
      <c r="AC21" s="137">
        <f>157.39-75.667-0.6</f>
        <v>81.12299999999999</v>
      </c>
      <c r="AD21" s="137">
        <f>279.78-59.28-154.5</f>
        <v>65.999999999999972</v>
      </c>
      <c r="AE21" s="137">
        <f>110.06-38.508</f>
        <v>71.551999999999992</v>
      </c>
      <c r="AF21" s="137"/>
      <c r="AG21" s="137">
        <f>111.93-58.03</f>
        <v>53.900000000000006</v>
      </c>
      <c r="AH21" s="137">
        <f>61.85-16.477</f>
        <v>45.373000000000005</v>
      </c>
      <c r="AI21" s="22">
        <f>SUM(D21:AH21)</f>
        <v>2361.0880000000002</v>
      </c>
      <c r="AN21" s="22"/>
      <c r="AO21" s="22"/>
    </row>
    <row r="22" spans="2:53" outlineLevel="1" x14ac:dyDescent="0.45">
      <c r="B22" s="14"/>
      <c r="C22" s="15" t="str">
        <f>C12</f>
        <v>Export</v>
      </c>
      <c r="D22" s="38"/>
      <c r="E22" s="38">
        <v>66</v>
      </c>
      <c r="F22" s="38"/>
      <c r="G22" s="38"/>
      <c r="H22" s="38"/>
      <c r="I22" s="38">
        <v>65</v>
      </c>
      <c r="J22" s="38">
        <v>440</v>
      </c>
      <c r="K22" s="38">
        <v>110</v>
      </c>
      <c r="L22" s="38"/>
      <c r="M22" s="38"/>
      <c r="N22" s="38"/>
      <c r="O22" s="38">
        <v>22</v>
      </c>
      <c r="P22" s="38"/>
      <c r="Q22" s="137">
        <v>44</v>
      </c>
      <c r="R22" s="137">
        <v>352</v>
      </c>
      <c r="S22" s="137">
        <v>308</v>
      </c>
      <c r="T22" s="137">
        <v>242</v>
      </c>
      <c r="U22" s="137">
        <v>286</v>
      </c>
      <c r="V22" s="137">
        <v>108</v>
      </c>
      <c r="W22" s="137">
        <v>198</v>
      </c>
      <c r="X22" s="137"/>
      <c r="Y22" s="137"/>
      <c r="Z22" s="38"/>
      <c r="AA22" s="38"/>
      <c r="AB22" s="137"/>
      <c r="AC22" s="137">
        <v>154</v>
      </c>
      <c r="AD22" s="38"/>
      <c r="AE22" s="137">
        <v>198</v>
      </c>
      <c r="AF22" s="137">
        <v>176</v>
      </c>
      <c r="AG22" s="137">
        <v>44</v>
      </c>
      <c r="AH22" s="137"/>
      <c r="AI22" s="22">
        <f>SUM(D22:AH22)</f>
        <v>2813</v>
      </c>
      <c r="AN22" s="22"/>
      <c r="AO22" s="22"/>
    </row>
    <row r="23" spans="2:53" outlineLevel="1" x14ac:dyDescent="0.45">
      <c r="B23" s="14"/>
      <c r="C23" s="15" t="s">
        <v>5</v>
      </c>
      <c r="D23" s="38"/>
      <c r="E23" s="38">
        <v>22</v>
      </c>
      <c r="F23" s="38">
        <v>18.95</v>
      </c>
      <c r="G23" s="38">
        <v>33</v>
      </c>
      <c r="H23" s="38">
        <v>22</v>
      </c>
      <c r="I23" s="38">
        <v>22</v>
      </c>
      <c r="J23" s="38">
        <v>11</v>
      </c>
      <c r="K23" s="38"/>
      <c r="L23" s="38">
        <v>22</v>
      </c>
      <c r="M23" s="38">
        <v>33</v>
      </c>
      <c r="N23" s="38">
        <v>11</v>
      </c>
      <c r="O23" s="38">
        <v>44</v>
      </c>
      <c r="P23" s="38">
        <v>11</v>
      </c>
      <c r="Q23" s="137">
        <v>22</v>
      </c>
      <c r="R23" s="137"/>
      <c r="S23" s="137">
        <v>33</v>
      </c>
      <c r="T23" s="137">
        <v>11</v>
      </c>
      <c r="U23" s="137">
        <v>22</v>
      </c>
      <c r="V23" s="137">
        <v>22</v>
      </c>
      <c r="W23" s="137">
        <v>16.5</v>
      </c>
      <c r="X23" s="137">
        <v>22</v>
      </c>
      <c r="Y23" s="137"/>
      <c r="Z23" s="137">
        <v>27.5</v>
      </c>
      <c r="AA23" s="38">
        <v>33</v>
      </c>
      <c r="AB23" s="137">
        <v>11</v>
      </c>
      <c r="AC23" s="137">
        <v>46.2</v>
      </c>
      <c r="AD23" s="137">
        <v>11</v>
      </c>
      <c r="AE23" s="137">
        <v>11</v>
      </c>
      <c r="AF23" s="137"/>
      <c r="AG23" s="137"/>
      <c r="AH23" s="137">
        <v>22</v>
      </c>
      <c r="AI23" s="22">
        <f>SUM(D23:AH23)</f>
        <v>560.15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0</v>
      </c>
      <c r="E25" s="43">
        <f t="shared" si="46"/>
        <v>124.8</v>
      </c>
      <c r="F25" s="43">
        <f t="shared" ref="F25:J25" si="47">SUM(F26:F28)</f>
        <v>193.02300000000002</v>
      </c>
      <c r="G25" s="43">
        <f t="shared" si="47"/>
        <v>255.39699999999999</v>
      </c>
      <c r="H25" s="43">
        <f t="shared" si="47"/>
        <v>358.79699999999997</v>
      </c>
      <c r="I25" s="43">
        <f t="shared" si="47"/>
        <v>545.79700000000003</v>
      </c>
      <c r="J25" s="43">
        <f t="shared" si="47"/>
        <v>1089.299</v>
      </c>
      <c r="K25" s="43">
        <f t="shared" ref="K25:R25" si="48">SUM(K26:K28)</f>
        <v>1199.299</v>
      </c>
      <c r="L25" s="43">
        <f t="shared" si="48"/>
        <v>1371.579</v>
      </c>
      <c r="M25" s="43">
        <f t="shared" si="48"/>
        <v>1517.056</v>
      </c>
      <c r="N25" s="43">
        <f t="shared" si="48"/>
        <v>1598.2070000000001</v>
      </c>
      <c r="O25" s="43">
        <f t="shared" si="48"/>
        <v>1704.4370000000001</v>
      </c>
      <c r="P25" s="43">
        <f t="shared" si="48"/>
        <v>1812.941</v>
      </c>
      <c r="Q25" s="43">
        <f t="shared" si="48"/>
        <v>1922.7610000000002</v>
      </c>
      <c r="R25" s="43">
        <f t="shared" si="48"/>
        <v>2274.761</v>
      </c>
      <c r="S25" s="43">
        <f t="shared" ref="S25:Y25" si="49">SUM(S26:S28)</f>
        <v>2728.9110000000001</v>
      </c>
      <c r="T25" s="43">
        <f t="shared" si="49"/>
        <v>3178.5630000000001</v>
      </c>
      <c r="U25" s="43">
        <f t="shared" si="49"/>
        <v>3681.5630000000001</v>
      </c>
      <c r="V25" s="43">
        <f t="shared" si="49"/>
        <v>4045.8130000000001</v>
      </c>
      <c r="W25" s="43">
        <f t="shared" si="49"/>
        <v>4469.6629999999996</v>
      </c>
      <c r="X25" s="43">
        <f t="shared" si="49"/>
        <v>4523.5129999999999</v>
      </c>
      <c r="Y25" s="43">
        <f t="shared" si="49"/>
        <v>4523.5129999999999</v>
      </c>
      <c r="Z25" s="43">
        <f t="shared" ref="Z25:AF25" si="50">SUM(Z26:Z28)</f>
        <v>4575.6099999999997</v>
      </c>
      <c r="AA25" s="43">
        <f t="shared" si="50"/>
        <v>4673.74</v>
      </c>
      <c r="AB25" s="43">
        <f t="shared" si="50"/>
        <v>4754.0899999999992</v>
      </c>
      <c r="AC25" s="43">
        <f t="shared" si="50"/>
        <v>5035.4129999999996</v>
      </c>
      <c r="AD25" s="43">
        <f t="shared" si="50"/>
        <v>5112.4129999999996</v>
      </c>
      <c r="AE25" s="43">
        <f t="shared" si="50"/>
        <v>5392.9650000000001</v>
      </c>
      <c r="AF25" s="43">
        <f t="shared" si="50"/>
        <v>5568.9650000000001</v>
      </c>
      <c r="AG25" s="43">
        <f t="shared" ref="AG25:AH25" si="51">SUM(AG26:AG28)</f>
        <v>5666.8649999999998</v>
      </c>
      <c r="AH25" s="43">
        <f t="shared" si="51"/>
        <v>5734.2379999999994</v>
      </c>
      <c r="AI25" s="194">
        <f>SUM(AI26:AI28)</f>
        <v>4678.557403475741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outlineLevel="1" x14ac:dyDescent="0.45">
      <c r="B26" s="14"/>
      <c r="C26" s="15" t="str">
        <f>C21</f>
        <v>B2B</v>
      </c>
      <c r="D26" s="38">
        <f>SUM($D21:D21)</f>
        <v>0</v>
      </c>
      <c r="E26" s="38">
        <f>SUM($D21:E21)</f>
        <v>36.799999999999997</v>
      </c>
      <c r="F26" s="38">
        <f>SUM($D21:F21)</f>
        <v>86.073000000000008</v>
      </c>
      <c r="G26" s="38">
        <f>SUM($D21:G21)</f>
        <v>115.447</v>
      </c>
      <c r="H26" s="38">
        <f>SUM($D21:H21)</f>
        <v>196.84700000000001</v>
      </c>
      <c r="I26" s="38">
        <f>SUM($D21:I21)</f>
        <v>296.84699999999998</v>
      </c>
      <c r="J26" s="38">
        <f>SUM($D21:J21)</f>
        <v>389.34899999999999</v>
      </c>
      <c r="K26" s="38">
        <f>SUM($D21:K21)</f>
        <v>389.34899999999999</v>
      </c>
      <c r="L26" s="38">
        <f>SUM($D21:L21)</f>
        <v>539.62900000000002</v>
      </c>
      <c r="M26" s="38">
        <f>SUM($D21:M21)</f>
        <v>652.10599999999999</v>
      </c>
      <c r="N26" s="38">
        <f>SUM($D21:N21)</f>
        <v>722.25700000000006</v>
      </c>
      <c r="O26" s="38">
        <f>SUM($D21:O21)</f>
        <v>762.48700000000008</v>
      </c>
      <c r="P26" s="38">
        <f>SUM($D21:P21)</f>
        <v>859.9910000000001</v>
      </c>
      <c r="Q26" s="38">
        <f>SUM($D21:Q21)</f>
        <v>903.81100000000015</v>
      </c>
      <c r="R26" s="38">
        <f>SUM($D21:R21)</f>
        <v>903.81100000000015</v>
      </c>
      <c r="S26" s="38">
        <f>SUM($D21:S21)</f>
        <v>1016.9610000000001</v>
      </c>
      <c r="T26" s="38">
        <f>SUM($D21:T21)</f>
        <v>1213.6130000000001</v>
      </c>
      <c r="U26" s="38">
        <f>SUM($D21:U21)</f>
        <v>1408.6130000000001</v>
      </c>
      <c r="V26" s="38">
        <f>SUM($D21:V21)</f>
        <v>1642.8630000000001</v>
      </c>
      <c r="W26" s="38">
        <f>SUM($D21:W21)</f>
        <v>1852.213</v>
      </c>
      <c r="X26" s="38">
        <f>SUM($D21:X21)</f>
        <v>1884.0629999999999</v>
      </c>
      <c r="Y26" s="38">
        <f>SUM($D21:Y21)</f>
        <v>1884.0629999999999</v>
      </c>
      <c r="Z26" s="38">
        <f>SUM($D21:Z21)</f>
        <v>1908.6599999999999</v>
      </c>
      <c r="AA26" s="38">
        <f>SUM($D21:AA21)</f>
        <v>1973.79</v>
      </c>
      <c r="AB26" s="38">
        <f>SUM($D21:AB21)</f>
        <v>2043.1399999999999</v>
      </c>
      <c r="AC26" s="38">
        <f>SUM($D21:AC21)</f>
        <v>2124.2629999999999</v>
      </c>
      <c r="AD26" s="38">
        <f>SUM($D21:AD21)</f>
        <v>2190.2629999999999</v>
      </c>
      <c r="AE26" s="38">
        <f>SUM($D21:AE21)</f>
        <v>2261.8150000000001</v>
      </c>
      <c r="AF26" s="38">
        <f>SUM($D21:AF21)</f>
        <v>2261.8150000000001</v>
      </c>
      <c r="AG26" s="38">
        <f>SUM($D21:AG21)</f>
        <v>2315.7150000000001</v>
      </c>
      <c r="AH26" s="38">
        <f>SUM($D21:AH21)</f>
        <v>2361.0880000000002</v>
      </c>
      <c r="AI26" s="22">
        <v>1946.5574034757406</v>
      </c>
    </row>
    <row r="27" spans="2:53" outlineLevel="1" x14ac:dyDescent="0.45">
      <c r="B27" s="14"/>
      <c r="C27" s="15" t="str">
        <f>C22</f>
        <v>Export</v>
      </c>
      <c r="D27" s="38">
        <f>SUM($D22:D22)</f>
        <v>0</v>
      </c>
      <c r="E27" s="38">
        <f>SUM($D22:E22)</f>
        <v>66</v>
      </c>
      <c r="F27" s="38">
        <f>SUM($D22:F22)</f>
        <v>66</v>
      </c>
      <c r="G27" s="38">
        <f>SUM($D22:G22)</f>
        <v>66</v>
      </c>
      <c r="H27" s="38">
        <f>SUM($D22:H22)</f>
        <v>66</v>
      </c>
      <c r="I27" s="38">
        <f>SUM($D22:I22)</f>
        <v>131</v>
      </c>
      <c r="J27" s="38">
        <f>SUM($D22:J22)</f>
        <v>571</v>
      </c>
      <c r="K27" s="38">
        <f>SUM($D22:K22)</f>
        <v>681</v>
      </c>
      <c r="L27" s="38">
        <f>SUM($D22:L22)</f>
        <v>681</v>
      </c>
      <c r="M27" s="38">
        <f>SUM($D22:M22)</f>
        <v>681</v>
      </c>
      <c r="N27" s="38">
        <f>SUM($D22:N22)</f>
        <v>681</v>
      </c>
      <c r="O27" s="38">
        <f>SUM($D22:O22)</f>
        <v>703</v>
      </c>
      <c r="P27" s="38">
        <f>SUM($D22:P22)</f>
        <v>703</v>
      </c>
      <c r="Q27" s="38">
        <f>SUM($D22:Q22)</f>
        <v>747</v>
      </c>
      <c r="R27" s="38">
        <f>SUM($D22:R22)</f>
        <v>1099</v>
      </c>
      <c r="S27" s="38">
        <f>SUM($D22:S22)</f>
        <v>1407</v>
      </c>
      <c r="T27" s="38">
        <f>SUM($D22:T22)</f>
        <v>1649</v>
      </c>
      <c r="U27" s="38">
        <f>SUM($D22:U22)</f>
        <v>1935</v>
      </c>
      <c r="V27" s="38">
        <f>SUM($D22:V22)</f>
        <v>2043</v>
      </c>
      <c r="W27" s="38">
        <f>SUM($D22:W22)</f>
        <v>2241</v>
      </c>
      <c r="X27" s="38">
        <f>SUM($D22:X22)</f>
        <v>2241</v>
      </c>
      <c r="Y27" s="38">
        <f>SUM($D22:Y22)</f>
        <v>2241</v>
      </c>
      <c r="Z27" s="38">
        <f>SUM($D22:Z22)</f>
        <v>2241</v>
      </c>
      <c r="AA27" s="38">
        <f>SUM($D22:AA22)</f>
        <v>2241</v>
      </c>
      <c r="AB27" s="38">
        <f>SUM($D22:AB22)</f>
        <v>2241</v>
      </c>
      <c r="AC27" s="38">
        <f>SUM($D22:AC22)</f>
        <v>2395</v>
      </c>
      <c r="AD27" s="38">
        <f>SUM($D22:AD22)</f>
        <v>2395</v>
      </c>
      <c r="AE27" s="38">
        <f>SUM($D22:AE22)</f>
        <v>2593</v>
      </c>
      <c r="AF27" s="38">
        <f>SUM($D22:AF22)</f>
        <v>2769</v>
      </c>
      <c r="AG27" s="38">
        <f>SUM($D22:AG22)</f>
        <v>2813</v>
      </c>
      <c r="AH27" s="38">
        <f>SUM($D22:AH22)</f>
        <v>2813</v>
      </c>
      <c r="AI27" s="22">
        <v>2721</v>
      </c>
    </row>
    <row r="28" spans="2:53" outlineLevel="1" x14ac:dyDescent="0.45">
      <c r="B28" s="14"/>
      <c r="C28" s="15" t="s">
        <v>5</v>
      </c>
      <c r="D28" s="38">
        <f>SUM($D23:D23)</f>
        <v>0</v>
      </c>
      <c r="E28" s="38">
        <f>SUM($D23:E23)</f>
        <v>22</v>
      </c>
      <c r="F28" s="38">
        <f>SUM($D23:F23)</f>
        <v>40.950000000000003</v>
      </c>
      <c r="G28" s="38">
        <f>SUM($D23:G23)</f>
        <v>73.95</v>
      </c>
      <c r="H28" s="38">
        <f>SUM($D23:H23)</f>
        <v>95.95</v>
      </c>
      <c r="I28" s="38">
        <f>SUM($D23:I23)</f>
        <v>117.95</v>
      </c>
      <c r="J28" s="38">
        <f>SUM($D23:J23)</f>
        <v>128.94999999999999</v>
      </c>
      <c r="K28" s="38">
        <f>SUM($D23:K23)</f>
        <v>128.94999999999999</v>
      </c>
      <c r="L28" s="38">
        <f>SUM($D23:L23)</f>
        <v>150.94999999999999</v>
      </c>
      <c r="M28" s="38">
        <f>SUM($D23:M23)</f>
        <v>183.95</v>
      </c>
      <c r="N28" s="38">
        <f>SUM($D23:N23)</f>
        <v>194.95</v>
      </c>
      <c r="O28" s="38">
        <f>SUM($D23:O23)</f>
        <v>238.95</v>
      </c>
      <c r="P28" s="38">
        <f>SUM($D23:P23)</f>
        <v>249.95</v>
      </c>
      <c r="Q28" s="38">
        <f>SUM($D23:Q23)</f>
        <v>271.95</v>
      </c>
      <c r="R28" s="38">
        <f>SUM($D23:R23)</f>
        <v>271.95</v>
      </c>
      <c r="S28" s="38">
        <f>SUM($D23:S23)</f>
        <v>304.95</v>
      </c>
      <c r="T28" s="38">
        <f>SUM($D23:T23)</f>
        <v>315.95</v>
      </c>
      <c r="U28" s="38">
        <f>SUM($D23:U23)</f>
        <v>337.95</v>
      </c>
      <c r="V28" s="38">
        <f>SUM($D23:V23)</f>
        <v>359.95</v>
      </c>
      <c r="W28" s="38">
        <f>SUM($D23:W23)</f>
        <v>376.45</v>
      </c>
      <c r="X28" s="38">
        <f>SUM($D23:X23)</f>
        <v>398.45</v>
      </c>
      <c r="Y28" s="38">
        <f>SUM($D23:Y23)</f>
        <v>398.45</v>
      </c>
      <c r="Z28" s="38">
        <f>SUM($D23:Z23)</f>
        <v>425.95</v>
      </c>
      <c r="AA28" s="38">
        <f>SUM($D23:AA23)</f>
        <v>458.95</v>
      </c>
      <c r="AB28" s="38">
        <f>SUM($D23:AB23)</f>
        <v>469.95</v>
      </c>
      <c r="AC28" s="38">
        <f>SUM($D23:AC23)</f>
        <v>516.15</v>
      </c>
      <c r="AD28" s="38">
        <f>SUM($D23:AD23)</f>
        <v>527.15</v>
      </c>
      <c r="AE28" s="38">
        <f>SUM($D23:AE23)</f>
        <v>538.15</v>
      </c>
      <c r="AF28" s="38">
        <f>SUM($D23:AF23)</f>
        <v>538.15</v>
      </c>
      <c r="AG28" s="38">
        <f>SUM($D23:AG23)</f>
        <v>538.15</v>
      </c>
      <c r="AH28" s="38">
        <f>SUM($D23:AH23)</f>
        <v>560.15</v>
      </c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66</v>
      </c>
      <c r="E30" s="43">
        <f>SUM(E31:E31)</f>
        <v>126</v>
      </c>
      <c r="F30" s="43">
        <f>SUM(F31:F31)</f>
        <v>126</v>
      </c>
      <c r="G30" s="43">
        <f>SUM(G31:G31)</f>
        <v>141</v>
      </c>
      <c r="H30" s="43">
        <f t="shared" ref="H30:AH30" si="52">SUM(H31:H31)</f>
        <v>114</v>
      </c>
      <c r="I30" s="43">
        <f t="shared" si="52"/>
        <v>151</v>
      </c>
      <c r="J30" s="43">
        <f t="shared" si="52"/>
        <v>122</v>
      </c>
      <c r="K30" s="43">
        <f t="shared" si="52"/>
        <v>120</v>
      </c>
      <c r="L30" s="43">
        <f t="shared" si="52"/>
        <v>102</v>
      </c>
      <c r="M30" s="43">
        <f t="shared" si="52"/>
        <v>133</v>
      </c>
      <c r="N30" s="43">
        <f t="shared" si="52"/>
        <v>138</v>
      </c>
      <c r="O30" s="43">
        <f t="shared" si="52"/>
        <v>72</v>
      </c>
      <c r="P30" s="43">
        <f t="shared" si="52"/>
        <v>193</v>
      </c>
      <c r="Q30" s="43">
        <f t="shared" si="52"/>
        <v>137</v>
      </c>
      <c r="R30" s="43">
        <f t="shared" si="52"/>
        <v>155</v>
      </c>
      <c r="S30" s="43">
        <f t="shared" si="52"/>
        <v>131</v>
      </c>
      <c r="T30" s="43">
        <f t="shared" si="52"/>
        <v>101</v>
      </c>
      <c r="U30" s="43">
        <f t="shared" si="52"/>
        <v>135</v>
      </c>
      <c r="V30" s="43">
        <f t="shared" si="52"/>
        <v>120</v>
      </c>
      <c r="W30" s="43">
        <f>SUM(W31:W31)</f>
        <v>137</v>
      </c>
      <c r="X30" s="43">
        <f t="shared" si="52"/>
        <v>121</v>
      </c>
      <c r="Y30" s="43">
        <f t="shared" si="52"/>
        <v>168.77500000000001</v>
      </c>
      <c r="Z30" s="43">
        <f t="shared" si="52"/>
        <v>179</v>
      </c>
      <c r="AA30" s="43">
        <f t="shared" si="52"/>
        <v>86</v>
      </c>
      <c r="AB30" s="43">
        <f t="shared" si="52"/>
        <v>185</v>
      </c>
      <c r="AC30" s="43">
        <f t="shared" si="52"/>
        <v>178</v>
      </c>
      <c r="AD30" s="43">
        <f t="shared" si="52"/>
        <v>181</v>
      </c>
      <c r="AE30" s="43">
        <f t="shared" si="52"/>
        <v>154</v>
      </c>
      <c r="AF30" s="43">
        <f t="shared" si="52"/>
        <v>163.89999999999998</v>
      </c>
      <c r="AG30" s="43">
        <f t="shared" si="52"/>
        <v>207</v>
      </c>
      <c r="AH30" s="43">
        <f t="shared" si="52"/>
        <v>134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outlineLevel="1" x14ac:dyDescent="0.45">
      <c r="B31" s="14"/>
      <c r="C31" s="15" t="s">
        <v>56</v>
      </c>
      <c r="D31" s="38">
        <v>66</v>
      </c>
      <c r="E31" s="38">
        <v>126</v>
      </c>
      <c r="F31" s="38">
        <v>126</v>
      </c>
      <c r="G31" s="38">
        <v>141</v>
      </c>
      <c r="H31" s="38">
        <v>114</v>
      </c>
      <c r="I31" s="38">
        <v>151</v>
      </c>
      <c r="J31" s="38">
        <v>122</v>
      </c>
      <c r="K31" s="38">
        <v>120</v>
      </c>
      <c r="L31" s="38">
        <v>102</v>
      </c>
      <c r="M31" s="38">
        <v>133</v>
      </c>
      <c r="N31" s="142">
        <v>138</v>
      </c>
      <c r="O31" s="137">
        <v>72</v>
      </c>
      <c r="P31" s="137">
        <v>193</v>
      </c>
      <c r="Q31" s="137">
        <v>137</v>
      </c>
      <c r="R31" s="137">
        <v>155</v>
      </c>
      <c r="S31" s="137">
        <v>131</v>
      </c>
      <c r="T31" s="137">
        <v>101</v>
      </c>
      <c r="U31" s="137">
        <v>135</v>
      </c>
      <c r="V31" s="137">
        <v>120</v>
      </c>
      <c r="W31" s="137">
        <v>137</v>
      </c>
      <c r="X31" s="137">
        <v>121</v>
      </c>
      <c r="Y31" s="137">
        <f>200.675-31.9</f>
        <v>168.77500000000001</v>
      </c>
      <c r="Z31" s="137">
        <v>179</v>
      </c>
      <c r="AA31" s="137">
        <v>86</v>
      </c>
      <c r="AB31" s="137">
        <v>185</v>
      </c>
      <c r="AC31" s="137">
        <v>178</v>
      </c>
      <c r="AD31" s="137">
        <v>181</v>
      </c>
      <c r="AE31" s="137">
        <v>154</v>
      </c>
      <c r="AF31" s="137">
        <f>178.2-14.3</f>
        <v>163.89999999999998</v>
      </c>
      <c r="AG31" s="137">
        <v>207</v>
      </c>
      <c r="AH31" s="137">
        <v>134</v>
      </c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3">SUM(D34:D34)</f>
        <v>66</v>
      </c>
      <c r="E33" s="43">
        <f t="shared" si="53"/>
        <v>192</v>
      </c>
      <c r="F33" s="43">
        <f t="shared" si="53"/>
        <v>318</v>
      </c>
      <c r="G33" s="43">
        <f t="shared" si="53"/>
        <v>459</v>
      </c>
      <c r="H33" s="43">
        <f t="shared" si="53"/>
        <v>573</v>
      </c>
      <c r="I33" s="43">
        <f t="shared" si="53"/>
        <v>724</v>
      </c>
      <c r="J33" s="43">
        <f t="shared" si="53"/>
        <v>846</v>
      </c>
      <c r="K33" s="43">
        <f t="shared" si="53"/>
        <v>966</v>
      </c>
      <c r="L33" s="43">
        <f t="shared" si="53"/>
        <v>1068</v>
      </c>
      <c r="M33" s="43">
        <f t="shared" si="53"/>
        <v>1201</v>
      </c>
      <c r="N33" s="43">
        <f t="shared" si="53"/>
        <v>1339</v>
      </c>
      <c r="O33" s="43">
        <f t="shared" si="53"/>
        <v>1411</v>
      </c>
      <c r="P33" s="43">
        <f t="shared" si="53"/>
        <v>1604</v>
      </c>
      <c r="Q33" s="43">
        <f t="shared" si="53"/>
        <v>1741</v>
      </c>
      <c r="R33" s="43">
        <f t="shared" si="53"/>
        <v>1896</v>
      </c>
      <c r="S33" s="43">
        <f t="shared" si="53"/>
        <v>2027</v>
      </c>
      <c r="T33" s="43">
        <f t="shared" si="53"/>
        <v>2128</v>
      </c>
      <c r="U33" s="43">
        <f t="shared" si="53"/>
        <v>2263</v>
      </c>
      <c r="V33" s="43">
        <f t="shared" si="53"/>
        <v>2383</v>
      </c>
      <c r="W33" s="43">
        <f t="shared" si="53"/>
        <v>2520</v>
      </c>
      <c r="X33" s="43">
        <f t="shared" si="53"/>
        <v>2641</v>
      </c>
      <c r="Y33" s="43">
        <f t="shared" si="53"/>
        <v>2809.7750000000001</v>
      </c>
      <c r="Z33" s="43">
        <f t="shared" si="53"/>
        <v>2988.7750000000001</v>
      </c>
      <c r="AA33" s="43">
        <f t="shared" si="53"/>
        <v>3074.7750000000001</v>
      </c>
      <c r="AB33" s="43">
        <f t="shared" si="53"/>
        <v>3259.7750000000001</v>
      </c>
      <c r="AC33" s="43">
        <f t="shared" si="53"/>
        <v>3437.7750000000001</v>
      </c>
      <c r="AD33" s="43">
        <f t="shared" si="53"/>
        <v>3618.7750000000001</v>
      </c>
      <c r="AE33" s="43">
        <f t="shared" si="53"/>
        <v>3772.7750000000001</v>
      </c>
      <c r="AF33" s="43">
        <f t="shared" si="53"/>
        <v>3936.6750000000002</v>
      </c>
      <c r="AG33" s="43">
        <f t="shared" si="53"/>
        <v>4143.6750000000002</v>
      </c>
      <c r="AH33" s="43">
        <f t="shared" si="53"/>
        <v>4277.6750000000002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outlineLevel="1" x14ac:dyDescent="0.45">
      <c r="B34" s="14"/>
      <c r="C34" s="15" t="s">
        <v>56</v>
      </c>
      <c r="D34" s="38">
        <f>SUM($D31:D31)</f>
        <v>66</v>
      </c>
      <c r="E34" s="38">
        <f>SUM($D31:E31)</f>
        <v>192</v>
      </c>
      <c r="F34" s="38">
        <f>SUM($D31:F31)</f>
        <v>318</v>
      </c>
      <c r="G34" s="38">
        <f>SUM($D31:G31)</f>
        <v>459</v>
      </c>
      <c r="H34" s="38">
        <f>SUM($D31:H31)</f>
        <v>573</v>
      </c>
      <c r="I34" s="38">
        <f>SUM($D31:I31)</f>
        <v>724</v>
      </c>
      <c r="J34" s="38">
        <f>SUM($D31:J31)</f>
        <v>846</v>
      </c>
      <c r="K34" s="38">
        <f>SUM($D31:K31)</f>
        <v>966</v>
      </c>
      <c r="L34" s="38">
        <f>SUM($D31:L31)</f>
        <v>1068</v>
      </c>
      <c r="M34" s="38">
        <f>SUM($D31:M31)</f>
        <v>1201</v>
      </c>
      <c r="N34" s="38">
        <f>SUM($D31:N31)</f>
        <v>1339</v>
      </c>
      <c r="O34" s="38">
        <f>SUM($D31:O31)</f>
        <v>1411</v>
      </c>
      <c r="P34" s="38">
        <f>SUM($D31:P31)</f>
        <v>1604</v>
      </c>
      <c r="Q34" s="38">
        <f>SUM($D31:Q31)</f>
        <v>1741</v>
      </c>
      <c r="R34" s="38">
        <f>SUM($D31:R31)</f>
        <v>1896</v>
      </c>
      <c r="S34" s="38">
        <f>SUM($D31:S31)</f>
        <v>2027</v>
      </c>
      <c r="T34" s="38">
        <f>SUM($D31:T31)</f>
        <v>2128</v>
      </c>
      <c r="U34" s="38">
        <f>SUM($D31:U31)</f>
        <v>2263</v>
      </c>
      <c r="V34" s="38">
        <f>SUM($D31:V31)</f>
        <v>2383</v>
      </c>
      <c r="W34" s="38">
        <f>SUM($D31:W31)</f>
        <v>2520</v>
      </c>
      <c r="X34" s="38">
        <f>SUM($D31:X31)</f>
        <v>2641</v>
      </c>
      <c r="Y34" s="38">
        <f>SUM($D31:Y31)</f>
        <v>2809.7750000000001</v>
      </c>
      <c r="Z34" s="38">
        <f>SUM($D31:Z31)</f>
        <v>2988.7750000000001</v>
      </c>
      <c r="AA34" s="38">
        <f>SUM($D31:AA31)</f>
        <v>3074.7750000000001</v>
      </c>
      <c r="AB34" s="38">
        <f>SUM($D31:AB31)</f>
        <v>3259.7750000000001</v>
      </c>
      <c r="AC34" s="38">
        <f>SUM($D31:AC31)</f>
        <v>3437.7750000000001</v>
      </c>
      <c r="AD34" s="38">
        <f>SUM($D31:AD31)</f>
        <v>3618.7750000000001</v>
      </c>
      <c r="AE34" s="38">
        <f>SUM($D31:AE31)</f>
        <v>3772.7750000000001</v>
      </c>
      <c r="AF34" s="38">
        <f>SUM($D31:AF31)</f>
        <v>3936.6750000000002</v>
      </c>
      <c r="AG34" s="38">
        <f>SUM($D31:AG31)</f>
        <v>4143.6750000000002</v>
      </c>
      <c r="AH34" s="38">
        <f>SUM($D31:AH31)</f>
        <v>4277.6750000000002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H36" si="54">D37</f>
        <v>9403.9500000000007</v>
      </c>
      <c r="E36" s="43">
        <f t="shared" si="54"/>
        <v>9464.4500000000007</v>
      </c>
      <c r="F36" s="43">
        <f t="shared" si="54"/>
        <v>9439.25</v>
      </c>
      <c r="G36" s="43">
        <f t="shared" si="54"/>
        <v>9403.93</v>
      </c>
      <c r="H36" s="43">
        <f t="shared" si="54"/>
        <v>9415.91</v>
      </c>
      <c r="I36" s="43">
        <f t="shared" si="54"/>
        <v>9474.6</v>
      </c>
      <c r="J36" s="43">
        <f t="shared" si="54"/>
        <v>9159.6</v>
      </c>
      <c r="K36" s="43">
        <f t="shared" si="54"/>
        <v>8974.9</v>
      </c>
      <c r="L36" s="43">
        <f t="shared" si="54"/>
        <v>9045.7999999999993</v>
      </c>
      <c r="M36" s="43">
        <f t="shared" si="54"/>
        <v>9045.7999999999993</v>
      </c>
      <c r="N36" s="43">
        <f t="shared" si="54"/>
        <v>8932.52</v>
      </c>
      <c r="O36" s="43">
        <f t="shared" si="54"/>
        <v>8991.23</v>
      </c>
      <c r="P36" s="43">
        <f t="shared" si="54"/>
        <v>8934.75</v>
      </c>
      <c r="Q36" s="43">
        <f t="shared" si="54"/>
        <v>8979.4500000000007</v>
      </c>
      <c r="R36" s="43">
        <f t="shared" si="54"/>
        <v>8965.35</v>
      </c>
      <c r="S36" s="43">
        <f t="shared" si="54"/>
        <v>8826.1299999999992</v>
      </c>
      <c r="T36" s="43">
        <f t="shared" si="54"/>
        <v>8472.6299999999992</v>
      </c>
      <c r="U36" s="43">
        <f t="shared" si="54"/>
        <v>8176.14</v>
      </c>
      <c r="V36" s="43">
        <f t="shared" si="54"/>
        <v>7570.82</v>
      </c>
      <c r="W36" s="43">
        <f t="shared" si="54"/>
        <v>7534.11</v>
      </c>
      <c r="X36" s="43">
        <f t="shared" si="54"/>
        <v>7195.99</v>
      </c>
      <c r="Y36" s="43">
        <f t="shared" si="54"/>
        <v>7256.7</v>
      </c>
      <c r="Z36" s="43">
        <f t="shared" si="54"/>
        <v>7426.15</v>
      </c>
      <c r="AA36" s="43">
        <f t="shared" si="54"/>
        <v>7527.45</v>
      </c>
      <c r="AB36" s="43">
        <f t="shared" si="54"/>
        <v>7584.18</v>
      </c>
      <c r="AC36" s="43">
        <f t="shared" si="54"/>
        <v>7572.08</v>
      </c>
      <c r="AD36" s="43">
        <f t="shared" si="54"/>
        <v>7493.92</v>
      </c>
      <c r="AE36" s="43">
        <f t="shared" si="54"/>
        <v>7662.09</v>
      </c>
      <c r="AF36" s="43">
        <f t="shared" si="54"/>
        <v>7484.46</v>
      </c>
      <c r="AG36" s="43">
        <f t="shared" si="54"/>
        <v>7466.86</v>
      </c>
      <c r="AH36" s="43">
        <f t="shared" si="54"/>
        <v>7510.39</v>
      </c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outlineLevel="1" x14ac:dyDescent="0.45">
      <c r="B37" s="14"/>
      <c r="C37" s="15" t="s">
        <v>56</v>
      </c>
      <c r="D37" s="38">
        <v>9403.9500000000007</v>
      </c>
      <c r="E37" s="38">
        <v>9464.4500000000007</v>
      </c>
      <c r="F37" s="38">
        <v>9439.25</v>
      </c>
      <c r="G37" s="38">
        <v>9403.93</v>
      </c>
      <c r="H37" s="38">
        <v>9415.91</v>
      </c>
      <c r="I37" s="38">
        <v>9474.6</v>
      </c>
      <c r="J37" s="38">
        <v>9159.6</v>
      </c>
      <c r="K37" s="38">
        <v>8974.9</v>
      </c>
      <c r="L37" s="38">
        <v>9045.7999999999993</v>
      </c>
      <c r="M37" s="38">
        <v>9045.7999999999993</v>
      </c>
      <c r="N37" s="38">
        <v>8932.52</v>
      </c>
      <c r="O37" s="38">
        <v>8991.23</v>
      </c>
      <c r="P37" s="38">
        <v>8934.75</v>
      </c>
      <c r="Q37" s="38">
        <v>8979.4500000000007</v>
      </c>
      <c r="R37" s="38">
        <v>8965.35</v>
      </c>
      <c r="S37" s="38">
        <v>8826.1299999999992</v>
      </c>
      <c r="T37" s="38">
        <v>8472.6299999999992</v>
      </c>
      <c r="U37" s="38">
        <v>8176.14</v>
      </c>
      <c r="V37" s="38">
        <v>7570.82</v>
      </c>
      <c r="W37" s="38">
        <v>7534.11</v>
      </c>
      <c r="X37" s="137">
        <v>7195.99</v>
      </c>
      <c r="Y37" s="137">
        <v>7256.7</v>
      </c>
      <c r="Z37" s="137">
        <v>7426.15</v>
      </c>
      <c r="AA37" s="137">
        <v>7527.45</v>
      </c>
      <c r="AB37" s="137">
        <v>7584.18</v>
      </c>
      <c r="AC37" s="137">
        <v>7572.08</v>
      </c>
      <c r="AD37" s="137">
        <v>7493.92</v>
      </c>
      <c r="AE37" s="137">
        <v>7662.09</v>
      </c>
      <c r="AF37" s="137">
        <v>7484.46</v>
      </c>
      <c r="AG37" s="137">
        <v>7466.86</v>
      </c>
      <c r="AH37" s="137">
        <v>7510.39</v>
      </c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x14ac:dyDescent="0.45">
      <c r="B39" s="17">
        <v>9</v>
      </c>
      <c r="C39" s="18" t="s">
        <v>54</v>
      </c>
      <c r="D39" s="43">
        <f t="shared" ref="D39:AH39" si="55">SUM(D40:D40)</f>
        <v>0</v>
      </c>
      <c r="E39" s="43">
        <f t="shared" si="55"/>
        <v>34.08</v>
      </c>
      <c r="F39" s="43">
        <f t="shared" si="55"/>
        <v>107.08</v>
      </c>
      <c r="G39" s="43">
        <f t="shared" si="55"/>
        <v>174.42</v>
      </c>
      <c r="H39" s="43">
        <f t="shared" si="55"/>
        <v>96.38</v>
      </c>
      <c r="I39" s="43">
        <f t="shared" si="55"/>
        <v>120.75</v>
      </c>
      <c r="J39" s="43">
        <f t="shared" si="55"/>
        <v>140.27000000000001</v>
      </c>
      <c r="K39" s="43">
        <f t="shared" si="55"/>
        <v>0</v>
      </c>
      <c r="L39" s="43">
        <f t="shared" si="55"/>
        <v>156.61000000000001</v>
      </c>
      <c r="M39" s="43">
        <f t="shared" si="55"/>
        <v>124.98</v>
      </c>
      <c r="N39" s="43">
        <f t="shared" si="55"/>
        <v>85.98</v>
      </c>
      <c r="O39" s="43">
        <f t="shared" si="55"/>
        <v>156.52000000000001</v>
      </c>
      <c r="P39" s="43">
        <f t="shared" si="55"/>
        <v>159.43</v>
      </c>
      <c r="Q39" s="43">
        <f t="shared" si="55"/>
        <v>195.84</v>
      </c>
      <c r="R39" s="43">
        <f t="shared" si="55"/>
        <v>0</v>
      </c>
      <c r="S39" s="43">
        <f t="shared" si="55"/>
        <v>125.11</v>
      </c>
      <c r="T39" s="43">
        <f t="shared" si="55"/>
        <v>136.36000000000001</v>
      </c>
      <c r="U39" s="43">
        <f t="shared" si="55"/>
        <v>152.97</v>
      </c>
      <c r="V39" s="43">
        <f t="shared" si="55"/>
        <v>222.74</v>
      </c>
      <c r="W39" s="43">
        <f t="shared" si="55"/>
        <v>91.06</v>
      </c>
      <c r="X39" s="43">
        <f t="shared" si="55"/>
        <v>266.89</v>
      </c>
      <c r="Y39" s="43">
        <f t="shared" si="55"/>
        <v>0</v>
      </c>
      <c r="Z39" s="43">
        <f t="shared" si="55"/>
        <v>196.37</v>
      </c>
      <c r="AA39" s="43">
        <f t="shared" si="55"/>
        <v>152.44999999999999</v>
      </c>
      <c r="AB39" s="43">
        <f t="shared" si="55"/>
        <v>187.33</v>
      </c>
      <c r="AC39" s="43">
        <f t="shared" si="55"/>
        <v>169.18</v>
      </c>
      <c r="AD39" s="43">
        <f t="shared" si="55"/>
        <v>109.73</v>
      </c>
      <c r="AE39" s="43">
        <f t="shared" si="55"/>
        <v>183.06</v>
      </c>
      <c r="AF39" s="43">
        <f t="shared" si="55"/>
        <v>0</v>
      </c>
      <c r="AG39" s="43">
        <f t="shared" si="55"/>
        <v>174.07</v>
      </c>
      <c r="AH39" s="43">
        <f t="shared" si="55"/>
        <v>188.66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outlineLevel="1" x14ac:dyDescent="0.45">
      <c r="B40" s="14"/>
      <c r="C40" s="15" t="s">
        <v>56</v>
      </c>
      <c r="D40" s="38"/>
      <c r="E40" s="38">
        <v>34.08</v>
      </c>
      <c r="F40" s="38">
        <v>107.08</v>
      </c>
      <c r="G40" s="38">
        <v>174.42</v>
      </c>
      <c r="H40" s="38">
        <v>96.38</v>
      </c>
      <c r="I40" s="38">
        <v>120.75</v>
      </c>
      <c r="J40" s="38">
        <v>140.27000000000001</v>
      </c>
      <c r="K40" s="38"/>
      <c r="L40" s="38">
        <v>156.61000000000001</v>
      </c>
      <c r="M40" s="38">
        <v>124.98</v>
      </c>
      <c r="N40" s="38">
        <v>85.98</v>
      </c>
      <c r="O40" s="38">
        <v>156.52000000000001</v>
      </c>
      <c r="P40" s="38">
        <v>159.43</v>
      </c>
      <c r="Q40" s="137">
        <v>195.84</v>
      </c>
      <c r="R40" s="137"/>
      <c r="S40" s="137">
        <v>125.11</v>
      </c>
      <c r="T40" s="137">
        <v>136.36000000000001</v>
      </c>
      <c r="U40" s="137">
        <v>152.97</v>
      </c>
      <c r="V40" s="137">
        <v>222.74</v>
      </c>
      <c r="W40" s="137">
        <v>91.06</v>
      </c>
      <c r="X40" s="137">
        <v>266.89</v>
      </c>
      <c r="Y40" s="137"/>
      <c r="Z40" s="137">
        <v>196.37</v>
      </c>
      <c r="AA40" s="137">
        <v>152.44999999999999</v>
      </c>
      <c r="AB40" s="137">
        <v>187.33</v>
      </c>
      <c r="AC40" s="137">
        <v>169.18</v>
      </c>
      <c r="AD40" s="137">
        <v>109.73</v>
      </c>
      <c r="AE40" s="137">
        <v>183.06</v>
      </c>
      <c r="AF40" s="137"/>
      <c r="AG40" s="137">
        <v>174.07</v>
      </c>
      <c r="AH40" s="137">
        <v>188.66</v>
      </c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x14ac:dyDescent="0.45">
      <c r="B42" s="17">
        <v>10</v>
      </c>
      <c r="C42" s="18" t="s">
        <v>55</v>
      </c>
      <c r="D42" s="43">
        <f t="shared" ref="D42:AH42" si="56">SUM(D43:D43)</f>
        <v>0</v>
      </c>
      <c r="E42" s="43">
        <f t="shared" si="56"/>
        <v>34.08</v>
      </c>
      <c r="F42" s="43">
        <f t="shared" si="56"/>
        <v>141.16</v>
      </c>
      <c r="G42" s="43">
        <f t="shared" si="56"/>
        <v>315.58</v>
      </c>
      <c r="H42" s="43">
        <f t="shared" si="56"/>
        <v>411.96</v>
      </c>
      <c r="I42" s="43">
        <f t="shared" si="56"/>
        <v>532.71</v>
      </c>
      <c r="J42" s="43">
        <f t="shared" si="56"/>
        <v>672.98</v>
      </c>
      <c r="K42" s="43">
        <f t="shared" si="56"/>
        <v>672.98</v>
      </c>
      <c r="L42" s="43">
        <f t="shared" si="56"/>
        <v>829.59</v>
      </c>
      <c r="M42" s="43">
        <f t="shared" si="56"/>
        <v>954.57</v>
      </c>
      <c r="N42" s="43">
        <f t="shared" si="56"/>
        <v>1040.55</v>
      </c>
      <c r="O42" s="43">
        <f t="shared" si="56"/>
        <v>1197.07</v>
      </c>
      <c r="P42" s="43">
        <f t="shared" si="56"/>
        <v>1356.5</v>
      </c>
      <c r="Q42" s="43">
        <f t="shared" si="56"/>
        <v>1552.34</v>
      </c>
      <c r="R42" s="43">
        <f t="shared" si="56"/>
        <v>1552.34</v>
      </c>
      <c r="S42" s="43">
        <f t="shared" si="56"/>
        <v>1677.4499999999998</v>
      </c>
      <c r="T42" s="43">
        <f t="shared" si="56"/>
        <v>1813.81</v>
      </c>
      <c r="U42" s="43">
        <f t="shared" si="56"/>
        <v>1966.78</v>
      </c>
      <c r="V42" s="43">
        <f t="shared" si="56"/>
        <v>2189.52</v>
      </c>
      <c r="W42" s="43">
        <f t="shared" si="56"/>
        <v>2280.58</v>
      </c>
      <c r="X42" s="43">
        <f t="shared" si="56"/>
        <v>2547.4699999999998</v>
      </c>
      <c r="Y42" s="43">
        <f t="shared" si="56"/>
        <v>2547.4699999999998</v>
      </c>
      <c r="Z42" s="43">
        <f t="shared" si="56"/>
        <v>2743.8399999999997</v>
      </c>
      <c r="AA42" s="43">
        <f t="shared" si="56"/>
        <v>2896.2899999999995</v>
      </c>
      <c r="AB42" s="43">
        <f t="shared" si="56"/>
        <v>3083.6199999999994</v>
      </c>
      <c r="AC42" s="43">
        <f t="shared" si="56"/>
        <v>3252.7999999999993</v>
      </c>
      <c r="AD42" s="43">
        <f t="shared" si="56"/>
        <v>3362.5299999999993</v>
      </c>
      <c r="AE42" s="43">
        <f t="shared" si="56"/>
        <v>3545.5899999999992</v>
      </c>
      <c r="AF42" s="43">
        <f t="shared" si="56"/>
        <v>3545.5899999999992</v>
      </c>
      <c r="AG42" s="43">
        <f t="shared" si="56"/>
        <v>3719.6599999999994</v>
      </c>
      <c r="AH42" s="43">
        <f t="shared" si="56"/>
        <v>3908.3199999999993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outlineLevel="1" x14ac:dyDescent="0.45">
      <c r="B43" s="128"/>
      <c r="C43" s="15" t="s">
        <v>56</v>
      </c>
      <c r="D43" s="38">
        <f>SUM($D39:D39)</f>
        <v>0</v>
      </c>
      <c r="E43" s="38">
        <f>SUM($D39:E39)</f>
        <v>34.08</v>
      </c>
      <c r="F43" s="38">
        <f>SUM($D39:F39)</f>
        <v>141.16</v>
      </c>
      <c r="G43" s="38">
        <f>SUM($D39:G39)</f>
        <v>315.58</v>
      </c>
      <c r="H43" s="38">
        <f>SUM($D39:H39)</f>
        <v>411.96</v>
      </c>
      <c r="I43" s="38">
        <f>SUM($D39:I39)</f>
        <v>532.71</v>
      </c>
      <c r="J43" s="38">
        <f>SUM($D39:J39)</f>
        <v>672.98</v>
      </c>
      <c r="K43" s="38">
        <f>SUM($D39:K39)</f>
        <v>672.98</v>
      </c>
      <c r="L43" s="38">
        <f>SUM($D39:L39)</f>
        <v>829.59</v>
      </c>
      <c r="M43" s="38">
        <f>SUM($D39:M39)</f>
        <v>954.57</v>
      </c>
      <c r="N43" s="38">
        <f>SUM($D39:N39)</f>
        <v>1040.55</v>
      </c>
      <c r="O43" s="38">
        <f>SUM($D39:O39)</f>
        <v>1197.07</v>
      </c>
      <c r="P43" s="38">
        <f>SUM($D39:P39)</f>
        <v>1356.5</v>
      </c>
      <c r="Q43" s="38">
        <f>SUM($D39:Q39)</f>
        <v>1552.34</v>
      </c>
      <c r="R43" s="38">
        <f>SUM($D39:R39)</f>
        <v>1552.34</v>
      </c>
      <c r="S43" s="38">
        <f>SUM($D39:S39)</f>
        <v>1677.4499999999998</v>
      </c>
      <c r="T43" s="38">
        <f>SUM($D39:T39)</f>
        <v>1813.81</v>
      </c>
      <c r="U43" s="38">
        <f>SUM($D39:U39)</f>
        <v>1966.78</v>
      </c>
      <c r="V43" s="38">
        <f>SUM($D39:V39)</f>
        <v>2189.52</v>
      </c>
      <c r="W43" s="38">
        <f>SUM($D39:W39)</f>
        <v>2280.58</v>
      </c>
      <c r="X43" s="38">
        <f>SUM($D39:X39)</f>
        <v>2547.4699999999998</v>
      </c>
      <c r="Y43" s="38">
        <f>SUM($D39:Y39)</f>
        <v>2547.4699999999998</v>
      </c>
      <c r="Z43" s="38">
        <f>SUM($D39:Z39)</f>
        <v>2743.8399999999997</v>
      </c>
      <c r="AA43" s="38">
        <f>SUM($D39:AA39)</f>
        <v>2896.2899999999995</v>
      </c>
      <c r="AB43" s="38">
        <f>SUM($D39:AB39)</f>
        <v>3083.6199999999994</v>
      </c>
      <c r="AC43" s="38">
        <f>SUM($D39:AC39)</f>
        <v>3252.7999999999993</v>
      </c>
      <c r="AD43" s="38">
        <f>SUM($D39:AD39)</f>
        <v>3362.5299999999993</v>
      </c>
      <c r="AE43" s="38">
        <f>SUM($D39:AE39)</f>
        <v>3545.5899999999992</v>
      </c>
      <c r="AF43" s="38">
        <f>SUM($D39:AF39)</f>
        <v>3545.5899999999992</v>
      </c>
      <c r="AG43" s="38">
        <f>SUM($D39:AG39)</f>
        <v>3719.6599999999994</v>
      </c>
      <c r="AH43" s="38">
        <f>SUM($D39:AH39)</f>
        <v>3908.3199999999993</v>
      </c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7">$AJ$5</f>
        <v>5327.8014193548397</v>
      </c>
      <c r="E44" s="107">
        <f t="shared" si="57"/>
        <v>5327.8014193548397</v>
      </c>
      <c r="F44" s="107">
        <f t="shared" si="57"/>
        <v>5327.8014193548397</v>
      </c>
      <c r="G44" s="107">
        <f t="shared" si="57"/>
        <v>5327.8014193548397</v>
      </c>
      <c r="H44" s="107">
        <f t="shared" si="57"/>
        <v>5327.8014193548397</v>
      </c>
      <c r="I44" s="107">
        <f t="shared" si="57"/>
        <v>5327.8014193548397</v>
      </c>
      <c r="J44" s="107">
        <f t="shared" si="57"/>
        <v>5327.8014193548397</v>
      </c>
      <c r="K44" s="107">
        <f t="shared" si="57"/>
        <v>5327.8014193548397</v>
      </c>
      <c r="L44" s="107">
        <f t="shared" si="57"/>
        <v>5327.8014193548397</v>
      </c>
      <c r="M44" s="107">
        <f t="shared" si="57"/>
        <v>5327.8014193548397</v>
      </c>
      <c r="N44" s="107">
        <f t="shared" si="57"/>
        <v>5327.8014193548397</v>
      </c>
      <c r="O44" s="107">
        <f t="shared" si="57"/>
        <v>5327.8014193548397</v>
      </c>
      <c r="P44" s="107">
        <f t="shared" si="57"/>
        <v>5327.8014193548397</v>
      </c>
      <c r="Q44" s="107">
        <f t="shared" si="57"/>
        <v>5327.8014193548397</v>
      </c>
      <c r="R44" s="107">
        <f t="shared" si="57"/>
        <v>5327.8014193548397</v>
      </c>
      <c r="S44" s="107">
        <f t="shared" si="57"/>
        <v>5327.8014193548397</v>
      </c>
      <c r="T44" s="107">
        <f t="shared" si="57"/>
        <v>5327.8014193548397</v>
      </c>
      <c r="U44" s="107">
        <f t="shared" si="57"/>
        <v>5327.8014193548397</v>
      </c>
      <c r="V44" s="107">
        <f t="shared" si="57"/>
        <v>5327.8014193548397</v>
      </c>
      <c r="W44" s="107">
        <f t="shared" si="57"/>
        <v>5327.8014193548397</v>
      </c>
      <c r="X44" s="107">
        <f t="shared" si="57"/>
        <v>5327.8014193548397</v>
      </c>
      <c r="Y44" s="107">
        <f t="shared" si="57"/>
        <v>5327.8014193548397</v>
      </c>
      <c r="Z44" s="107">
        <f t="shared" si="57"/>
        <v>5327.8014193548397</v>
      </c>
      <c r="AA44" s="107">
        <f t="shared" si="57"/>
        <v>5327.8014193548397</v>
      </c>
      <c r="AB44" s="107">
        <f t="shared" si="57"/>
        <v>5327.8014193548397</v>
      </c>
      <c r="AC44" s="107">
        <f t="shared" si="57"/>
        <v>5327.8014193548397</v>
      </c>
      <c r="AD44" s="107">
        <f t="shared" si="57"/>
        <v>5327.8014193548397</v>
      </c>
      <c r="AE44" s="107">
        <f t="shared" si="57"/>
        <v>5327.8014193548397</v>
      </c>
      <c r="AF44" s="107">
        <f t="shared" si="57"/>
        <v>5327.8014193548397</v>
      </c>
      <c r="AG44" s="107">
        <f t="shared" si="57"/>
        <v>5327.8014193548397</v>
      </c>
      <c r="AH44" s="107">
        <f t="shared" si="57"/>
        <v>5327.8014193548397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8">$AL$5</f>
        <v>155.95191344919138</v>
      </c>
      <c r="E45" s="22">
        <f t="shared" si="58"/>
        <v>155.95191344919138</v>
      </c>
      <c r="F45" s="22">
        <f t="shared" si="58"/>
        <v>155.95191344919138</v>
      </c>
      <c r="G45" s="22">
        <f t="shared" si="58"/>
        <v>155.95191344919138</v>
      </c>
      <c r="H45" s="22">
        <f t="shared" si="58"/>
        <v>155.95191344919138</v>
      </c>
      <c r="I45" s="22">
        <f t="shared" si="58"/>
        <v>155.95191344919138</v>
      </c>
      <c r="J45" s="22">
        <f t="shared" si="58"/>
        <v>155.95191344919138</v>
      </c>
      <c r="K45" s="22">
        <f t="shared" si="58"/>
        <v>155.95191344919138</v>
      </c>
      <c r="L45" s="22">
        <f t="shared" si="58"/>
        <v>155.95191344919138</v>
      </c>
      <c r="M45" s="22">
        <f t="shared" si="58"/>
        <v>155.95191344919138</v>
      </c>
      <c r="N45" s="22">
        <f t="shared" si="58"/>
        <v>155.95191344919138</v>
      </c>
      <c r="O45" s="22">
        <f t="shared" si="58"/>
        <v>155.95191344919138</v>
      </c>
      <c r="P45" s="22">
        <f t="shared" si="58"/>
        <v>155.95191344919138</v>
      </c>
      <c r="Q45" s="22">
        <f t="shared" si="58"/>
        <v>155.95191344919138</v>
      </c>
      <c r="R45" s="22">
        <f t="shared" si="58"/>
        <v>155.95191344919138</v>
      </c>
      <c r="S45" s="22">
        <f t="shared" si="58"/>
        <v>155.95191344919138</v>
      </c>
      <c r="T45" s="22">
        <f t="shared" si="58"/>
        <v>155.95191344919138</v>
      </c>
      <c r="U45" s="22">
        <f t="shared" si="58"/>
        <v>155.95191344919138</v>
      </c>
      <c r="V45" s="22">
        <f t="shared" si="58"/>
        <v>155.95191344919138</v>
      </c>
      <c r="W45" s="22">
        <f t="shared" si="58"/>
        <v>155.95191344919138</v>
      </c>
      <c r="X45" s="22">
        <f t="shared" si="58"/>
        <v>155.95191344919138</v>
      </c>
      <c r="Y45" s="22">
        <f t="shared" si="58"/>
        <v>155.95191344919138</v>
      </c>
      <c r="Z45" s="22">
        <f t="shared" si="58"/>
        <v>155.95191344919138</v>
      </c>
      <c r="AA45" s="22">
        <f t="shared" si="58"/>
        <v>155.95191344919138</v>
      </c>
      <c r="AB45" s="22">
        <f t="shared" si="58"/>
        <v>155.95191344919138</v>
      </c>
      <c r="AC45" s="22">
        <f t="shared" si="58"/>
        <v>155.95191344919138</v>
      </c>
      <c r="AD45" s="22">
        <f t="shared" si="58"/>
        <v>155.95191344919138</v>
      </c>
      <c r="AE45" s="22">
        <f t="shared" si="58"/>
        <v>155.95191344919138</v>
      </c>
      <c r="AF45" s="22">
        <f t="shared" si="58"/>
        <v>155.95191344919138</v>
      </c>
      <c r="AG45" s="22">
        <f t="shared" si="58"/>
        <v>155.95191344919138</v>
      </c>
      <c r="AH45" s="22">
        <f t="shared" si="58"/>
        <v>155.95191344919138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59">$AI$20</f>
        <v>184.97541935483872</v>
      </c>
      <c r="E46" s="22">
        <f t="shared" si="59"/>
        <v>184.97541935483872</v>
      </c>
      <c r="F46" s="22">
        <f t="shared" si="59"/>
        <v>184.97541935483872</v>
      </c>
      <c r="G46" s="22">
        <f t="shared" si="59"/>
        <v>184.97541935483872</v>
      </c>
      <c r="H46" s="22">
        <f t="shared" si="59"/>
        <v>184.97541935483872</v>
      </c>
      <c r="I46" s="22">
        <f t="shared" si="59"/>
        <v>184.97541935483872</v>
      </c>
      <c r="J46" s="22">
        <f t="shared" si="59"/>
        <v>184.97541935483872</v>
      </c>
      <c r="K46" s="22">
        <f t="shared" si="59"/>
        <v>184.97541935483872</v>
      </c>
      <c r="L46" s="22">
        <f t="shared" si="59"/>
        <v>184.97541935483872</v>
      </c>
      <c r="M46" s="22">
        <f t="shared" si="59"/>
        <v>184.97541935483872</v>
      </c>
      <c r="N46" s="22">
        <f t="shared" si="59"/>
        <v>184.97541935483872</v>
      </c>
      <c r="O46" s="22">
        <f t="shared" si="59"/>
        <v>184.97541935483872</v>
      </c>
      <c r="P46" s="22">
        <f t="shared" si="59"/>
        <v>184.97541935483872</v>
      </c>
      <c r="Q46" s="22">
        <f t="shared" si="59"/>
        <v>184.97541935483872</v>
      </c>
      <c r="R46" s="22">
        <f t="shared" si="59"/>
        <v>184.97541935483872</v>
      </c>
      <c r="S46" s="22">
        <f t="shared" si="59"/>
        <v>184.97541935483872</v>
      </c>
      <c r="T46" s="22">
        <f t="shared" si="59"/>
        <v>184.97541935483872</v>
      </c>
      <c r="U46" s="22">
        <f t="shared" si="59"/>
        <v>184.97541935483872</v>
      </c>
      <c r="V46" s="22">
        <f t="shared" si="59"/>
        <v>184.97541935483872</v>
      </c>
      <c r="W46" s="22">
        <f t="shared" si="59"/>
        <v>184.97541935483872</v>
      </c>
      <c r="X46" s="22">
        <f t="shared" si="59"/>
        <v>184.97541935483872</v>
      </c>
      <c r="Y46" s="22">
        <f t="shared" si="59"/>
        <v>184.97541935483872</v>
      </c>
      <c r="Z46" s="22">
        <f t="shared" si="59"/>
        <v>184.97541935483872</v>
      </c>
      <c r="AA46" s="22">
        <f t="shared" si="59"/>
        <v>184.97541935483872</v>
      </c>
      <c r="AB46" s="22">
        <f t="shared" si="59"/>
        <v>184.97541935483872</v>
      </c>
      <c r="AC46" s="22">
        <f t="shared" si="59"/>
        <v>184.97541935483872</v>
      </c>
      <c r="AD46" s="22">
        <f t="shared" si="59"/>
        <v>184.97541935483872</v>
      </c>
      <c r="AE46" s="22">
        <f t="shared" si="59"/>
        <v>184.97541935483872</v>
      </c>
      <c r="AF46" s="22">
        <f t="shared" si="59"/>
        <v>184.97541935483872</v>
      </c>
      <c r="AG46" s="22">
        <f t="shared" si="59"/>
        <v>184.97541935483872</v>
      </c>
      <c r="AH46" s="22">
        <f t="shared" si="59"/>
        <v>184.97541935483872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0">D11</f>
        <v>0</v>
      </c>
      <c r="E49" s="22">
        <f t="shared" si="60"/>
        <v>1003.34</v>
      </c>
      <c r="F49" s="22">
        <f t="shared" si="60"/>
        <v>2469.835</v>
      </c>
      <c r="G49" s="22">
        <f t="shared" si="60"/>
        <v>3325.5060000000003</v>
      </c>
      <c r="H49" s="22">
        <f t="shared" si="60"/>
        <v>5864.9060000000009</v>
      </c>
      <c r="I49" s="22">
        <f t="shared" si="60"/>
        <v>8953.978000000001</v>
      </c>
      <c r="J49" s="22">
        <f t="shared" si="60"/>
        <v>11542.277000000002</v>
      </c>
      <c r="K49" s="22">
        <f t="shared" si="60"/>
        <v>11542.277000000002</v>
      </c>
      <c r="L49" s="22">
        <f t="shared" si="60"/>
        <v>16019.177000000001</v>
      </c>
      <c r="M49" s="22">
        <f t="shared" si="60"/>
        <v>19425.980000000003</v>
      </c>
      <c r="N49" s="22">
        <f t="shared" si="60"/>
        <v>21153.069000000003</v>
      </c>
      <c r="O49" s="22">
        <f t="shared" si="60"/>
        <v>21907.730000000003</v>
      </c>
      <c r="P49" s="22">
        <f t="shared" si="60"/>
        <v>23870.180000000004</v>
      </c>
      <c r="Q49" s="22">
        <f t="shared" si="60"/>
        <v>24577.768000000004</v>
      </c>
      <c r="R49" s="22">
        <f t="shared" si="60"/>
        <v>24577.768000000004</v>
      </c>
      <c r="S49" s="22">
        <f t="shared" si="60"/>
        <v>27377.638000000003</v>
      </c>
      <c r="T49" s="22">
        <f t="shared" si="60"/>
        <v>33011.048000000003</v>
      </c>
      <c r="U49" s="22">
        <f t="shared" si="60"/>
        <v>38124.514999999999</v>
      </c>
      <c r="V49" s="22">
        <f t="shared" si="60"/>
        <v>45012.275999999998</v>
      </c>
      <c r="W49" s="22">
        <f t="shared" si="60"/>
        <v>50710.478999999999</v>
      </c>
      <c r="X49" s="22">
        <f t="shared" si="60"/>
        <v>51585.106999999996</v>
      </c>
      <c r="Y49" s="22">
        <f t="shared" si="60"/>
        <v>51585.106999999996</v>
      </c>
      <c r="Z49" s="22">
        <f t="shared" si="60"/>
        <v>52372.546999999999</v>
      </c>
      <c r="AA49" s="22">
        <f t="shared" si="60"/>
        <v>54310.102999999996</v>
      </c>
      <c r="AB49" s="22">
        <f t="shared" si="60"/>
        <v>56513.512999999992</v>
      </c>
      <c r="AC49" s="22">
        <f t="shared" si="60"/>
        <v>59093.989999999991</v>
      </c>
      <c r="AD49" s="22">
        <f t="shared" si="60"/>
        <v>61045.979999999989</v>
      </c>
      <c r="AE49" s="22">
        <f t="shared" si="60"/>
        <v>63363.311999999991</v>
      </c>
      <c r="AF49" s="22">
        <f t="shared" si="60"/>
        <v>63363.311999999991</v>
      </c>
      <c r="AG49" s="22">
        <f t="shared" si="60"/>
        <v>64994.041999999994</v>
      </c>
      <c r="AH49" s="22">
        <f t="shared" si="60"/>
        <v>66434.883999999991</v>
      </c>
      <c r="AI49" s="22">
        <f t="shared" si="60"/>
        <v>58341.325716918152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1">D12</f>
        <v>0</v>
      </c>
      <c r="E50" s="22">
        <f t="shared" si="61"/>
        <v>1874.04</v>
      </c>
      <c r="F50" s="22">
        <f t="shared" si="61"/>
        <v>1874.04</v>
      </c>
      <c r="G50" s="22">
        <f t="shared" si="61"/>
        <v>1874.04</v>
      </c>
      <c r="H50" s="22">
        <f t="shared" si="61"/>
        <v>1812.54</v>
      </c>
      <c r="I50" s="22">
        <f t="shared" si="61"/>
        <v>3735.75</v>
      </c>
      <c r="J50" s="22">
        <f t="shared" si="61"/>
        <v>16865.129999999997</v>
      </c>
      <c r="K50" s="22">
        <f t="shared" si="61"/>
        <v>20003.509999999998</v>
      </c>
      <c r="L50" s="22">
        <f t="shared" si="61"/>
        <v>20003.509999999998</v>
      </c>
      <c r="M50" s="22">
        <f t="shared" si="61"/>
        <v>20003.509999999998</v>
      </c>
      <c r="N50" s="22">
        <f t="shared" si="61"/>
        <v>20003.509999999998</v>
      </c>
      <c r="O50" s="22">
        <f t="shared" si="61"/>
        <v>20689.189999999999</v>
      </c>
      <c r="P50" s="22">
        <f t="shared" si="61"/>
        <v>20689.189999999999</v>
      </c>
      <c r="Q50" s="22">
        <f t="shared" si="61"/>
        <v>21957.46</v>
      </c>
      <c r="R50" s="22">
        <f t="shared" si="61"/>
        <v>31796.67</v>
      </c>
      <c r="S50" s="22">
        <f t="shared" si="61"/>
        <v>41001.629999999997</v>
      </c>
      <c r="T50" s="22">
        <f t="shared" si="61"/>
        <v>48234.1</v>
      </c>
      <c r="U50" s="22">
        <f t="shared" si="61"/>
        <v>56190.81</v>
      </c>
      <c r="V50" s="22">
        <f t="shared" si="61"/>
        <v>58597.35</v>
      </c>
      <c r="W50" s="22">
        <f t="shared" si="61"/>
        <v>64388.38</v>
      </c>
      <c r="X50" s="22">
        <f t="shared" si="61"/>
        <v>64388.38</v>
      </c>
      <c r="Y50" s="22">
        <f t="shared" si="61"/>
        <v>64388.38</v>
      </c>
      <c r="Z50" s="22">
        <f t="shared" si="61"/>
        <v>64388.38</v>
      </c>
      <c r="AA50" s="22">
        <f t="shared" si="61"/>
        <v>64388.38</v>
      </c>
      <c r="AB50" s="22">
        <f t="shared" si="61"/>
        <v>64388.38</v>
      </c>
      <c r="AC50" s="22">
        <f t="shared" si="61"/>
        <v>68680.929999999993</v>
      </c>
      <c r="AD50" s="22">
        <f t="shared" si="61"/>
        <v>68680.929999999993</v>
      </c>
      <c r="AE50" s="22">
        <f t="shared" si="61"/>
        <v>74405.329999999987</v>
      </c>
      <c r="AF50" s="22">
        <f t="shared" si="61"/>
        <v>79493.689999999988</v>
      </c>
      <c r="AG50" s="22">
        <f t="shared" si="61"/>
        <v>80764.339999999982</v>
      </c>
      <c r="AH50" s="22">
        <f t="shared" si="61"/>
        <v>80759.629999999976</v>
      </c>
      <c r="AI50" s="22">
        <f>AI12</f>
        <v>85075.995090909084</v>
      </c>
    </row>
    <row r="51" spans="2:36" s="53" customFormat="1" ht="14" x14ac:dyDescent="0.4">
      <c r="B51" s="52"/>
      <c r="C51" s="53" t="s">
        <v>10</v>
      </c>
      <c r="D51" s="54">
        <f>$AI$11/$AI$1</f>
        <v>1944.7108572306051</v>
      </c>
      <c r="E51" s="54">
        <f t="shared" ref="E51:AH51" si="62">$AI$11/$AI$1+D51</f>
        <v>3889.4217144612103</v>
      </c>
      <c r="F51" s="54">
        <f t="shared" si="62"/>
        <v>5834.1325716918154</v>
      </c>
      <c r="G51" s="54">
        <f t="shared" si="62"/>
        <v>7778.8434289224206</v>
      </c>
      <c r="H51" s="54">
        <f t="shared" si="62"/>
        <v>9723.5542861530266</v>
      </c>
      <c r="I51" s="54">
        <f t="shared" si="62"/>
        <v>11668.265143383633</v>
      </c>
      <c r="J51" s="54">
        <f t="shared" si="62"/>
        <v>13612.976000614239</v>
      </c>
      <c r="K51" s="54">
        <f t="shared" si="62"/>
        <v>15557.686857844845</v>
      </c>
      <c r="L51" s="54">
        <f t="shared" si="62"/>
        <v>17502.397715075451</v>
      </c>
      <c r="M51" s="54">
        <f t="shared" si="62"/>
        <v>19447.108572306057</v>
      </c>
      <c r="N51" s="54">
        <f t="shared" si="62"/>
        <v>21391.819429536663</v>
      </c>
      <c r="O51" s="54">
        <f t="shared" si="62"/>
        <v>23336.530286767269</v>
      </c>
      <c r="P51" s="54">
        <f t="shared" si="62"/>
        <v>25281.241143997875</v>
      </c>
      <c r="Q51" s="54">
        <f t="shared" si="62"/>
        <v>27225.952001228481</v>
      </c>
      <c r="R51" s="54">
        <f t="shared" si="62"/>
        <v>29170.662858459087</v>
      </c>
      <c r="S51" s="54">
        <f t="shared" si="62"/>
        <v>31115.373715689693</v>
      </c>
      <c r="T51" s="54">
        <f t="shared" si="62"/>
        <v>33060.084572920299</v>
      </c>
      <c r="U51" s="54">
        <f t="shared" si="62"/>
        <v>35004.795430150902</v>
      </c>
      <c r="V51" s="54">
        <f t="shared" si="62"/>
        <v>36949.506287381504</v>
      </c>
      <c r="W51" s="54">
        <f t="shared" si="62"/>
        <v>38894.217144612106</v>
      </c>
      <c r="X51" s="54">
        <f t="shared" si="62"/>
        <v>40838.928001842709</v>
      </c>
      <c r="Y51" s="54">
        <f t="shared" si="62"/>
        <v>42783.638859073311</v>
      </c>
      <c r="Z51" s="54">
        <f t="shared" si="62"/>
        <v>44728.349716303914</v>
      </c>
      <c r="AA51" s="54">
        <f t="shared" si="62"/>
        <v>46673.060573534516</v>
      </c>
      <c r="AB51" s="54">
        <f t="shared" si="62"/>
        <v>48617.771430765119</v>
      </c>
      <c r="AC51" s="54">
        <f t="shared" si="62"/>
        <v>50562.482287995721</v>
      </c>
      <c r="AD51" s="54">
        <f t="shared" si="62"/>
        <v>52507.193145226323</v>
      </c>
      <c r="AE51" s="54">
        <f t="shared" si="62"/>
        <v>54451.904002456926</v>
      </c>
      <c r="AF51" s="54">
        <f t="shared" si="62"/>
        <v>56396.614859687528</v>
      </c>
      <c r="AG51" s="54">
        <f t="shared" si="62"/>
        <v>58341.325716918131</v>
      </c>
      <c r="AH51" s="54">
        <f t="shared" si="62"/>
        <v>60286.036574148733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2835.8665030303027</v>
      </c>
      <c r="E52" s="54">
        <f t="shared" ref="E52:AH52" si="63">D52+$AI$12/$AI$1</f>
        <v>5671.7330060606055</v>
      </c>
      <c r="F52" s="54">
        <f t="shared" si="63"/>
        <v>8507.5995090909091</v>
      </c>
      <c r="G52" s="54">
        <f t="shared" si="63"/>
        <v>11343.466012121211</v>
      </c>
      <c r="H52" s="54">
        <f t="shared" si="63"/>
        <v>14179.332515151513</v>
      </c>
      <c r="I52" s="54">
        <f t="shared" si="63"/>
        <v>17015.199018181815</v>
      </c>
      <c r="J52" s="54">
        <f t="shared" si="63"/>
        <v>19851.065521212116</v>
      </c>
      <c r="K52" s="54">
        <f t="shared" si="63"/>
        <v>22686.932024242418</v>
      </c>
      <c r="L52" s="54">
        <f t="shared" si="63"/>
        <v>25522.79852727272</v>
      </c>
      <c r="M52" s="54">
        <f t="shared" si="63"/>
        <v>28358.665030303022</v>
      </c>
      <c r="N52" s="54">
        <f t="shared" si="63"/>
        <v>31194.531533333324</v>
      </c>
      <c r="O52" s="54">
        <f t="shared" si="63"/>
        <v>34030.398036363629</v>
      </c>
      <c r="P52" s="54">
        <f t="shared" si="63"/>
        <v>36866.264539393931</v>
      </c>
      <c r="Q52" s="54">
        <f t="shared" si="63"/>
        <v>39702.131042424233</v>
      </c>
      <c r="R52" s="54">
        <f t="shared" si="63"/>
        <v>42537.997545454535</v>
      </c>
      <c r="S52" s="54">
        <f t="shared" si="63"/>
        <v>45373.864048484837</v>
      </c>
      <c r="T52" s="54">
        <f t="shared" si="63"/>
        <v>48209.730551515138</v>
      </c>
      <c r="U52" s="54">
        <f t="shared" si="63"/>
        <v>51045.59705454544</v>
      </c>
      <c r="V52" s="54">
        <f t="shared" si="63"/>
        <v>53881.463557575742</v>
      </c>
      <c r="W52" s="54">
        <f t="shared" si="63"/>
        <v>56717.330060606044</v>
      </c>
      <c r="X52" s="54">
        <f t="shared" si="63"/>
        <v>59553.196563636346</v>
      </c>
      <c r="Y52" s="54">
        <f t="shared" si="63"/>
        <v>62389.063066666648</v>
      </c>
      <c r="Z52" s="54">
        <f t="shared" si="63"/>
        <v>65224.929569696949</v>
      </c>
      <c r="AA52" s="54">
        <f t="shared" si="63"/>
        <v>68060.796072727258</v>
      </c>
      <c r="AB52" s="54">
        <f t="shared" si="63"/>
        <v>70896.662575757568</v>
      </c>
      <c r="AC52" s="54">
        <f t="shared" si="63"/>
        <v>73732.529078787877</v>
      </c>
      <c r="AD52" s="54">
        <f t="shared" si="63"/>
        <v>76568.395581818186</v>
      </c>
      <c r="AE52" s="54">
        <f t="shared" si="63"/>
        <v>79404.262084848495</v>
      </c>
      <c r="AF52" s="54">
        <f t="shared" si="63"/>
        <v>82240.128587878804</v>
      </c>
      <c r="AG52" s="54">
        <f t="shared" si="63"/>
        <v>85075.995090909113</v>
      </c>
      <c r="AH52" s="54">
        <f t="shared" si="63"/>
        <v>87911.861593939422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5" t="s">
        <v>57</v>
      </c>
      <c r="B2" s="212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9" t="s">
        <v>61</v>
      </c>
      <c r="CA2" s="220"/>
      <c r="CB2" s="220"/>
      <c r="CC2" s="220"/>
      <c r="CD2" s="220"/>
    </row>
    <row r="3" spans="1:82" ht="45" x14ac:dyDescent="0.35">
      <c r="A3" s="216"/>
      <c r="B3" s="213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8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17"/>
      <c r="B4" s="214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H9" activePane="bottomRight" state="frozen"/>
      <selection pane="topRight" activeCell="D1" sqref="D1"/>
      <selection pane="bottomLeft" activeCell="A10" sqref="A10"/>
      <selection pane="bottomRight" activeCell="O13" sqref="O13:O15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10688.79-584.08176</f>
        <v>10104.70824</v>
      </c>
      <c r="J5" s="8">
        <v>8008.23</v>
      </c>
      <c r="K5" s="8"/>
      <c r="L5" s="8">
        <v>7140.2709999999997</v>
      </c>
      <c r="M5" s="8">
        <v>11542.277000000002</v>
      </c>
      <c r="N5" s="8">
        <v>13035.490999999998</v>
      </c>
      <c r="O5" s="8">
        <v>27007.339000000004</v>
      </c>
      <c r="P5" s="8">
        <v>11778.205</v>
      </c>
      <c r="Q5" s="8">
        <f>Monthly!G5/4</f>
        <v>15244.067551923175</v>
      </c>
      <c r="R5" s="8">
        <f>Monthly!G5/4</f>
        <v>15244.067551923175</v>
      </c>
      <c r="S5" s="8">
        <f>Monthly!G5/4</f>
        <v>15244.067551923175</v>
      </c>
      <c r="T5" s="8">
        <f>Monthly!G5/4</f>
        <v>15244.067551923175</v>
      </c>
      <c r="U5" s="8">
        <f>Monthly!H5/5</f>
        <v>12290.044014765595</v>
      </c>
      <c r="V5" s="8">
        <f>Monthly!H5/5</f>
        <v>12290.044014765595</v>
      </c>
      <c r="W5" s="8">
        <f>Monthly!H5/5</f>
        <v>12290.044014765595</v>
      </c>
      <c r="X5" s="8">
        <f>Monthly!H5/5</f>
        <v>12290.044014765595</v>
      </c>
      <c r="Y5" s="8">
        <f>Monthly!H5/5</f>
        <v>12290.044014765595</v>
      </c>
      <c r="Z5" s="8">
        <f>Monthly!I5/4</f>
        <v>14621.455952083637</v>
      </c>
      <c r="AA5" s="8">
        <f>Monthly!I5/4</f>
        <v>14621.455952083637</v>
      </c>
      <c r="AB5" s="8">
        <f>Monthly!I5/4</f>
        <v>14621.455952083637</v>
      </c>
      <c r="AC5" s="8">
        <f>Monthly!I5/4</f>
        <v>14621.455952083637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v>21434.21</v>
      </c>
      <c r="J6" s="8">
        <v>18311.300000000003</v>
      </c>
      <c r="K6" s="8"/>
      <c r="L6" s="8">
        <v>17117.879999999997</v>
      </c>
      <c r="M6" s="8">
        <v>20003.509999999998</v>
      </c>
      <c r="N6" s="8">
        <v>11793.16</v>
      </c>
      <c r="O6" s="8">
        <v>32591.71</v>
      </c>
      <c r="P6" s="8">
        <v>15105.310000000001</v>
      </c>
      <c r="Q6" s="8">
        <f>Monthly!G6/4</f>
        <v>18141.760272727275</v>
      </c>
      <c r="R6" s="8">
        <f>Monthly!G6/4</f>
        <v>18141.760272727275</v>
      </c>
      <c r="S6" s="8">
        <f>Monthly!G6/4</f>
        <v>18141.760272727275</v>
      </c>
      <c r="T6" s="8">
        <f>Monthly!G6/4</f>
        <v>18141.760272727275</v>
      </c>
      <c r="U6" s="8">
        <f>Monthly!H6/5</f>
        <v>16128.085018181819</v>
      </c>
      <c r="V6" s="8">
        <f>Monthly!H6/5</f>
        <v>16128.085018181819</v>
      </c>
      <c r="W6" s="8">
        <f>Monthly!H6/5</f>
        <v>16128.085018181819</v>
      </c>
      <c r="X6" s="8">
        <f>Monthly!H6/5</f>
        <v>16128.085018181819</v>
      </c>
      <c r="Y6" s="8">
        <f>Monthly!H6/5</f>
        <v>16128.085018181819</v>
      </c>
      <c r="Z6" s="8">
        <f>Monthly!I6/4</f>
        <v>21173.506022727273</v>
      </c>
      <c r="AA6" s="8">
        <f>Monthly!I6/4</f>
        <v>21173.506022727273</v>
      </c>
      <c r="AB6" s="8">
        <f>Monthly!I6/4</f>
        <v>21173.506022727273</v>
      </c>
      <c r="AC6" s="8">
        <f>Monthly!I6/4</f>
        <v>21173.506022727273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v>3263.2300000000005</v>
      </c>
      <c r="J7" s="8">
        <v>5226.87</v>
      </c>
      <c r="K7" s="8"/>
      <c r="L7" s="8">
        <v>2565.46</v>
      </c>
      <c r="M7" s="8">
        <v>3982.2599999999998</v>
      </c>
      <c r="N7" s="8">
        <v>4803.5200000000004</v>
      </c>
      <c r="O7" s="8">
        <v>4052.35</v>
      </c>
      <c r="P7" s="8">
        <v>4422.76</v>
      </c>
      <c r="Q7" s="8">
        <f>Monthly!G7/4</f>
        <v>83.806250000000006</v>
      </c>
      <c r="R7" s="8">
        <f>Monthly!G7/4</f>
        <v>83.806250000000006</v>
      </c>
      <c r="S7" s="8">
        <f>Monthly!G7/4</f>
        <v>83.806250000000006</v>
      </c>
      <c r="T7" s="8">
        <f>Monthly!G7/4</f>
        <v>83.806250000000006</v>
      </c>
      <c r="U7" s="8">
        <f>Monthly!H7/5</f>
        <v>67.045000000000002</v>
      </c>
      <c r="V7" s="8">
        <f>Monthly!H7/5</f>
        <v>67.045000000000002</v>
      </c>
      <c r="W7" s="8">
        <f>Monthly!H7/5</f>
        <v>67.045000000000002</v>
      </c>
      <c r="X7" s="8">
        <f>Monthly!H7/5</f>
        <v>67.045000000000002</v>
      </c>
      <c r="Y7" s="8">
        <f>Monthly!H7/5</f>
        <v>67.045000000000002</v>
      </c>
      <c r="Z7" s="8">
        <f>Monthly!I7/4</f>
        <v>83.806250000000006</v>
      </c>
      <c r="AA7" s="8">
        <f>Monthly!I7/4</f>
        <v>83.806250000000006</v>
      </c>
      <c r="AB7" s="8">
        <f>Monthly!I7/4</f>
        <v>83.806250000000006</v>
      </c>
      <c r="AC7" s="8">
        <f>Monthly!I7/4</f>
        <v>83.806250000000006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34802.148240000002</v>
      </c>
      <c r="J8" s="76">
        <f t="shared" si="0"/>
        <v>31546.400000000001</v>
      </c>
      <c r="K8" s="76">
        <f t="shared" si="0"/>
        <v>0</v>
      </c>
      <c r="L8" s="76">
        <f t="shared" si="0"/>
        <v>26823.610999999997</v>
      </c>
      <c r="M8" s="76">
        <f t="shared" si="0"/>
        <v>35528.046999999999</v>
      </c>
      <c r="N8" s="76">
        <f t="shared" si="0"/>
        <v>29632.170999999998</v>
      </c>
      <c r="O8" s="76">
        <f t="shared" si="0"/>
        <v>63651.398999999998</v>
      </c>
      <c r="P8" s="76">
        <f t="shared" si="0"/>
        <v>31306.275000000001</v>
      </c>
      <c r="Q8" s="76">
        <f t="shared" si="0"/>
        <v>33469.63407465045</v>
      </c>
      <c r="R8" s="76">
        <f t="shared" si="0"/>
        <v>33469.63407465045</v>
      </c>
      <c r="S8" s="76">
        <f t="shared" si="0"/>
        <v>33469.63407465045</v>
      </c>
      <c r="T8" s="76">
        <f t="shared" si="0"/>
        <v>33469.63407465045</v>
      </c>
      <c r="U8" s="76">
        <f t="shared" si="0"/>
        <v>28485.174032947412</v>
      </c>
      <c r="V8" s="76">
        <f t="shared" si="0"/>
        <v>28485.174032947412</v>
      </c>
      <c r="W8" s="76">
        <f t="shared" si="0"/>
        <v>28485.174032947412</v>
      </c>
      <c r="X8" s="76">
        <f t="shared" si="0"/>
        <v>28485.174032947412</v>
      </c>
      <c r="Y8" s="76">
        <f t="shared" si="0"/>
        <v>28485.174032947412</v>
      </c>
      <c r="Z8" s="76">
        <f t="shared" si="0"/>
        <v>35878.768224810912</v>
      </c>
      <c r="AA8" s="76">
        <f t="shared" si="0"/>
        <v>35878.768224810912</v>
      </c>
      <c r="AB8" s="76">
        <f t="shared" si="0"/>
        <v>35878.768224810912</v>
      </c>
      <c r="AC8" s="76">
        <f t="shared" si="0"/>
        <v>35878.768224810912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1628676.5878591319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141131.71824000002</v>
      </c>
      <c r="J9" s="36">
        <f t="shared" si="2"/>
        <v>172678.11824000001</v>
      </c>
      <c r="K9" s="36">
        <f t="shared" si="2"/>
        <v>172678.11824000001</v>
      </c>
      <c r="L9" s="36">
        <f t="shared" si="2"/>
        <v>199501.72924000002</v>
      </c>
      <c r="M9" s="36">
        <f t="shared" si="2"/>
        <v>235029.77624000001</v>
      </c>
      <c r="N9" s="36">
        <f t="shared" si="2"/>
        <v>264661.94724000001</v>
      </c>
      <c r="O9" s="36">
        <f t="shared" si="2"/>
        <v>328313.34623999998</v>
      </c>
      <c r="P9" s="36">
        <f t="shared" si="2"/>
        <v>359619.62124000001</v>
      </c>
      <c r="Q9" s="36">
        <f t="shared" si="2"/>
        <v>393089.25531465048</v>
      </c>
      <c r="R9" s="36">
        <f t="shared" si="2"/>
        <v>426558.88938930095</v>
      </c>
      <c r="S9" s="36">
        <f t="shared" si="2"/>
        <v>460028.52346395142</v>
      </c>
      <c r="T9" s="36">
        <f t="shared" si="2"/>
        <v>493498.1575386019</v>
      </c>
      <c r="U9" s="36">
        <f t="shared" si="2"/>
        <v>521983.33157154929</v>
      </c>
      <c r="V9" s="36">
        <f t="shared" si="2"/>
        <v>550468.50560449669</v>
      </c>
      <c r="W9" s="36">
        <f t="shared" si="2"/>
        <v>578953.67963744409</v>
      </c>
      <c r="X9" s="36">
        <f t="shared" si="2"/>
        <v>607438.85367039149</v>
      </c>
      <c r="Y9" s="36">
        <f t="shared" si="2"/>
        <v>635924.02770333888</v>
      </c>
      <c r="Z9" s="36">
        <f t="shared" si="2"/>
        <v>671802.79592814983</v>
      </c>
      <c r="AA9" s="36">
        <f t="shared" si="2"/>
        <v>707681.56415296078</v>
      </c>
      <c r="AB9" s="36">
        <f t="shared" si="2"/>
        <v>743560.33237777173</v>
      </c>
      <c r="AC9" s="36">
        <f t="shared" si="2"/>
        <v>779439.10060258268</v>
      </c>
      <c r="AD9" s="36">
        <f t="shared" si="2"/>
        <v>807960.58837617468</v>
      </c>
      <c r="AE9" s="36">
        <f t="shared" si="2"/>
        <v>836482.07614976668</v>
      </c>
      <c r="AF9" s="36">
        <f t="shared" si="2"/>
        <v>865003.56392335868</v>
      </c>
      <c r="AG9" s="36">
        <f t="shared" si="2"/>
        <v>893525.05169695069</v>
      </c>
      <c r="AH9" s="36">
        <f t="shared" si="2"/>
        <v>922046.53947054269</v>
      </c>
      <c r="AI9" s="36">
        <f t="shared" si="2"/>
        <v>956647.52772007883</v>
      </c>
      <c r="AJ9" s="36">
        <f t="shared" si="2"/>
        <v>991248.51596961496</v>
      </c>
      <c r="AK9" s="36">
        <f t="shared" si="2"/>
        <v>1025849.5042191511</v>
      </c>
      <c r="AL9" s="36">
        <f t="shared" si="2"/>
        <v>1060450.4924686872</v>
      </c>
      <c r="AM9" s="36">
        <f t="shared" si="2"/>
        <v>1096800.462724258</v>
      </c>
      <c r="AN9" s="36">
        <f t="shared" si="2"/>
        <v>1133150.4329798287</v>
      </c>
      <c r="AO9" s="36">
        <f t="shared" si="2"/>
        <v>1169500.4032353994</v>
      </c>
      <c r="AP9" s="36">
        <f t="shared" si="2"/>
        <v>1205850.3734909701</v>
      </c>
      <c r="AQ9" s="36">
        <f t="shared" ref="AQ9" si="3">AP9+AQ8</f>
        <v>1232872.7880356028</v>
      </c>
      <c r="AR9" s="36">
        <f t="shared" ref="AR9" si="4">AQ9+AR8</f>
        <v>1259895.2025802354</v>
      </c>
      <c r="AS9" s="36">
        <f t="shared" ref="AS9" si="5">AR9+AS8</f>
        <v>1286917.6171248681</v>
      </c>
      <c r="AT9" s="36">
        <f t="shared" ref="AT9" si="6">AS9+AT8</f>
        <v>1313940.0316695007</v>
      </c>
      <c r="AU9" s="36">
        <f t="shared" ref="AU9" si="7">AT9+AU8</f>
        <v>1340962.4462141334</v>
      </c>
      <c r="AV9" s="36">
        <f t="shared" ref="AV9" si="8">AU9+AV8</f>
        <v>1376746.2045938401</v>
      </c>
      <c r="AW9" s="36">
        <f t="shared" ref="AW9" si="9">AV9+AW8</f>
        <v>1412529.9629735467</v>
      </c>
      <c r="AX9" s="36">
        <f t="shared" ref="AX9" si="10">AW9+AX8</f>
        <v>1448313.7213532533</v>
      </c>
      <c r="AY9" s="36">
        <f t="shared" ref="AY9" si="11">AX9+AY8</f>
        <v>1484097.47973296</v>
      </c>
      <c r="AZ9" s="36">
        <f t="shared" ref="AZ9" si="12">AY9+AZ8</f>
        <v>1520242.256764503</v>
      </c>
      <c r="BA9" s="36">
        <f t="shared" ref="BA9" si="13">AZ9+BA8</f>
        <v>1556387.0337960459</v>
      </c>
      <c r="BB9" s="36">
        <f t="shared" ref="BB9" si="14">BA9+BB8</f>
        <v>1592531.8108275889</v>
      </c>
      <c r="BC9" s="36">
        <f>BB9+BC8</f>
        <v>1628676.5878591319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0.97262317831644396</v>
      </c>
      <c r="BE10" s="99">
        <f>1-BD10</f>
        <v>2.7376821683556041E-2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">
        <f t="shared" si="15"/>
        <v>14</v>
      </c>
      <c r="R11" s="1">
        <f t="shared" si="15"/>
        <v>15</v>
      </c>
      <c r="S11" s="1">
        <f t="shared" si="15"/>
        <v>16</v>
      </c>
      <c r="T11" s="1">
        <f t="shared" si="15"/>
        <v>17</v>
      </c>
      <c r="U11" s="1">
        <f t="shared" si="15"/>
        <v>18</v>
      </c>
      <c r="V11" s="1">
        <f t="shared" si="15"/>
        <v>19</v>
      </c>
      <c r="W11" s="1">
        <f t="shared" si="15"/>
        <v>20</v>
      </c>
      <c r="X11" s="1">
        <f t="shared" si="15"/>
        <v>21</v>
      </c>
      <c r="Y11" s="1">
        <f t="shared" si="15"/>
        <v>22</v>
      </c>
      <c r="Z11" s="1">
        <f t="shared" si="15"/>
        <v>23</v>
      </c>
      <c r="AA11" s="1">
        <f t="shared" si="15"/>
        <v>24</v>
      </c>
      <c r="AB11" s="1">
        <f t="shared" si="15"/>
        <v>25</v>
      </c>
      <c r="AC11" s="1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387.72-51.706</f>
        <v>336.01400000000001</v>
      </c>
      <c r="J13" s="8">
        <v>254.18</v>
      </c>
      <c r="K13" s="8"/>
      <c r="L13" s="8">
        <v>219.83999999999997</v>
      </c>
      <c r="M13" s="8">
        <v>389.34899999999999</v>
      </c>
      <c r="N13" s="8">
        <v>514.4620000000001</v>
      </c>
      <c r="O13" s="8">
        <v>980.25200000000007</v>
      </c>
      <c r="P13" s="8">
        <v>377.75199999999995</v>
      </c>
      <c r="Q13" s="8">
        <f>Monthly!G12/4</f>
        <v>503.55787966918024</v>
      </c>
      <c r="R13" s="8">
        <f>Monthly!G12/4</f>
        <v>503.55787966918024</v>
      </c>
      <c r="S13" s="8">
        <f>Monthly!G12/4</f>
        <v>503.55787966918024</v>
      </c>
      <c r="T13" s="8">
        <f>Monthly!G12/4</f>
        <v>503.55787966918024</v>
      </c>
      <c r="U13" s="8">
        <f>Monthly!H12/5</f>
        <v>409.28728783650706</v>
      </c>
      <c r="V13" s="8">
        <f>Monthly!H12/5</f>
        <v>409.28728783650706</v>
      </c>
      <c r="W13" s="8">
        <f>Monthly!H12/5</f>
        <v>409.28728783650706</v>
      </c>
      <c r="X13" s="8">
        <f>Monthly!H12/5</f>
        <v>409.28728783650706</v>
      </c>
      <c r="Y13" s="8">
        <f>Monthly!H12/5</f>
        <v>409.28728783650706</v>
      </c>
      <c r="Z13" s="8">
        <f>Monthly!I12/4</f>
        <v>483.9880455568985</v>
      </c>
      <c r="AA13" s="8">
        <f>Monthly!I12/4</f>
        <v>483.9880455568985</v>
      </c>
      <c r="AB13" s="8">
        <f>Monthly!I12/4</f>
        <v>483.9880455568985</v>
      </c>
      <c r="AC13" s="8">
        <f>Monthly!I12/4</f>
        <v>483.9880455568985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v>728.35</v>
      </c>
      <c r="J14" s="8">
        <v>660</v>
      </c>
      <c r="K14" s="8"/>
      <c r="L14" s="8">
        <v>638</v>
      </c>
      <c r="M14" s="8">
        <v>681</v>
      </c>
      <c r="N14" s="8">
        <v>418</v>
      </c>
      <c r="O14" s="8">
        <v>1142</v>
      </c>
      <c r="P14" s="8">
        <v>528</v>
      </c>
      <c r="Q14" s="8">
        <f>Monthly!G13/4</f>
        <v>592.25</v>
      </c>
      <c r="R14" s="8">
        <f>Monthly!G13/4</f>
        <v>592.25</v>
      </c>
      <c r="S14" s="8">
        <f>Monthly!G13/4</f>
        <v>592.25</v>
      </c>
      <c r="T14" s="8">
        <f>Monthly!G13/4</f>
        <v>592.25</v>
      </c>
      <c r="U14" s="8">
        <f>Monthly!H13/5</f>
        <v>521.20000000000005</v>
      </c>
      <c r="V14" s="8">
        <f>Monthly!H13/5</f>
        <v>521.20000000000005</v>
      </c>
      <c r="W14" s="8">
        <f>Monthly!H13/5</f>
        <v>521.20000000000005</v>
      </c>
      <c r="X14" s="8">
        <f>Monthly!H13/5</f>
        <v>521.20000000000005</v>
      </c>
      <c r="Y14" s="8">
        <f>Monthly!H13/5</f>
        <v>521.20000000000005</v>
      </c>
      <c r="Z14" s="8">
        <f>Monthly!I13/4</f>
        <v>686.25</v>
      </c>
      <c r="AA14" s="8">
        <f>Monthly!I13/4</f>
        <v>686.25</v>
      </c>
      <c r="AB14" s="8">
        <f>Monthly!I13/4</f>
        <v>686.25</v>
      </c>
      <c r="AC14" s="8">
        <f>Monthly!I13/4</f>
        <v>686.25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v>99.4</v>
      </c>
      <c r="J15" s="8">
        <v>154</v>
      </c>
      <c r="K15" s="8"/>
      <c r="L15" s="8">
        <v>77</v>
      </c>
      <c r="M15" s="8">
        <f>139.95-11</f>
        <v>128.94999999999999</v>
      </c>
      <c r="N15" s="8">
        <v>143</v>
      </c>
      <c r="O15" s="8">
        <v>126.5</v>
      </c>
      <c r="P15" s="8">
        <v>139.69999999999999</v>
      </c>
      <c r="Q15" s="8">
        <f>Monthly!G14/4</f>
        <v>2.75</v>
      </c>
      <c r="R15" s="8">
        <f>Monthly!G14/4</f>
        <v>2.75</v>
      </c>
      <c r="S15" s="8">
        <f>Monthly!G14/4</f>
        <v>2.75</v>
      </c>
      <c r="T15" s="8">
        <f>Monthly!G14/4</f>
        <v>2.75</v>
      </c>
      <c r="U15" s="8">
        <f>Monthly!H14/5</f>
        <v>2.2000000000000002</v>
      </c>
      <c r="V15" s="8">
        <f>Monthly!H14/5</f>
        <v>2.2000000000000002</v>
      </c>
      <c r="W15" s="8">
        <f>Monthly!H14/5</f>
        <v>2.2000000000000002</v>
      </c>
      <c r="X15" s="8">
        <f>Monthly!H14/5</f>
        <v>2.2000000000000002</v>
      </c>
      <c r="Y15" s="8">
        <f>Monthly!H14/5</f>
        <v>2.2000000000000002</v>
      </c>
      <c r="Z15" s="8">
        <f>Monthly!I14/4</f>
        <v>2.75</v>
      </c>
      <c r="AA15" s="8">
        <f>Monthly!I14/4</f>
        <v>2.75</v>
      </c>
      <c r="AB15" s="8">
        <f>Monthly!I14/4</f>
        <v>2.75</v>
      </c>
      <c r="AC15" s="8">
        <f>Monthly!I14/4</f>
        <v>2.75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1163.7640000000001</v>
      </c>
      <c r="J16" s="76">
        <f t="shared" si="17"/>
        <v>1068.18</v>
      </c>
      <c r="K16" s="76">
        <f t="shared" si="17"/>
        <v>0</v>
      </c>
      <c r="L16" s="76">
        <f t="shared" si="17"/>
        <v>934.83999999999992</v>
      </c>
      <c r="M16" s="76">
        <f t="shared" si="17"/>
        <v>1199.299</v>
      </c>
      <c r="N16" s="76">
        <f t="shared" si="17"/>
        <v>1075.462</v>
      </c>
      <c r="O16" s="76">
        <f t="shared" si="17"/>
        <v>2248.752</v>
      </c>
      <c r="P16" s="76">
        <f t="shared" si="17"/>
        <v>1045.452</v>
      </c>
      <c r="Q16" s="76">
        <f t="shared" si="17"/>
        <v>1098.5578796691802</v>
      </c>
      <c r="R16" s="76">
        <f t="shared" si="17"/>
        <v>1098.5578796691802</v>
      </c>
      <c r="S16" s="76">
        <f t="shared" si="17"/>
        <v>1098.5578796691802</v>
      </c>
      <c r="T16" s="76">
        <f t="shared" si="17"/>
        <v>1098.5578796691802</v>
      </c>
      <c r="U16" s="76">
        <f t="shared" si="17"/>
        <v>932.68728783650715</v>
      </c>
      <c r="V16" s="76">
        <f t="shared" si="17"/>
        <v>932.68728783650715</v>
      </c>
      <c r="W16" s="76">
        <f t="shared" si="17"/>
        <v>932.68728783650715</v>
      </c>
      <c r="X16" s="76">
        <f t="shared" si="17"/>
        <v>932.68728783650715</v>
      </c>
      <c r="Y16" s="76">
        <f t="shared" si="17"/>
        <v>932.68728783650715</v>
      </c>
      <c r="Z16" s="76">
        <f t="shared" si="17"/>
        <v>1172.9880455568984</v>
      </c>
      <c r="AA16" s="76">
        <f t="shared" si="17"/>
        <v>1172.9880455568984</v>
      </c>
      <c r="AB16" s="76">
        <f t="shared" si="17"/>
        <v>1172.9880455568984</v>
      </c>
      <c r="AC16" s="76">
        <f t="shared" si="17"/>
        <v>1172.9880455568984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53998.634098210794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4676.7440000000006</v>
      </c>
      <c r="J17" s="66">
        <f t="shared" si="19"/>
        <v>5744.9240000000009</v>
      </c>
      <c r="K17" s="66">
        <f t="shared" si="19"/>
        <v>5744.9240000000009</v>
      </c>
      <c r="L17" s="66">
        <f t="shared" si="19"/>
        <v>6679.764000000001</v>
      </c>
      <c r="M17" s="66">
        <f t="shared" si="19"/>
        <v>7879.063000000001</v>
      </c>
      <c r="N17" s="66">
        <f t="shared" si="19"/>
        <v>8954.5250000000015</v>
      </c>
      <c r="O17" s="66">
        <f t="shared" si="19"/>
        <v>11203.277000000002</v>
      </c>
      <c r="P17" s="66">
        <f t="shared" si="19"/>
        <v>12248.729000000001</v>
      </c>
      <c r="Q17" s="66">
        <f t="shared" si="19"/>
        <v>13347.286879669182</v>
      </c>
      <c r="R17" s="66">
        <f t="shared" si="19"/>
        <v>14445.844759338363</v>
      </c>
      <c r="S17" s="66">
        <f>R17+S16</f>
        <v>15544.402639007543</v>
      </c>
      <c r="T17" s="66">
        <f t="shared" ref="T17" si="20">S17+T16</f>
        <v>16642.960518676722</v>
      </c>
      <c r="U17" s="66">
        <f t="shared" ref="U17" si="21">T17+U16</f>
        <v>17575.647806513229</v>
      </c>
      <c r="V17" s="66">
        <f t="shared" ref="V17" si="22">U17+V16</f>
        <v>18508.335094349735</v>
      </c>
      <c r="W17" s="66">
        <f t="shared" ref="W17" si="23">V17+W16</f>
        <v>19441.022382186242</v>
      </c>
      <c r="X17" s="66">
        <f t="shared" ref="X17" si="24">W17+X16</f>
        <v>20373.709670022748</v>
      </c>
      <c r="Y17" s="66">
        <f t="shared" ref="Y17" si="25">X17+Y16</f>
        <v>21306.396957859255</v>
      </c>
      <c r="Z17" s="66">
        <f t="shared" ref="Z17:AP17" si="26">Y17+Z16</f>
        <v>22479.385003416155</v>
      </c>
      <c r="AA17" s="66">
        <f t="shared" si="26"/>
        <v>23652.373048973055</v>
      </c>
      <c r="AB17" s="66">
        <f t="shared" si="26"/>
        <v>24825.361094529955</v>
      </c>
      <c r="AC17" s="66">
        <f t="shared" si="26"/>
        <v>25998.349140086855</v>
      </c>
      <c r="AD17" s="66">
        <f t="shared" si="26"/>
        <v>26936.233643481508</v>
      </c>
      <c r="AE17" s="66">
        <f t="shared" si="26"/>
        <v>27874.118146876161</v>
      </c>
      <c r="AF17" s="66">
        <f t="shared" si="26"/>
        <v>28812.002650270813</v>
      </c>
      <c r="AG17" s="66">
        <f t="shared" si="26"/>
        <v>29749.887153665466</v>
      </c>
      <c r="AH17" s="66">
        <f t="shared" si="26"/>
        <v>30687.771657060119</v>
      </c>
      <c r="AI17" s="66">
        <f t="shared" si="26"/>
        <v>31828.484031787302</v>
      </c>
      <c r="AJ17" s="66">
        <f t="shared" si="26"/>
        <v>32969.196406514486</v>
      </c>
      <c r="AK17" s="66">
        <f t="shared" si="26"/>
        <v>34109.908781241669</v>
      </c>
      <c r="AL17" s="66">
        <f t="shared" si="26"/>
        <v>35250.621155968853</v>
      </c>
      <c r="AM17" s="66">
        <f t="shared" si="26"/>
        <v>36444.276931441076</v>
      </c>
      <c r="AN17" s="66">
        <f t="shared" si="26"/>
        <v>37637.9327069133</v>
      </c>
      <c r="AO17" s="66">
        <f t="shared" si="26"/>
        <v>38831.588482385523</v>
      </c>
      <c r="AP17" s="66">
        <f t="shared" si="26"/>
        <v>40025.244257857747</v>
      </c>
      <c r="AQ17" s="66">
        <f t="shared" ref="AQ17" si="27">AP17+AQ16</f>
        <v>40918.969517343459</v>
      </c>
      <c r="AR17" s="66">
        <f t="shared" ref="AR17" si="28">AQ17+AR16</f>
        <v>41812.694776829172</v>
      </c>
      <c r="AS17" s="66">
        <f t="shared" ref="AS17" si="29">AR17+AS16</f>
        <v>42706.420036314885</v>
      </c>
      <c r="AT17" s="66">
        <f t="shared" ref="AT17" si="30">AS17+AT16</f>
        <v>43600.145295800598</v>
      </c>
      <c r="AU17" s="66">
        <f t="shared" ref="AU17" si="31">AT17+AU16</f>
        <v>44493.87055528631</v>
      </c>
      <c r="AV17" s="66">
        <f t="shared" ref="AV17" si="32">AU17+AV16</f>
        <v>45673.931336374924</v>
      </c>
      <c r="AW17" s="66">
        <f t="shared" ref="AW17" si="33">AV17+AW16</f>
        <v>46853.992117463538</v>
      </c>
      <c r="AX17" s="66">
        <f t="shared" ref="AX17" si="34">AW17+AX16</f>
        <v>48034.052898552152</v>
      </c>
      <c r="AY17" s="66">
        <f t="shared" ref="AY17" si="35">AX17+AY16</f>
        <v>49214.113679640766</v>
      </c>
      <c r="AZ17" s="66">
        <f t="shared" ref="AZ17" si="36">AY17+AZ16</f>
        <v>50410.243784283273</v>
      </c>
      <c r="BA17" s="66">
        <f t="shared" ref="BA17" si="37">AZ17+BA16</f>
        <v>51606.37388892578</v>
      </c>
      <c r="BB17" s="66">
        <f t="shared" ref="BB17" si="38">BA17+BB16</f>
        <v>52802.503993568287</v>
      </c>
      <c r="BC17" s="66">
        <f>BB17+BC16</f>
        <v>53998.634098210794</v>
      </c>
      <c r="BD17" s="132">
        <f>BD1</f>
        <v>55000.000002186731</v>
      </c>
      <c r="BE17" s="100">
        <f>BD16/BD17</f>
        <v>0.9817933472011614</v>
      </c>
      <c r="BF17" s="100">
        <f>1-BE17</f>
        <v>1.8206652798838596E-2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">
        <f t="shared" si="41"/>
        <v>14</v>
      </c>
      <c r="R19" s="1">
        <f t="shared" si="41"/>
        <v>15</v>
      </c>
      <c r="S19" s="1">
        <f t="shared" si="41"/>
        <v>16</v>
      </c>
      <c r="T19" s="1">
        <f t="shared" si="41"/>
        <v>17</v>
      </c>
      <c r="U19" s="1">
        <f t="shared" si="41"/>
        <v>18</v>
      </c>
      <c r="V19" s="1">
        <f t="shared" si="41"/>
        <v>19</v>
      </c>
      <c r="W19" s="1">
        <f t="shared" si="41"/>
        <v>20</v>
      </c>
      <c r="X19" s="1">
        <f t="shared" si="41"/>
        <v>21</v>
      </c>
      <c r="Y19" s="1">
        <f>Y11</f>
        <v>22</v>
      </c>
      <c r="Z19" s="1">
        <f t="shared" si="41"/>
        <v>23</v>
      </c>
      <c r="AA19" s="1">
        <f t="shared" si="41"/>
        <v>24</v>
      </c>
      <c r="AB19" s="1">
        <f t="shared" si="41"/>
        <v>25</v>
      </c>
      <c r="AC19" s="1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30.072283416762396</v>
      </c>
      <c r="J21" s="58">
        <f t="shared" si="43"/>
        <v>31.506137382956958</v>
      </c>
      <c r="K21" s="58" t="str">
        <f t="shared" si="43"/>
        <v xml:space="preserve"> </v>
      </c>
      <c r="L21" s="58">
        <f t="shared" si="43"/>
        <v>32.479398653566236</v>
      </c>
      <c r="M21" s="58">
        <f t="shared" si="43"/>
        <v>29.645066508453862</v>
      </c>
      <c r="N21" s="58">
        <f t="shared" si="43"/>
        <v>25.338102717013104</v>
      </c>
      <c r="O21" s="58">
        <f t="shared" si="43"/>
        <v>27.551424531651048</v>
      </c>
      <c r="P21" s="58">
        <f t="shared" si="43"/>
        <v>31.17972902856901</v>
      </c>
      <c r="Q21" s="58">
        <f t="shared" si="43"/>
        <v>30.272721701699894</v>
      </c>
      <c r="R21" s="58">
        <f t="shared" si="43"/>
        <v>30.272721701699894</v>
      </c>
      <c r="S21" s="58">
        <f t="shared" si="43"/>
        <v>30.272721701699894</v>
      </c>
      <c r="T21" s="58">
        <f t="shared" si="43"/>
        <v>30.272721701699894</v>
      </c>
      <c r="U21" s="58">
        <f t="shared" si="43"/>
        <v>30.02791530548329</v>
      </c>
      <c r="V21" s="58">
        <f t="shared" si="43"/>
        <v>30.02791530548329</v>
      </c>
      <c r="W21" s="58">
        <f t="shared" si="43"/>
        <v>30.02791530548329</v>
      </c>
      <c r="X21" s="58">
        <f t="shared" si="43"/>
        <v>30.02791530548329</v>
      </c>
      <c r="Y21" s="58">
        <f t="shared" si="43"/>
        <v>30.02791530548329</v>
      </c>
      <c r="Z21" s="58">
        <f t="shared" si="43"/>
        <v>30.21036590947103</v>
      </c>
      <c r="AA21" s="58">
        <f t="shared" si="43"/>
        <v>30.21036590947103</v>
      </c>
      <c r="AB21" s="58">
        <f t="shared" si="43"/>
        <v>30.21036590947103</v>
      </c>
      <c r="AC21" s="58">
        <f t="shared" si="43"/>
        <v>30.21036590947103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29.428447861604994</v>
      </c>
      <c r="J22" s="58">
        <f t="shared" si="46"/>
        <v>27.744393939393944</v>
      </c>
      <c r="K22" s="58" t="str">
        <f t="shared" si="46"/>
        <v xml:space="preserve"> </v>
      </c>
      <c r="L22" s="58">
        <f t="shared" si="45"/>
        <v>26.830532915360497</v>
      </c>
      <c r="M22" s="58">
        <f t="shared" si="45"/>
        <v>29.373729809104255</v>
      </c>
      <c r="N22" s="58">
        <f t="shared" si="45"/>
        <v>28.213301435406699</v>
      </c>
      <c r="O22" s="58">
        <f t="shared" si="45"/>
        <v>28.53915061295972</v>
      </c>
      <c r="P22" s="58">
        <f t="shared" si="45"/>
        <v>28.608541666666667</v>
      </c>
      <c r="Q22" s="58">
        <f t="shared" si="45"/>
        <v>30.63192954449519</v>
      </c>
      <c r="R22" s="58">
        <f t="shared" si="45"/>
        <v>30.63192954449519</v>
      </c>
      <c r="S22" s="58">
        <f t="shared" si="45"/>
        <v>30.63192954449519</v>
      </c>
      <c r="T22" s="58">
        <f t="shared" si="45"/>
        <v>30.63192954449519</v>
      </c>
      <c r="U22" s="58">
        <f t="shared" si="45"/>
        <v>30.944138561361889</v>
      </c>
      <c r="V22" s="58">
        <f t="shared" si="45"/>
        <v>30.944138561361889</v>
      </c>
      <c r="W22" s="58">
        <f t="shared" si="45"/>
        <v>30.944138561361889</v>
      </c>
      <c r="X22" s="58">
        <f t="shared" si="45"/>
        <v>30.944138561361889</v>
      </c>
      <c r="Y22" s="58">
        <f t="shared" si="45"/>
        <v>30.944138561361889</v>
      </c>
      <c r="Z22" s="58">
        <f t="shared" si="45"/>
        <v>30.853924987580726</v>
      </c>
      <c r="AA22" s="58">
        <f t="shared" si="45"/>
        <v>30.853924987580726</v>
      </c>
      <c r="AB22" s="58">
        <f t="shared" si="45"/>
        <v>30.853924987580726</v>
      </c>
      <c r="AC22" s="58">
        <f t="shared" si="45"/>
        <v>30.853924987580726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32.829275653923546</v>
      </c>
      <c r="J23" s="58">
        <f t="shared" si="49"/>
        <v>33.940714285714286</v>
      </c>
      <c r="K23" s="58" t="str">
        <f t="shared" si="49"/>
        <v/>
      </c>
      <c r="L23" s="58">
        <f t="shared" si="49"/>
        <v>33.317662337662341</v>
      </c>
      <c r="M23" s="58">
        <f t="shared" si="49"/>
        <v>30.882202404032572</v>
      </c>
      <c r="N23" s="58">
        <f t="shared" si="49"/>
        <v>33.591048951048954</v>
      </c>
      <c r="O23" s="58">
        <f t="shared" si="49"/>
        <v>32.034387351778655</v>
      </c>
      <c r="P23" s="58">
        <f t="shared" si="49"/>
        <v>31.658983536148895</v>
      </c>
      <c r="Q23" s="58">
        <f t="shared" si="49"/>
        <v>30.475000000000001</v>
      </c>
      <c r="R23" s="58">
        <f t="shared" si="49"/>
        <v>30.475000000000001</v>
      </c>
      <c r="S23" s="58">
        <f t="shared" si="49"/>
        <v>30.475000000000001</v>
      </c>
      <c r="T23" s="58">
        <f t="shared" si="49"/>
        <v>30.475000000000001</v>
      </c>
      <c r="U23" s="58">
        <f t="shared" si="49"/>
        <v>30.474999999999998</v>
      </c>
      <c r="V23" s="58">
        <f t="shared" si="49"/>
        <v>30.474999999999998</v>
      </c>
      <c r="W23" s="58">
        <f t="shared" si="49"/>
        <v>30.474999999999998</v>
      </c>
      <c r="X23" s="58">
        <f t="shared" si="49"/>
        <v>30.474999999999998</v>
      </c>
      <c r="Y23" s="58">
        <f t="shared" si="49"/>
        <v>30.474999999999998</v>
      </c>
      <c r="Z23" s="58">
        <f t="shared" si="49"/>
        <v>30.475000000000001</v>
      </c>
      <c r="AA23" s="58">
        <f t="shared" si="49"/>
        <v>30.475000000000001</v>
      </c>
      <c r="AB23" s="58">
        <f t="shared" si="49"/>
        <v>30.475000000000001</v>
      </c>
      <c r="AC23" s="58">
        <f t="shared" si="49"/>
        <v>30.475000000000001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29.631703289476153</v>
      </c>
      <c r="J24" s="78">
        <f t="shared" si="50"/>
        <v>28.790314817650792</v>
      </c>
      <c r="K24" s="78" t="e">
        <f t="shared" si="50"/>
        <v>#DIV/0!</v>
      </c>
      <c r="L24" s="78">
        <f t="shared" si="50"/>
        <v>28.278176583045791</v>
      </c>
      <c r="M24" s="78">
        <f t="shared" si="50"/>
        <v>29.472430954763354</v>
      </c>
      <c r="N24" s="78">
        <f t="shared" si="50"/>
        <v>26.626984263165678</v>
      </c>
      <c r="O24" s="78">
        <f t="shared" si="50"/>
        <v>28.082927475153753</v>
      </c>
      <c r="P24" s="78">
        <f t="shared" si="50"/>
        <v>29.680878430298801</v>
      </c>
      <c r="Q24" s="78">
        <f t="shared" si="50"/>
        <v>30.466862343360305</v>
      </c>
      <c r="R24" s="78">
        <f t="shared" si="50"/>
        <v>30.466862343360305</v>
      </c>
      <c r="S24" s="78">
        <f t="shared" si="50"/>
        <v>30.466862343360305</v>
      </c>
      <c r="T24" s="78">
        <f t="shared" si="50"/>
        <v>30.466862343360305</v>
      </c>
      <c r="U24" s="78">
        <f t="shared" si="50"/>
        <v>30.541125498901678</v>
      </c>
      <c r="V24" s="78">
        <f t="shared" si="50"/>
        <v>30.541125498901678</v>
      </c>
      <c r="W24" s="78">
        <f t="shared" si="50"/>
        <v>30.541125498901678</v>
      </c>
      <c r="X24" s="78">
        <f t="shared" si="50"/>
        <v>30.541125498901678</v>
      </c>
      <c r="Y24" s="78">
        <f t="shared" si="50"/>
        <v>30.541125498901678</v>
      </c>
      <c r="Z24" s="78">
        <f t="shared" si="50"/>
        <v>30.587761277045676</v>
      </c>
      <c r="AA24" s="78">
        <f t="shared" si="50"/>
        <v>30.587761277045676</v>
      </c>
      <c r="AB24" s="78">
        <f t="shared" si="50"/>
        <v>30.587761277045676</v>
      </c>
      <c r="AC24" s="78">
        <f t="shared" si="50"/>
        <v>30.587761277045676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15" activePane="bottomRight" state="frozen"/>
      <selection pane="topRight" activeCell="D1" sqref="D1"/>
      <selection pane="bottomLeft" activeCell="A4" sqref="A4"/>
      <selection pane="bottomRight" activeCell="I26" sqref="I26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" t="s">
        <v>31</v>
      </c>
      <c r="H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38113.06</v>
      </c>
      <c r="E19" s="8">
        <v>25253.222000000002</v>
      </c>
      <c r="F19" s="8">
        <f>Daily!AI6</f>
        <v>66434.883999999991</v>
      </c>
      <c r="G19" s="8"/>
      <c r="H19" s="8"/>
      <c r="I19" s="8"/>
      <c r="J19" s="8"/>
      <c r="K19" s="8"/>
      <c r="L19" s="8"/>
      <c r="M19" s="8"/>
      <c r="N19" s="8"/>
      <c r="O19" s="8"/>
      <c r="P19" s="8">
        <f t="shared" ref="P19:P20" si="8">SUM(D19:O19)</f>
        <v>129801.166</v>
      </c>
    </row>
    <row r="20" spans="2:17" x14ac:dyDescent="0.45">
      <c r="B20" s="2"/>
      <c r="C20" s="3" t="s">
        <v>4</v>
      </c>
      <c r="D20" s="8">
        <v>53472.090000000011</v>
      </c>
      <c r="E20" s="8">
        <v>56863.39</v>
      </c>
      <c r="F20" s="8">
        <f>Daily!AI7</f>
        <v>80759.629999999976</v>
      </c>
      <c r="G20" s="8"/>
      <c r="H20" s="8"/>
      <c r="I20" s="8"/>
      <c r="J20" s="8"/>
      <c r="K20" s="8"/>
      <c r="L20" s="8"/>
      <c r="M20" s="8"/>
      <c r="N20" s="8"/>
      <c r="O20" s="8"/>
      <c r="P20" s="8">
        <f t="shared" si="8"/>
        <v>191095.11</v>
      </c>
    </row>
    <row r="21" spans="2:17" x14ac:dyDescent="0.45">
      <c r="B21" s="29"/>
      <c r="C21" s="30" t="s">
        <v>5</v>
      </c>
      <c r="D21" s="8">
        <v>14744.419999999998</v>
      </c>
      <c r="E21" s="8">
        <v>11055.560000000001</v>
      </c>
      <c r="F21" s="8">
        <f>Daily!AI8</f>
        <v>17967.329999999998</v>
      </c>
      <c r="G21" s="31"/>
      <c r="H21" s="8"/>
      <c r="I21" s="31"/>
      <c r="J21" s="31"/>
      <c r="K21" s="31"/>
      <c r="L21" s="8"/>
      <c r="M21" s="8"/>
      <c r="N21" s="8"/>
      <c r="O21" s="8"/>
      <c r="P21" s="31">
        <f>SUM(D21:O21)</f>
        <v>43767.31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93172.171999999991</v>
      </c>
      <c r="F22" s="75">
        <f t="shared" si="9"/>
        <v>165161.84399999995</v>
      </c>
      <c r="G22" s="75">
        <f t="shared" si="9"/>
        <v>0</v>
      </c>
      <c r="H22" s="75">
        <f t="shared" si="9"/>
        <v>0</v>
      </c>
      <c r="I22" s="75">
        <f t="shared" si="9"/>
        <v>0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364663.58599999995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" t="str">
        <f t="shared" si="10"/>
        <v>T04</v>
      </c>
      <c r="H24" s="1" t="str">
        <f t="shared" si="10"/>
        <v>T05</v>
      </c>
      <c r="I24" s="1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1166.6699999999998</v>
      </c>
      <c r="E26" s="8">
        <v>810.02999999999986</v>
      </c>
      <c r="F26" s="8">
        <f>Daily!AI21</f>
        <v>2361.0880000000002</v>
      </c>
      <c r="G26" s="8"/>
      <c r="H26" s="8"/>
      <c r="I26" s="8"/>
      <c r="J26" s="8"/>
      <c r="K26" s="8"/>
      <c r="L26" s="8"/>
      <c r="M26" s="8"/>
      <c r="N26" s="8"/>
      <c r="O26" s="8"/>
      <c r="P26" s="8">
        <f>SUM(D26:O26)</f>
        <v>4337.7880000000005</v>
      </c>
    </row>
    <row r="27" spans="2:17" x14ac:dyDescent="0.45">
      <c r="B27" s="2"/>
      <c r="C27" s="3" t="s">
        <v>4</v>
      </c>
      <c r="D27" s="8">
        <v>1893</v>
      </c>
      <c r="E27" s="8">
        <v>2026.35</v>
      </c>
      <c r="F27" s="8">
        <f>Daily!AI22</f>
        <v>2813</v>
      </c>
      <c r="G27" s="8"/>
      <c r="H27" s="8"/>
      <c r="I27" s="8"/>
      <c r="J27" s="8"/>
      <c r="K27" s="8"/>
      <c r="L27" s="8"/>
      <c r="M27" s="8"/>
      <c r="N27" s="8"/>
      <c r="O27" s="8"/>
      <c r="P27" s="8">
        <f t="shared" ref="P27:P28" si="11">SUM(D27:O27)</f>
        <v>6732.35</v>
      </c>
    </row>
    <row r="28" spans="2:17" x14ac:dyDescent="0.45">
      <c r="B28" s="29"/>
      <c r="C28" s="30" t="s">
        <v>5</v>
      </c>
      <c r="D28" s="8">
        <v>453.31</v>
      </c>
      <c r="E28" s="8">
        <v>330.4</v>
      </c>
      <c r="F28" s="8">
        <f>Daily!AI23</f>
        <v>560.15</v>
      </c>
      <c r="G28" s="8"/>
      <c r="H28" s="8"/>
      <c r="I28" s="8"/>
      <c r="J28" s="8"/>
      <c r="K28" s="8"/>
      <c r="L28" s="8"/>
      <c r="M28" s="8"/>
      <c r="N28" s="8"/>
      <c r="O28" s="8"/>
      <c r="P28" s="8">
        <f t="shared" si="11"/>
        <v>1343.8600000000001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3166.7799999999997</v>
      </c>
      <c r="F29" s="75">
        <f t="shared" si="12"/>
        <v>5734.2379999999994</v>
      </c>
      <c r="G29" s="75">
        <f t="shared" si="12"/>
        <v>0</v>
      </c>
      <c r="H29" s="75">
        <f t="shared" si="12"/>
        <v>0</v>
      </c>
      <c r="I29" s="75">
        <f t="shared" si="12"/>
        <v>0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12413.998000000001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" t="str">
        <f t="shared" si="13"/>
        <v>T04</v>
      </c>
      <c r="H31" s="1" t="str">
        <f t="shared" si="13"/>
        <v>T05</v>
      </c>
      <c r="I31" s="1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>
        <f t="shared" ref="E33:F33" si="15">IFERROR(E19/E26," ")</f>
        <v>31.175662629779151</v>
      </c>
      <c r="F33" s="58">
        <f t="shared" si="15"/>
        <v>28.137402756695213</v>
      </c>
      <c r="G33" s="58" t="str">
        <f t="shared" si="14"/>
        <v xml:space="preserve"> </v>
      </c>
      <c r="H33" s="58" t="str">
        <f t="shared" si="14"/>
        <v xml:space="preserve"> </v>
      </c>
      <c r="I33" s="58" t="str">
        <f t="shared" si="14"/>
        <v xml:space="preserve"> 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29.923354022833752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>
        <f t="shared" ref="E34:F34" si="17">IFERROR(E20/E27," ")</f>
        <v>28.061978434130335</v>
      </c>
      <c r="F34" s="58">
        <f t="shared" si="17"/>
        <v>28.709431212228928</v>
      </c>
      <c r="G34" s="58" t="str">
        <f t="shared" si="14"/>
        <v xml:space="preserve"> </v>
      </c>
      <c r="H34" s="58" t="str">
        <f t="shared" si="14"/>
        <v xml:space="preserve"> </v>
      </c>
      <c r="I34" s="58" t="str">
        <f t="shared" si="14"/>
        <v xml:space="preserve"> 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28.384607157976038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>
        <f t="shared" ref="E35:F35" si="19">IFERROR(E21/E28," ")</f>
        <v>33.461138014527855</v>
      </c>
      <c r="F35" s="58">
        <f t="shared" si="19"/>
        <v>32.075926091225561</v>
      </c>
      <c r="G35" s="58" t="str">
        <f t="shared" si="14"/>
        <v xml:space="preserve"> </v>
      </c>
      <c r="H35" s="58" t="str">
        <f t="shared" si="14"/>
        <v xml:space="preserve"> </v>
      </c>
      <c r="I35" s="58" t="str">
        <f t="shared" si="14"/>
        <v xml:space="preserve"> 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32.568355334633068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>
        <f>IFERROR(SUM(E19:E20)/SUM(E26:E27),"")</f>
        <v>28.951202589215832</v>
      </c>
      <c r="F36" s="77">
        <f>IFERROR(SUM(F19:F20)/SUM(F26:F27),"")</f>
        <v>28.448397862579835</v>
      </c>
      <c r="G36" s="77" t="str">
        <f>IFERROR(SUM(G19:G20)/SUM(G26:G27),"")</f>
        <v/>
      </c>
      <c r="H36" s="77" t="str">
        <f t="shared" ref="H36:O36" si="21">IFERROR(SUM(H19:H20)/SUM(H26:H27),"")</f>
        <v/>
      </c>
      <c r="I36" s="77" t="str">
        <f t="shared" si="21"/>
        <v/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28.98755878201337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199501.742</v>
      </c>
      <c r="F38" s="36">
        <f t="shared" si="22"/>
        <v>364663.58599999995</v>
      </c>
      <c r="G38" s="36">
        <f t="shared" si="22"/>
        <v>364663.58599999995</v>
      </c>
      <c r="H38" s="36">
        <f t="shared" si="22"/>
        <v>364663.58599999995</v>
      </c>
      <c r="I38" s="36">
        <f t="shared" si="22"/>
        <v>364663.58599999995</v>
      </c>
      <c r="J38" s="36">
        <f t="shared" si="22"/>
        <v>364663.58599999995</v>
      </c>
      <c r="K38" s="36">
        <f t="shared" si="22"/>
        <v>364663.58599999995</v>
      </c>
      <c r="L38" s="36">
        <f t="shared" si="22"/>
        <v>364663.58599999995</v>
      </c>
      <c r="M38" s="36">
        <f t="shared" si="22"/>
        <v>364663.58599999995</v>
      </c>
      <c r="N38" s="36">
        <f t="shared" si="22"/>
        <v>364663.58599999995</v>
      </c>
      <c r="O38" s="36">
        <f t="shared" si="22"/>
        <v>364663.58599999995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" t="str">
        <f t="shared" si="24"/>
        <v>T04</v>
      </c>
      <c r="H40" s="1" t="str">
        <f t="shared" si="24"/>
        <v>T05</v>
      </c>
      <c r="I40" s="1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0.71642407061791646</v>
      </c>
      <c r="F41" s="116">
        <f t="shared" si="25"/>
        <v>1.1489316107193908</v>
      </c>
      <c r="G41" s="116">
        <f t="shared" si="25"/>
        <v>0</v>
      </c>
      <c r="H41" s="116">
        <f t="shared" si="25"/>
        <v>0</v>
      </c>
      <c r="I41" s="116">
        <f t="shared" si="25"/>
        <v>0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0.44981392939430631</v>
      </c>
      <c r="F42" s="114">
        <f t="shared" si="26"/>
        <v>1.1387277060235679</v>
      </c>
      <c r="G42" s="114">
        <f t="shared" si="26"/>
        <v>0</v>
      </c>
      <c r="H42" s="114">
        <f t="shared" si="26"/>
        <v>0</v>
      </c>
      <c r="I42" s="114">
        <f t="shared" si="26"/>
        <v>0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0.77286298055120128</v>
      </c>
      <c r="F43" s="114">
        <f t="shared" si="27"/>
        <v>0.94926459471562108</v>
      </c>
      <c r="G43" s="114">
        <f t="shared" si="27"/>
        <v>0</v>
      </c>
      <c r="H43" s="114">
        <f t="shared" si="27"/>
        <v>0</v>
      </c>
      <c r="I43" s="114">
        <f t="shared" si="27"/>
        <v>0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0.7623005065168601</v>
      </c>
      <c r="F44" s="116">
        <f t="shared" si="28"/>
        <v>0.89937652586067263</v>
      </c>
      <c r="G44" s="116">
        <f t="shared" si="28"/>
        <v>0.67612783505616325</v>
      </c>
      <c r="H44" s="116">
        <f t="shared" si="28"/>
        <v>0.53488003657298255</v>
      </c>
      <c r="I44" s="116">
        <f t="shared" si="28"/>
        <v>0.44186536307606439</v>
      </c>
      <c r="J44" s="116">
        <f t="shared" si="28"/>
        <v>0.37676156396912908</v>
      </c>
      <c r="K44" s="116">
        <f t="shared" si="28"/>
        <v>0.3296264330340532</v>
      </c>
      <c r="L44" s="116">
        <f t="shared" si="28"/>
        <v>0.29133619022478324</v>
      </c>
      <c r="M44" s="116">
        <f t="shared" si="28"/>
        <v>0.26295222625718551</v>
      </c>
      <c r="N44" s="116">
        <f t="shared" si="28"/>
        <v>0.23835148158338193</v>
      </c>
      <c r="O44" s="116">
        <f t="shared" si="28"/>
        <v>0.21777206025771714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0.54403035798367871</v>
      </c>
      <c r="F45" s="114">
        <f>SUM($D$19:F19)/SUM($D$5:F5)</f>
        <v>0.74249755090244374</v>
      </c>
      <c r="G45" s="114">
        <f>SUM($D$19:G19)/SUM($D$5:G5)</f>
        <v>0.55048724210352884</v>
      </c>
      <c r="H45" s="114">
        <f>SUM($D$19:H19)/SUM($D$5:H5)</f>
        <v>0.43668301214625765</v>
      </c>
      <c r="I45" s="114">
        <f>SUM($D$19:I19)/SUM($D$5:I5)</f>
        <v>0.36488749955065825</v>
      </c>
      <c r="J45" s="114">
        <f>SUM($D$19:J19)/SUM($D$5:J5)</f>
        <v>0.31183740400545845</v>
      </c>
      <c r="K45" s="114">
        <f>SUM($D$19:K19)/SUM($D$5:K5)</f>
        <v>0.27044514608178705</v>
      </c>
      <c r="L45" s="114">
        <f>SUM($D$19:L19)/SUM($D$5:L5)</f>
        <v>0.2424528875836926</v>
      </c>
      <c r="M45" s="114">
        <f>SUM($D$19:M19)/SUM($D$5:M5)</f>
        <v>0.21827732152666263</v>
      </c>
      <c r="N45" s="114">
        <f>SUM($D$19:N19)/SUM($D$5:N5)</f>
        <v>0.19812218569907752</v>
      </c>
      <c r="O45" s="114">
        <f>SUM($D$19:O19)/SUM($D$5:O5)</f>
        <v>0.18101022629156582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0.7632292214937465</v>
      </c>
      <c r="F46" s="115">
        <f>SUM($D$20:F20)/SUM($D$6:F6)</f>
        <v>0.8321507676523815</v>
      </c>
      <c r="G46" s="115">
        <f>SUM($D$20:G20)/SUM($D$6:G6)</f>
        <v>0.63233174001090042</v>
      </c>
      <c r="H46" s="115">
        <f>SUM($D$20:H20)/SUM($D$6:H6)</f>
        <v>0.49914162232131065</v>
      </c>
      <c r="I46" s="115">
        <f>SUM($D$20:I20)/SUM($D$6:I6)</f>
        <v>0.40872331159005842</v>
      </c>
      <c r="J46" s="115">
        <f>SUM($D$20:J20)/SUM($D$6:J6)</f>
        <v>0.34789051917308039</v>
      </c>
      <c r="K46" s="115">
        <f>SUM($D$20:K20)/SUM($D$6:K6)</f>
        <v>0.30641012303650017</v>
      </c>
      <c r="L46" s="115">
        <f>SUM($D$20:L20)/SUM($D$6:L6)</f>
        <v>0.26789917058424001</v>
      </c>
      <c r="M46" s="115">
        <f>SUM($D$20:M20)/SUM($D$6:M6)</f>
        <v>0.24226314321080614</v>
      </c>
      <c r="N46" s="115">
        <f>SUM($D$20:N20)/SUM($D$6:N6)</f>
        <v>0.21937322158087175</v>
      </c>
      <c r="O46" s="115">
        <f>SUM($D$20:O20)/SUM($D$6:O6)</f>
        <v>0.20043457681509227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" t="str">
        <f t="shared" si="29"/>
        <v>T04</v>
      </c>
      <c r="H48" s="1" t="str">
        <f t="shared" si="29"/>
        <v>T05</v>
      </c>
      <c r="I48" s="1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0.74454403724484064</v>
      </c>
      <c r="F49" s="117">
        <f t="shared" si="30"/>
        <v>1.225642330633794</v>
      </c>
      <c r="G49" s="117">
        <f t="shared" si="30"/>
        <v>0</v>
      </c>
      <c r="H49" s="117">
        <f t="shared" si="30"/>
        <v>0</v>
      </c>
      <c r="I49" s="117">
        <f t="shared" si="30"/>
        <v>0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0.43636461946722477</v>
      </c>
      <c r="F50" s="121">
        <f t="shared" si="31"/>
        <v>1.2129557524397074</v>
      </c>
      <c r="G50" s="121">
        <f t="shared" si="31"/>
        <v>0</v>
      </c>
      <c r="H50" s="121">
        <f t="shared" si="31"/>
        <v>0</v>
      </c>
      <c r="I50" s="121">
        <f t="shared" si="31"/>
        <v>0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0.84926655490360436</v>
      </c>
      <c r="F51" s="121">
        <f t="shared" si="32"/>
        <v>1.033811098860713</v>
      </c>
      <c r="G51" s="121">
        <f t="shared" si="32"/>
        <v>0</v>
      </c>
      <c r="H51" s="121">
        <f t="shared" si="32"/>
        <v>0</v>
      </c>
      <c r="I51" s="121">
        <f t="shared" si="32"/>
        <v>0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0.77929542974177268</v>
      </c>
      <c r="F52" s="117">
        <f>SUM(D29:F29)/SUM(D15:F15)</f>
        <v>0.93689879883614824</v>
      </c>
      <c r="G52" s="117">
        <f>SUM(D29:G29)/SUM(D15:G15)</f>
        <v>0.70356882448413083</v>
      </c>
      <c r="H52" s="117">
        <f>SUM(D29:H29)/SUM(D15:H15)</f>
        <v>0.55648780547323573</v>
      </c>
      <c r="I52" s="117">
        <f>SUM(D29:I29)/SUM(D15:I15)</f>
        <v>0.45978255621367525</v>
      </c>
      <c r="J52" s="117">
        <f>SUM(D29:J29)/SUM(D15:J15)</f>
        <v>0.39174300581988269</v>
      </c>
      <c r="K52" s="117">
        <f>SUM(D29:K29)/SUM(D15:K15)</f>
        <v>0.34243634644006499</v>
      </c>
      <c r="L52" s="117">
        <f>SUM(D29:L29)/SUM(D15:L15)</f>
        <v>0.30258405339928685</v>
      </c>
      <c r="M52" s="117">
        <f>SUM(D29:M29)/SUM(D15:M15)</f>
        <v>0.27286368785259213</v>
      </c>
      <c r="N52" s="117">
        <f>SUM(D29:N29)/SUM(D15:N15)</f>
        <v>0.24721456616437834</v>
      </c>
      <c r="O52" s="117">
        <f>SUM(D29:O29)/SUM(D15:O15)</f>
        <v>0.22570905453648063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0.51202714641261704</v>
      </c>
      <c r="F53" s="121">
        <f>SUM($D$26:F26)/SUM($D$12:F12)</f>
        <v>0.74698073162711209</v>
      </c>
      <c r="G53" s="121">
        <f>SUM($D$26:G26)/SUM($D$12:G12)</f>
        <v>0.55461027523881601</v>
      </c>
      <c r="H53" s="121">
        <f>SUM($D$26:H26)/SUM($D$12:H12)</f>
        <v>0.43959183664384044</v>
      </c>
      <c r="I53" s="121">
        <f>SUM($D$26:I26)/SUM($D$12:I12)</f>
        <v>0.36749345301942848</v>
      </c>
      <c r="J53" s="121">
        <f>SUM($D$26:J26)/SUM($D$12:J12)</f>
        <v>0.31375865918031548</v>
      </c>
      <c r="K53" s="121">
        <f>SUM($D$26:K26)/SUM($D$12:K12)</f>
        <v>0.27223323078887679</v>
      </c>
      <c r="L53" s="121">
        <f>SUM($D$26:L26)/SUM($D$12:L12)</f>
        <v>0.24372730876931464</v>
      </c>
      <c r="M53" s="121">
        <f>SUM($D$26:M26)/SUM($D$12:M12)</f>
        <v>0.21945331189419134</v>
      </c>
      <c r="N53" s="121">
        <f>SUM($D$26:N26)/SUM($D$12:N12)</f>
        <v>0.19902145677560371</v>
      </c>
      <c r="O53" s="121">
        <f>SUM($D$26:O26)/SUM($D$12:O12)</f>
        <v>0.18178567685168048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0.83586052463211769</v>
      </c>
      <c r="F54" s="122">
        <f>SUM($D$27:F27)/SUM($D$13:F13)</f>
        <v>0.90854925775978412</v>
      </c>
      <c r="G54" s="122">
        <f>SUM($D$27:G27)/SUM($D$13:G13)</f>
        <v>0.68844973923714081</v>
      </c>
      <c r="H54" s="122">
        <f>SUM($D$27:H27)/SUM($D$13:H13)</f>
        <v>0.54358901897456602</v>
      </c>
      <c r="I54" s="122">
        <f>SUM($D$27:I27)/SUM($D$13:I13)</f>
        <v>0.4449669530733642</v>
      </c>
      <c r="J54" s="122">
        <f>SUM($D$27:J27)/SUM($D$13:J13)</f>
        <v>0.3785004694466152</v>
      </c>
      <c r="K54" s="122">
        <f>SUM($D$27:K27)/SUM($D$13:K13)</f>
        <v>0.33279205532405004</v>
      </c>
      <c r="L54" s="122">
        <f>SUM($D$27:L27)/SUM($D$13:L13)</f>
        <v>0.29106697391687814</v>
      </c>
      <c r="M54" s="122">
        <f>SUM($D$27:M27)/SUM($D$13:M13)</f>
        <v>0.26278841011909176</v>
      </c>
      <c r="N54" s="122">
        <f>SUM($D$27:N27)/SUM($D$13:N13)</f>
        <v>0.23790147320213859</v>
      </c>
      <c r="O54" s="122">
        <f>SUM($D$27:O27)/SUM($D$13:O13)</f>
        <v>0.21713125566424454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zoomScale="90" zoomScaleNormal="90" workbookViewId="0">
      <selection activeCell="L41" sqref="L4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129801.166</v>
      </c>
      <c r="E19" s="8">
        <f>SUM(Monthly!G19:I19)</f>
        <v>0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129801.166</v>
      </c>
      <c r="I19" s="67"/>
    </row>
    <row r="20" spans="2:10" x14ac:dyDescent="0.45">
      <c r="B20" s="2"/>
      <c r="C20" s="3" t="s">
        <v>4</v>
      </c>
      <c r="D20" s="8">
        <f>SUM(Monthly!D20:F20)</f>
        <v>191095.11</v>
      </c>
      <c r="E20" s="8">
        <f>SUM(Monthly!G20:I20)</f>
        <v>0</v>
      </c>
      <c r="F20" s="8">
        <f>SUM(Monthly!J20:L20)</f>
        <v>0</v>
      </c>
      <c r="G20" s="8">
        <f>SUM(Monthly!M20:O20)</f>
        <v>0</v>
      </c>
      <c r="H20" s="8">
        <f t="shared" si="2"/>
        <v>191095.11</v>
      </c>
      <c r="I20" s="67"/>
    </row>
    <row r="21" spans="2:10" x14ac:dyDescent="0.45">
      <c r="B21" s="29"/>
      <c r="C21" s="30" t="s">
        <v>5</v>
      </c>
      <c r="D21" s="8">
        <f>SUM(Monthly!D21:F21)</f>
        <v>43767.31</v>
      </c>
      <c r="E21" s="8">
        <f>SUM(Monthly!G21:I21)</f>
        <v>0</v>
      </c>
      <c r="F21" s="8">
        <f>SUM(Monthly!J21:L21)</f>
        <v>0</v>
      </c>
      <c r="G21" s="8">
        <f>SUM(Monthly!M21:O21)</f>
        <v>0</v>
      </c>
      <c r="H21" s="8">
        <f t="shared" si="2"/>
        <v>43767.31</v>
      </c>
    </row>
    <row r="22" spans="2:10" ht="16.5" thickBot="1" x14ac:dyDescent="0.5">
      <c r="B22" s="73"/>
      <c r="C22" s="74" t="s">
        <v>2</v>
      </c>
      <c r="D22" s="75">
        <f>SUM(D19:D21)</f>
        <v>364663.58599999995</v>
      </c>
      <c r="E22" s="75">
        <f>SUM(E19:E21)</f>
        <v>0</v>
      </c>
      <c r="F22" s="75">
        <f>SUM(F19:F21)</f>
        <v>0</v>
      </c>
      <c r="G22" s="75">
        <f>SUM(G19:G21)</f>
        <v>0</v>
      </c>
      <c r="H22" s="76">
        <f>SUM(H19:H21)</f>
        <v>364663.58599999995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4337.7880000000005</v>
      </c>
      <c r="E26" s="8">
        <f>SUM(Monthly!G26:I26)</f>
        <v>0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4337.7880000000005</v>
      </c>
      <c r="I26" s="67"/>
    </row>
    <row r="27" spans="2:10" x14ac:dyDescent="0.45">
      <c r="B27" s="2"/>
      <c r="C27" s="3" t="s">
        <v>4</v>
      </c>
      <c r="D27" s="8">
        <f>SUM(Monthly!D27:F27)</f>
        <v>6732.35</v>
      </c>
      <c r="E27" s="8">
        <f>SUM(Monthly!G27:I27)</f>
        <v>0</v>
      </c>
      <c r="F27" s="8">
        <f>SUM(Monthly!J27:L27)</f>
        <v>0</v>
      </c>
      <c r="G27" s="8">
        <f>SUM(Monthly!M27:O27)</f>
        <v>0</v>
      </c>
      <c r="H27" s="8">
        <f t="shared" si="3"/>
        <v>6732.35</v>
      </c>
      <c r="I27" s="90"/>
    </row>
    <row r="28" spans="2:10" x14ac:dyDescent="0.45">
      <c r="B28" s="29"/>
      <c r="C28" s="30" t="s">
        <v>5</v>
      </c>
      <c r="D28" s="8">
        <f>SUM(Monthly!D28:F28)</f>
        <v>1343.8600000000001</v>
      </c>
      <c r="E28" s="8">
        <f>SUM(Monthly!G28:I28)</f>
        <v>0</v>
      </c>
      <c r="F28" s="8">
        <f>SUM(Monthly!J28:L28)</f>
        <v>0</v>
      </c>
      <c r="G28" s="8">
        <f>SUM(Monthly!M28:O28)</f>
        <v>0</v>
      </c>
      <c r="H28" s="8">
        <f t="shared" si="3"/>
        <v>1343.8600000000001</v>
      </c>
    </row>
    <row r="29" spans="2:10" ht="16.5" thickBot="1" x14ac:dyDescent="0.5">
      <c r="B29" s="70"/>
      <c r="C29" s="71" t="s">
        <v>2</v>
      </c>
      <c r="D29" s="75">
        <f>SUM(D26:D28)</f>
        <v>12413.998000000001</v>
      </c>
      <c r="E29" s="75">
        <f>SUM(E26:E28)</f>
        <v>0</v>
      </c>
      <c r="F29" s="75">
        <f>SUM(F26:F28)</f>
        <v>0</v>
      </c>
      <c r="G29" s="75">
        <f>SUM(G26:G28)</f>
        <v>0</v>
      </c>
      <c r="H29" s="76">
        <f>SUM(H26:H28)</f>
        <v>12413.998000000001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29.923354022833752</v>
      </c>
      <c r="E33" s="58" t="str">
        <f>IFERROR(E19/E26," ")</f>
        <v xml:space="preserve"> </v>
      </c>
      <c r="F33" s="58" t="str">
        <f>IFERROR(F19/F26,"")</f>
        <v/>
      </c>
      <c r="G33" s="58" t="str">
        <f>IFERROR(G19/G26,"")</f>
        <v/>
      </c>
      <c r="H33" s="58">
        <f t="shared" si="4"/>
        <v>29.923354022833752</v>
      </c>
    </row>
    <row r="34" spans="2:8" x14ac:dyDescent="0.45">
      <c r="B34" s="2"/>
      <c r="C34" s="3" t="s">
        <v>4</v>
      </c>
      <c r="D34" s="58">
        <f t="shared" si="4"/>
        <v>28.384607157976038</v>
      </c>
      <c r="E34" s="58" t="str">
        <f t="shared" ref="E34:E35" si="5">IFERROR(E20/E27," ")</f>
        <v xml:space="preserve"> 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28.384607157976038</v>
      </c>
    </row>
    <row r="35" spans="2:8" x14ac:dyDescent="0.45">
      <c r="B35" s="29"/>
      <c r="C35" s="30" t="s">
        <v>5</v>
      </c>
      <c r="D35" s="58">
        <f t="shared" si="4"/>
        <v>32.568355334633068</v>
      </c>
      <c r="E35" s="58" t="str">
        <f t="shared" si="5"/>
        <v xml:space="preserve"> </v>
      </c>
      <c r="F35" s="58" t="str">
        <f t="shared" si="6"/>
        <v/>
      </c>
      <c r="G35" s="58" t="str">
        <f t="shared" si="6"/>
        <v/>
      </c>
      <c r="H35" s="58">
        <f t="shared" si="4"/>
        <v>32.568355334633068</v>
      </c>
    </row>
    <row r="36" spans="2:8" ht="16.5" thickBot="1" x14ac:dyDescent="0.5">
      <c r="B36" s="70"/>
      <c r="C36" s="71" t="s">
        <v>2</v>
      </c>
      <c r="D36" s="77">
        <f>D22/D29</f>
        <v>29.37519290723262</v>
      </c>
      <c r="E36" s="77" t="str">
        <f>IFERROR(E22/E29,"")</f>
        <v/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28.98755878201337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364663.58599999995</v>
      </c>
      <c r="E38" s="36">
        <f>D38+E22</f>
        <v>364663.58599999995</v>
      </c>
      <c r="F38" s="36">
        <f>E38+F22</f>
        <v>364663.58599999995</v>
      </c>
      <c r="G38" s="36">
        <f>F38+G22</f>
        <v>364663.58599999995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0.89937652586067263</v>
      </c>
      <c r="E41" s="95">
        <f t="shared" ref="E41:F41" si="8">E38/E39</f>
        <v>0.44186536307606439</v>
      </c>
      <c r="F41" s="95">
        <f t="shared" si="8"/>
        <v>0.2913361902247833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0.74249755090244374</v>
      </c>
      <c r="E43" s="87">
        <f>SUM(D19:E19)/SUM(D5:E5)</f>
        <v>0.36488749955065819</v>
      </c>
      <c r="F43" s="87">
        <f>SUM(E19:F19)/SUM(E5:F5)</f>
        <v>0</v>
      </c>
      <c r="G43" s="87"/>
    </row>
    <row r="44" spans="2:8" s="85" customFormat="1" x14ac:dyDescent="0.45">
      <c r="C44" s="86" t="s">
        <v>4</v>
      </c>
      <c r="D44" s="87">
        <f>D20/D6</f>
        <v>0.8321507676523815</v>
      </c>
      <c r="E44" s="87">
        <f>SUM(D20:E20)/SUM(D6:E6)</f>
        <v>0.40872331159005848</v>
      </c>
      <c r="F44" s="118">
        <f>SUM(E20:F20)/SUM(E6:F6)</f>
        <v>0</v>
      </c>
      <c r="G44" s="87"/>
    </row>
    <row r="45" spans="2:8" s="83" customFormat="1" x14ac:dyDescent="0.45">
      <c r="C45" s="81" t="s">
        <v>43</v>
      </c>
      <c r="D45" s="95">
        <f>D22/D8</f>
        <v>0.89937652586067263</v>
      </c>
      <c r="E45" s="95">
        <f>E22/E8</f>
        <v>0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0.74249755090244374</v>
      </c>
      <c r="E47" s="87">
        <f t="shared" si="10"/>
        <v>0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0.8321507676523815</v>
      </c>
      <c r="E48" s="87">
        <f t="shared" si="10"/>
        <v>0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129801.166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191095.11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43767.31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364663.58599999995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4337.7880000000005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6732.35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1343.8600000000001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12413.998000000001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29.923354022833752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28.384607157976038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32.568355334633068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29.37519290723262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2026-04-13T03:22:24Z</dcterms:modified>
</cp:coreProperties>
</file>