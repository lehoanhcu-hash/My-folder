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T05.2026\"/>
    </mc:Choice>
  </mc:AlternateContent>
  <xr:revisionPtr revIDLastSave="0" documentId="13_ncr:1_{354C6D83-B554-4B46-B4FE-A13F8262625C}" xr6:coauthVersionLast="47" xr6:coauthVersionMax="47" xr10:uidLastSave="{00000000-0000-0000-0000-000000000000}"/>
  <bookViews>
    <workbookView xWindow="-110" yWindow="-110" windowWidth="19420" windowHeight="10300" xr2:uid="{FFA523A8-6C50-4096-A6CD-B7BF30EEDBD6}"/>
  </bookViews>
  <sheets>
    <sheet name="Trình bày" sheetId="2" r:id="rId1"/>
    <sheet name="tồn TP 17.04" sheetId="1" r:id="rId2"/>
    <sheet name="data" sheetId="3" r:id="rId3"/>
  </sheet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2" hidden="1">data!$A$1:$E$116</definedName>
    <definedName name="_xlnm._FilterDatabase" localSheetId="1" hidden="1">'tồn TP 17.04'!$A$2:$R$90</definedName>
    <definedName name="_xlnm._FilterDatabase" localSheetId="0" hidden="1">'Trình bày'!$A$4:$O$116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>BlankMacro1</definedName>
    <definedName name="FITT2">BlankMacro1</definedName>
    <definedName name="FITTING2">BlankMacro1</definedName>
    <definedName name="Fixed_Assets_Total">#REF!</definedName>
    <definedName name="fixed_cost">#REF!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파트">#REF!</definedName>
    <definedName name="피벗4QTM포함">#REF!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2" l="1"/>
  <c r="H115" i="2"/>
  <c r="H114" i="2"/>
  <c r="H111" i="2"/>
  <c r="J61" i="2"/>
  <c r="H58" i="2"/>
  <c r="H57" i="2"/>
  <c r="H55" i="2"/>
  <c r="H53" i="2"/>
  <c r="H51" i="2"/>
  <c r="K51" i="2" s="1"/>
  <c r="L51" i="2" s="1"/>
  <c r="H50" i="2"/>
  <c r="H37" i="2"/>
  <c r="H17" i="2"/>
  <c r="J111" i="2"/>
  <c r="J110" i="2"/>
  <c r="J105" i="2"/>
  <c r="J102" i="2"/>
  <c r="J100" i="2"/>
  <c r="J99" i="2"/>
  <c r="J97" i="2"/>
  <c r="J96" i="2"/>
  <c r="J95" i="2"/>
  <c r="J94" i="2"/>
  <c r="M69" i="2"/>
  <c r="M66" i="2"/>
  <c r="M65" i="2"/>
  <c r="M64" i="2"/>
  <c r="J53" i="2"/>
  <c r="J47" i="2"/>
  <c r="J45" i="2"/>
  <c r="J38" i="2" l="1"/>
  <c r="J31" i="2"/>
  <c r="A37" i="2" l="1"/>
  <c r="A38" i="2" s="1"/>
  <c r="K37" i="2"/>
  <c r="L37" i="2" s="1"/>
  <c r="G37" i="2"/>
  <c r="F37" i="2"/>
  <c r="K61" i="2"/>
  <c r="L61" i="2" s="1"/>
  <c r="I61" i="2"/>
  <c r="F61" i="2"/>
  <c r="J16" i="2"/>
  <c r="H16" i="2"/>
  <c r="K16" i="2" s="1"/>
  <c r="L16" i="2" s="1"/>
  <c r="G16" i="2"/>
  <c r="F16" i="2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G33" i="2"/>
  <c r="G36" i="2" s="1"/>
  <c r="G20" i="2"/>
  <c r="G19" i="2"/>
  <c r="G13" i="2"/>
  <c r="G10" i="2"/>
  <c r="G9" i="2"/>
  <c r="G8" i="2"/>
  <c r="I37" i="2" l="1"/>
  <c r="I16" i="2"/>
  <c r="G35" i="2"/>
  <c r="J36" i="2" l="1"/>
  <c r="J48" i="2" l="1"/>
  <c r="J52" i="2"/>
  <c r="J51" i="2"/>
  <c r="J50" i="2"/>
  <c r="J46" i="2"/>
  <c r="J44" i="2"/>
  <c r="J43" i="2"/>
  <c r="J68" i="2"/>
  <c r="J70" i="2"/>
  <c r="J71" i="2"/>
  <c r="J85" i="2" l="1"/>
  <c r="J89" i="2"/>
  <c r="J90" i="2"/>
  <c r="J93" i="2"/>
  <c r="J114" i="2"/>
  <c r="J116" i="2"/>
  <c r="J8" i="2"/>
  <c r="M20" i="2" l="1"/>
  <c r="M19" i="2"/>
  <c r="K58" i="2"/>
  <c r="K57" i="2"/>
  <c r="K56" i="2"/>
  <c r="K29" i="2"/>
  <c r="K28" i="2"/>
  <c r="K27" i="2"/>
  <c r="K25" i="2"/>
  <c r="K23" i="2"/>
  <c r="K22" i="2"/>
  <c r="K14" i="2"/>
  <c r="J115" i="2"/>
  <c r="J92" i="2"/>
  <c r="J91" i="2"/>
  <c r="J73" i="2"/>
  <c r="J67" i="2"/>
  <c r="J21" i="2"/>
  <c r="J26" i="2"/>
  <c r="J24" i="2"/>
  <c r="J19" i="2"/>
  <c r="J15" i="2"/>
  <c r="J10" i="2"/>
  <c r="J20" i="2" l="1"/>
  <c r="I31" i="2" l="1"/>
  <c r="H33" i="2"/>
  <c r="H35" i="2" s="1"/>
  <c r="H36" i="2" l="1"/>
  <c r="A100" i="2"/>
  <c r="A101" i="2" s="1"/>
  <c r="A102" i="2" s="1"/>
  <c r="A103" i="2" s="1"/>
  <c r="A104" i="2" s="1"/>
  <c r="A105" i="2" s="1"/>
  <c r="A106" i="2" s="1"/>
  <c r="A107" i="2" s="1"/>
  <c r="F97" i="2" l="1"/>
  <c r="A115" i="2" l="1"/>
  <c r="A116" i="2" s="1"/>
  <c r="A111" i="2"/>
  <c r="K45" i="2" l="1"/>
  <c r="L45" i="2" s="1"/>
  <c r="I45" i="2"/>
  <c r="A43" i="2"/>
  <c r="A44" i="2" s="1"/>
  <c r="A45" i="2" s="1"/>
  <c r="A46" i="2" s="1"/>
  <c r="A47" i="2" s="1"/>
  <c r="A48" i="2" s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I46" i="2"/>
  <c r="K12" i="2" l="1"/>
  <c r="H20" i="2" l="1"/>
  <c r="K15" i="2" l="1"/>
  <c r="L15" i="2" s="1"/>
  <c r="F29" i="2"/>
  <c r="F27" i="2"/>
  <c r="K116" i="2" l="1"/>
  <c r="L116" i="2" s="1"/>
  <c r="I116" i="2"/>
  <c r="I14" i="2" l="1"/>
  <c r="I15" i="2"/>
  <c r="F88" i="1"/>
  <c r="F89" i="1"/>
  <c r="F90" i="1"/>
  <c r="E37" i="2" s="1"/>
  <c r="F45" i="2"/>
  <c r="F93" i="2"/>
  <c r="G88" i="1"/>
  <c r="H88" i="1"/>
  <c r="G89" i="1"/>
  <c r="H89" i="1"/>
  <c r="G90" i="1"/>
  <c r="H90" i="1"/>
  <c r="F28" i="2"/>
  <c r="F9" i="2"/>
  <c r="F25" i="2"/>
  <c r="F89" i="2"/>
  <c r="F11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E16" i="2" s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E93" i="2" s="1"/>
  <c r="F87" i="1"/>
  <c r="E61" i="2" s="1"/>
  <c r="F3" i="1"/>
  <c r="E97" i="2" l="1"/>
  <c r="E45" i="2"/>
  <c r="F99" i="2"/>
  <c r="F26" i="2"/>
  <c r="F44" i="2"/>
  <c r="F107" i="2"/>
  <c r="F12" i="2"/>
  <c r="F65" i="2"/>
  <c r="F1" i="1"/>
  <c r="E107" i="2"/>
  <c r="F100" i="2"/>
  <c r="F69" i="2"/>
  <c r="F73" i="2"/>
  <c r="F101" i="2"/>
  <c r="F79" i="2"/>
  <c r="F111" i="2"/>
  <c r="E15" i="2"/>
  <c r="E14" i="2"/>
  <c r="F77" i="2"/>
  <c r="F114" i="2"/>
  <c r="F15" i="2"/>
  <c r="F51" i="2"/>
  <c r="F103" i="2"/>
  <c r="F32" i="2"/>
  <c r="F78" i="2"/>
  <c r="F116" i="2"/>
  <c r="F80" i="2"/>
  <c r="F91" i="2"/>
  <c r="F105" i="2"/>
  <c r="F14" i="2"/>
  <c r="F67" i="2"/>
  <c r="F95" i="2"/>
  <c r="F58" i="2"/>
  <c r="F39" i="2"/>
  <c r="F110" i="2"/>
  <c r="F31" i="2"/>
  <c r="F57" i="2"/>
  <c r="F36" i="2"/>
  <c r="F21" i="2"/>
  <c r="F38" i="2"/>
  <c r="F52" i="2"/>
  <c r="F94" i="2"/>
  <c r="F35" i="2"/>
  <c r="F92" i="2"/>
  <c r="F20" i="2"/>
  <c r="F48" i="2"/>
  <c r="F24" i="2"/>
  <c r="F53" i="2"/>
  <c r="F17" i="2"/>
  <c r="F47" i="2"/>
  <c r="F66" i="2"/>
  <c r="F96" i="2"/>
  <c r="F34" i="2"/>
  <c r="F64" i="2"/>
  <c r="F90" i="2"/>
  <c r="F83" i="2"/>
  <c r="F71" i="2"/>
  <c r="F60" i="2"/>
  <c r="F104" i="2"/>
  <c r="F23" i="2"/>
  <c r="F106" i="2"/>
  <c r="F33" i="2"/>
  <c r="F19" i="2"/>
  <c r="F85" i="2"/>
  <c r="F56" i="2"/>
  <c r="F8" i="2"/>
  <c r="F55" i="2"/>
  <c r="F115" i="2"/>
  <c r="F43" i="2"/>
  <c r="F82" i="2"/>
  <c r="F50" i="2"/>
  <c r="F10" i="2"/>
  <c r="F42" i="2"/>
  <c r="F81" i="2"/>
  <c r="F54" i="2"/>
  <c r="F102" i="2"/>
  <c r="F68" i="2"/>
  <c r="F7" i="2"/>
  <c r="F22" i="2"/>
  <c r="F13" i="2"/>
  <c r="F46" i="2"/>
  <c r="F70" i="2"/>
  <c r="E116" i="2"/>
  <c r="H10" i="2" l="1"/>
  <c r="K115" i="2"/>
  <c r="L115" i="2" s="1"/>
  <c r="K114" i="2"/>
  <c r="L114" i="2" s="1"/>
  <c r="K111" i="2"/>
  <c r="L111" i="2" s="1"/>
  <c r="K110" i="2"/>
  <c r="L110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0" i="2"/>
  <c r="L70" i="2" s="1"/>
  <c r="K73" i="2"/>
  <c r="L73" i="2" s="1"/>
  <c r="K71" i="2"/>
  <c r="L71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0" i="2"/>
  <c r="L60" i="2" s="1"/>
  <c r="K55" i="2"/>
  <c r="L55" i="2" s="1"/>
  <c r="K53" i="2"/>
  <c r="L53" i="2" s="1"/>
  <c r="K48" i="2"/>
  <c r="L48" i="2" s="1"/>
  <c r="K44" i="2"/>
  <c r="L44" i="2" s="1"/>
  <c r="K38" i="2"/>
  <c r="L38" i="2" s="1"/>
  <c r="K36" i="2"/>
  <c r="L36" i="2" s="1"/>
  <c r="K35" i="2"/>
  <c r="L35" i="2" s="1"/>
  <c r="K33" i="2"/>
  <c r="L33" i="2" s="1"/>
  <c r="K32" i="2"/>
  <c r="L32" i="2" s="1"/>
  <c r="K31" i="2"/>
  <c r="L31" i="2" s="1"/>
  <c r="K20" i="2"/>
  <c r="L20" i="2" s="1"/>
  <c r="K7" i="2"/>
  <c r="L7" i="2" s="1"/>
  <c r="K50" i="2"/>
  <c r="L50" i="2" s="1"/>
  <c r="H19" i="2"/>
  <c r="K19" i="2" s="1"/>
  <c r="L19" i="2" s="1"/>
  <c r="H13" i="2"/>
  <c r="K13" i="2" s="1"/>
  <c r="L13" i="2" s="1"/>
  <c r="H9" i="2"/>
  <c r="H8" i="2"/>
  <c r="K11" i="2"/>
  <c r="L11" i="2" s="1"/>
  <c r="G87" i="1"/>
  <c r="H87" i="1"/>
  <c r="I1" i="1"/>
  <c r="K4" i="1"/>
  <c r="K3" i="1"/>
  <c r="I83" i="2"/>
  <c r="I82" i="2"/>
  <c r="I81" i="2"/>
  <c r="I80" i="2"/>
  <c r="I79" i="2"/>
  <c r="I78" i="2"/>
  <c r="I77" i="2"/>
  <c r="I70" i="2"/>
  <c r="I73" i="2"/>
  <c r="I71" i="2"/>
  <c r="I69" i="2"/>
  <c r="I68" i="2"/>
  <c r="I67" i="2"/>
  <c r="I66" i="2"/>
  <c r="I65" i="2"/>
  <c r="I64" i="2"/>
  <c r="I55" i="2"/>
  <c r="I54" i="2"/>
  <c r="I53" i="2"/>
  <c r="I52" i="2"/>
  <c r="I51" i="2"/>
  <c r="I50" i="2"/>
  <c r="I48" i="2"/>
  <c r="I47" i="2"/>
  <c r="I44" i="2"/>
  <c r="I43" i="2"/>
  <c r="I42" i="2"/>
  <c r="I38" i="2"/>
  <c r="I36" i="2"/>
  <c r="I35" i="2"/>
  <c r="I34" i="2"/>
  <c r="I33" i="2"/>
  <c r="I32" i="2"/>
  <c r="I29" i="2"/>
  <c r="I28" i="2"/>
  <c r="I27" i="2"/>
  <c r="I26" i="2"/>
  <c r="I25" i="2"/>
  <c r="I24" i="2"/>
  <c r="I23" i="2"/>
  <c r="I22" i="2"/>
  <c r="I21" i="2"/>
  <c r="I20" i="2"/>
  <c r="I12" i="2"/>
  <c r="I11" i="2"/>
  <c r="I7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3" i="1"/>
  <c r="I115" i="2"/>
  <c r="I114" i="2"/>
  <c r="I111" i="2"/>
  <c r="I110" i="2"/>
  <c r="I60" i="2"/>
  <c r="E29" i="2"/>
  <c r="A8" i="2"/>
  <c r="A9" i="2" s="1"/>
  <c r="A10" i="2" s="1"/>
  <c r="A11" i="2" s="1"/>
  <c r="A12" i="2" s="1"/>
  <c r="A13" i="2" s="1"/>
  <c r="A14" i="2" s="1"/>
  <c r="A65" i="2"/>
  <c r="A66" i="2" s="1"/>
  <c r="A67" i="2" s="1"/>
  <c r="A68" i="2" s="1"/>
  <c r="A69" i="2" s="1"/>
  <c r="A70" i="2" s="1"/>
  <c r="A71" i="2" s="1"/>
  <c r="A90" i="2"/>
  <c r="A91" i="2" s="1"/>
  <c r="A92" i="2" s="1"/>
  <c r="A93" i="2" s="1"/>
  <c r="A94" i="2" s="1"/>
  <c r="A95" i="2" s="1"/>
  <c r="A96" i="2" s="1"/>
  <c r="A97" i="2" s="1"/>
  <c r="E115" i="2"/>
  <c r="E114" i="2"/>
  <c r="E111" i="2"/>
  <c r="E110" i="2"/>
  <c r="E106" i="2"/>
  <c r="E100" i="2"/>
  <c r="E101" i="2"/>
  <c r="E102" i="2"/>
  <c r="E103" i="2"/>
  <c r="E104" i="2"/>
  <c r="E105" i="2"/>
  <c r="E96" i="2"/>
  <c r="E89" i="2"/>
  <c r="E90" i="2"/>
  <c r="E91" i="2"/>
  <c r="E94" i="2"/>
  <c r="E92" i="2"/>
  <c r="E95" i="2"/>
  <c r="E99" i="2"/>
  <c r="E85" i="2"/>
  <c r="A85" i="2"/>
  <c r="E83" i="2"/>
  <c r="E82" i="2"/>
  <c r="E81" i="2"/>
  <c r="E80" i="2"/>
  <c r="E79" i="2"/>
  <c r="E78" i="2"/>
  <c r="E77" i="2"/>
  <c r="E70" i="2"/>
  <c r="E73" i="2"/>
  <c r="A73" i="2"/>
  <c r="E71" i="2"/>
  <c r="E69" i="2"/>
  <c r="E68" i="2"/>
  <c r="E67" i="2"/>
  <c r="E66" i="2"/>
  <c r="E65" i="2"/>
  <c r="E64" i="2"/>
  <c r="A50" i="2"/>
  <c r="A51" i="2" s="1"/>
  <c r="A52" i="2" s="1"/>
  <c r="A53" i="2" s="1"/>
  <c r="A54" i="2" s="1"/>
  <c r="A55" i="2" s="1"/>
  <c r="A56" i="2" s="1"/>
  <c r="A57" i="2" s="1"/>
  <c r="A58" i="2" s="1"/>
  <c r="E51" i="2"/>
  <c r="E52" i="2"/>
  <c r="E53" i="2"/>
  <c r="E54" i="2"/>
  <c r="E55" i="2"/>
  <c r="E56" i="2"/>
  <c r="E57" i="2"/>
  <c r="E58" i="2"/>
  <c r="E50" i="2"/>
  <c r="A32" i="2"/>
  <c r="A33" i="2" s="1"/>
  <c r="A34" i="2" s="1"/>
  <c r="A35" i="2" s="1"/>
  <c r="A36" i="2" s="1"/>
  <c r="A39" i="2" s="1"/>
  <c r="A20" i="2"/>
  <c r="A21" i="2" s="1"/>
  <c r="A22" i="2" s="1"/>
  <c r="A23" i="2" s="1"/>
  <c r="A24" i="2" s="1"/>
  <c r="A25" i="2" s="1"/>
  <c r="A26" i="2" s="1"/>
  <c r="A27" i="2" s="1"/>
  <c r="A28" i="2" s="1"/>
  <c r="A29" i="2" s="1"/>
  <c r="E48" i="2"/>
  <c r="E47" i="2"/>
  <c r="E60" i="2"/>
  <c r="E46" i="2"/>
  <c r="E44" i="2"/>
  <c r="E43" i="2"/>
  <c r="E42" i="2"/>
  <c r="E33" i="2"/>
  <c r="E34" i="2"/>
  <c r="E36" i="2"/>
  <c r="E32" i="2"/>
  <c r="E38" i="2"/>
  <c r="E31" i="2"/>
  <c r="E35" i="2"/>
  <c r="E20" i="2"/>
  <c r="E21" i="2"/>
  <c r="E22" i="2"/>
  <c r="E23" i="2"/>
  <c r="E39" i="2"/>
  <c r="E24" i="2"/>
  <c r="E25" i="2"/>
  <c r="E26" i="2"/>
  <c r="E27" i="2"/>
  <c r="E28" i="2"/>
  <c r="E19" i="2"/>
  <c r="E17" i="2"/>
  <c r="E8" i="2"/>
  <c r="E9" i="2"/>
  <c r="E10" i="2"/>
  <c r="E11" i="2"/>
  <c r="E12" i="2"/>
  <c r="E13" i="2"/>
  <c r="E7" i="2"/>
  <c r="A15" i="2" l="1"/>
  <c r="A17" i="2" s="1"/>
  <c r="A16" i="2"/>
  <c r="K8" i="2"/>
  <c r="L8" i="2" s="1"/>
  <c r="K10" i="2"/>
  <c r="L10" i="2" s="1"/>
  <c r="K9" i="2"/>
  <c r="L9" i="2" s="1"/>
  <c r="I10" i="2"/>
  <c r="I8" i="2"/>
  <c r="I13" i="2"/>
  <c r="I9" i="2"/>
  <c r="I19" i="2"/>
  <c r="K17" i="2" l="1"/>
  <c r="L17" i="2" s="1"/>
  <c r="I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2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3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9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sharedStrings.xml><?xml version="1.0" encoding="utf-8"?>
<sst xmlns="http://schemas.openxmlformats.org/spreadsheetml/2006/main" count="1241" uniqueCount="368">
  <si>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</si>
  <si>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</si>
  <si>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</si>
  <si>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</si>
  <si>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</si>
  <si>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</si>
  <si>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</si>
  <si>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</si>
  <si>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</si>
  <si>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</si>
  <si>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</si>
  <si>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</si>
  <si>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</si>
  <si>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</si>
  <si>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</si>
  <si>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</si>
  <si>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</si>
  <si>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</si>
  <si>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</si>
  <si>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</si>
  <si>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</si>
  <si>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</si>
  <si>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</si>
  <si>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</si>
  <si>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</si>
  <si>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</si>
  <si>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</si>
  <si>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</si>
  <si>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</si>
  <si>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</si>
  <si>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</si>
  <si>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</si>
  <si>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</si>
  <si>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</si>
  <si>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</si>
  <si>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</si>
  <si>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</si>
  <si>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</si>
  <si>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</si>
  <si>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</si>
  <si>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</si>
  <si>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</si>
  <si>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</si>
  <si>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</si>
  <si>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</si>
  <si>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</si>
  <si>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</si>
  <si>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</si>
  <si>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</si>
  <si>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</si>
  <si>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</si>
  <si>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</si>
  <si>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</si>
  <si>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</si>
  <si>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</si>
  <si>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</si>
  <si>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</si>
  <si>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</si>
  <si>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</si>
  <si>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</si>
  <si>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</si>
  <si>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</si>
  <si>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</si>
  <si>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</si>
  <si>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</si>
  <si>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</si>
  <si>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</si>
  <si>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</si>
  <si>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</si>
  <si>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</si>
  <si>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</si>
  <si>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</si>
  <si>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</si>
  <si>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</si>
  <si>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</si>
  <si>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</si>
  <si>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</si>
  <si>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</si>
  <si>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</si>
  <si>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</si>
  <si>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</si>
  <si>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</si>
  <si>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</si>
  <si>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</si>
  <si>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</si>
  <si>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</si>
  <si>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</si>
  <si>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</si>
  <si>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</si>
  <si>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</si>
  <si>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</si>
  <si>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</si>
  <si>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</si>
  <si>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</si>
  <si>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</si>
  <si>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</si>
  <si>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</si>
  <si>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</si>
  <si>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</si>
  <si>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</si>
  <si>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</si>
  <si>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</si>
  <si>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</si>
  <si>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</si>
  <si>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</si>
  <si>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</si>
  <si>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</si>
  <si>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</si>
  <si>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</si>
  <si>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</si>
  <si>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</si>
  <si>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</si>
  <si>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</si>
  <si>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</si>
  <si>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</si>
  <si>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</si>
  <si>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</si>
  <si>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</si>
  <si>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</si>
  <si>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</si>
  <si>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</si>
  <si>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</si>
  <si>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</si>
  <si>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</si>
  <si>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</si>
  <si>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</si>
  <si>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</si>
  <si>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</si>
  <si>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</si>
  <si>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</si>
  <si>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</si>
  <si>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</si>
  <si>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</si>
  <si>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</si>
  <si>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</si>
  <si>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</si>
  <si>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</si>
  <si>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</si>
  <si>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</si>
  <si>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</si>
  <si>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</si>
  <si>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</si>
  <si>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</si>
  <si>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</si>
  <si>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</si>
  <si>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</si>
  <si>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</si>
  <si>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</si>
  <si>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</si>
  <si>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</si>
  <si>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</si>
  <si>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</si>
  <si>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</si>
  <si>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</si>
  <si>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</si>
  <si>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</si>
  <si>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</si>
  <si>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</si>
  <si>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</si>
  <si>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</si>
  <si>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</si>
  <si>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</si>
  <si>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</si>
  <si>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</si>
  <si>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</si>
  <si>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</si>
  <si>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</si>
  <si>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</si>
  <si>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</si>
  <si>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</si>
  <si>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</si>
  <si>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</si>
  <si>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</si>
  <si>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</si>
  <si>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</si>
  <si>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</si>
  <si>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</si>
  <si>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</si>
  <si>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</si>
  <si>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</si>
  <si>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</si>
  <si>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</si>
  <si>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</si>
  <si>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</si>
  <si>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</si>
  <si>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</si>
  <si>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</si>
  <si>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</si>
  <si>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</si>
  <si>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</si>
  <si>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</si>
  <si>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</si>
  <si>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</si>
  <si>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</si>
  <si>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</si>
  <si>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</si>
  <si>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</si>
  <si>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</si>
  <si>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</si>
  <si>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</si>
  <si>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</si>
  <si>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</si>
  <si>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</si>
  <si>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</si>
  <si>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</si>
  <si>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</si>
  <si>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</si>
  <si>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</si>
  <si>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</si>
  <si>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</si>
  <si>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</si>
  <si>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</si>
  <si>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</si>
  <si>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</si>
  <si>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</si>
  <si>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</si>
  <si>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</si>
  <si>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</si>
  <si>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</si>
  <si>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</si>
  <si>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</si>
  <si>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</si>
  <si>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</si>
  <si>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</si>
  <si>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</si>
  <si>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</si>
  <si>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</si>
  <si>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</si>
  <si>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</si>
  <si>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</si>
  <si>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</si>
  <si>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</si>
  <si>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</si>
  <si>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</si>
  <si>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</si>
  <si>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</si>
  <si>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</si>
  <si>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</si>
  <si>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</si>
  <si>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</si>
  <si>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</si>
  <si>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</si>
  <si>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</si>
  <si>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</si>
  <si>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</si>
  <si>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</si>
  <si>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100% vảy PET B1_A3</t>
  </si>
  <si>
    <t>Tomra_A1/ Zigzag_A1</t>
  </si>
  <si>
    <t>Chuyển từ hàng xơ sợi thử nghiệm qua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</si>
  <si>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</si>
  <si>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</si>
  <si>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</si>
  <si>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</si>
  <si>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</si>
  <si>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</si>
  <si>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</si>
  <si>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</si>
  <si>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</si>
  <si>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</si>
  <si>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</si>
  <si>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</si>
  <si>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</si>
  <si>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</si>
  <si>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</si>
  <si>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</si>
  <si>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</si>
  <si>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</si>
  <si>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</si>
  <si>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</si>
  <si>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</si>
  <si>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</si>
  <si>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</si>
  <si>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</si>
  <si>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</si>
  <si>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</si>
  <si>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</si>
  <si>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</si>
  <si>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</si>
  <si>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</si>
  <si>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</si>
  <si>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</si>
  <si>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</si>
  <si>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</si>
  <si>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Giá tồn kho từ 2023</t>
  </si>
  <si>
    <t>mix với hàng MI thấp, do hết hạt MBF01 phân lập MI thấp nên còn tồn kho</t>
  </si>
  <si>
    <t>Lợi nhuận trước thuế</t>
  </si>
  <si>
    <t>Phân loại</t>
  </si>
  <si>
    <t>Vảy PP Dương Đậm</t>
  </si>
  <si>
    <t>110000424</t>
  </si>
  <si>
    <t>MÃ HÀNG SẢN XUẤT TỪ PHÓ SẢN NGÀNH PET</t>
  </si>
  <si>
    <t>Base Unit of Measure</t>
  </si>
  <si>
    <t>Unrestricted</t>
  </si>
  <si>
    <t>Blocked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</si>
  <si>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</si>
  <si>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</si>
  <si>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</si>
  <si>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</si>
  <si>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</si>
  <si>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</si>
  <si>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Giá đề nghị của kinh doanh</t>
  </si>
  <si>
    <t>Vảy FPET201</t>
  </si>
  <si>
    <t>Giá tồn kho</t>
  </si>
  <si>
    <t>110000509</t>
  </si>
  <si>
    <t>Hạt Nhựa rHDB01B01</t>
  </si>
  <si>
    <t>110000510</t>
  </si>
  <si>
    <t>Hạt Nhựa rPET WSS05SB PL</t>
  </si>
  <si>
    <t>Giá tồn kho từ 2024</t>
  </si>
  <si>
    <t>Hạt Nhựa HD Ép Thử Nghiệm</t>
  </si>
  <si>
    <t>Phôi WSS01G Xám</t>
  </si>
  <si>
    <t>110000442</t>
  </si>
  <si>
    <t>110000477</t>
  </si>
  <si>
    <t>Theo giá U =&gt; ko đề xuất trong duyệt giá</t>
  </si>
  <si>
    <t>Phó sản</t>
  </si>
  <si>
    <t>Hàng tồn từ tháng 12.2024</t>
  </si>
  <si>
    <t>Hàng tồn kho từ tháng 2.2025</t>
  </si>
  <si>
    <t>Hàng tồn kho từ tháng 2.2025 sx cho Outerinho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</si>
  <si>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</si>
  <si>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</si>
  <si>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</si>
  <si>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</si>
  <si>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</si>
  <si>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SL bán 2026</t>
  </si>
  <si>
    <t>Số lượng bán BQ 2026
(kg/ tháng)</t>
  </si>
  <si>
    <t>Phát sinh tháng 12/2025</t>
  </si>
  <si>
    <t>Tách 11,7 tấn HD ép trắng lẫn PP qua meyer, thu được 7,5 tấn vảy PP trắng (Thu hồi 64% TP, còn lại phó sản)</t>
  </si>
  <si>
    <t>% lợi nhuận trước thuế</t>
  </si>
  <si>
    <t>1400/1190</t>
  </si>
  <si>
    <t>1300/1090</t>
  </si>
  <si>
    <t>Tồn kho từ T9/2024</t>
  </si>
  <si>
    <t>110000520</t>
  </si>
  <si>
    <t>Cuộn Màng PET</t>
  </si>
  <si>
    <t>110000522</t>
  </si>
  <si>
    <t>Hạt Nhựa rPET WSS03NC</t>
  </si>
  <si>
    <t>Tồn 17/04</t>
  </si>
  <si>
    <t>Tồn kho
17/04/2026
(kg)</t>
  </si>
  <si>
    <t>Giá duyệt T4 (USD/ tấn)</t>
  </si>
  <si>
    <t>Giá bán đề nghị T5 (USD/ tấn)</t>
  </si>
  <si>
    <t>CL T5 sv T4 (USD/ tấn)</t>
  </si>
  <si>
    <t>Hàng tồn từ T7.2025</t>
  </si>
  <si>
    <t>1440/1230</t>
  </si>
  <si>
    <t>394/184</t>
  </si>
  <si>
    <t>27%/15%</t>
  </si>
  <si>
    <t>462/252</t>
  </si>
  <si>
    <t>32%/20%</t>
  </si>
  <si>
    <t>222/12</t>
  </si>
  <si>
    <t>15%/1%</t>
  </si>
  <si>
    <t>305/95</t>
  </si>
  <si>
    <t>21%/8%</t>
  </si>
  <si>
    <t>150/-60</t>
  </si>
  <si>
    <t>10%/-5%</t>
  </si>
  <si>
    <t>749/539</t>
  </si>
  <si>
    <t>52%/44%</t>
  </si>
  <si>
    <t>77/-133</t>
  </si>
  <si>
    <t>5%/-11%</t>
  </si>
  <si>
    <t>323/113</t>
  </si>
  <si>
    <t>22%/9%</t>
  </si>
  <si>
    <t>591/381</t>
  </si>
  <si>
    <t>41%/31%</t>
  </si>
  <si>
    <t>610/400</t>
  </si>
  <si>
    <t>42%/33%</t>
  </si>
  <si>
    <t>764/554</t>
  </si>
  <si>
    <t>53%/45%</t>
  </si>
  <si>
    <t>489/279</t>
  </si>
  <si>
    <t>34%/23%</t>
  </si>
  <si>
    <t>609/399</t>
  </si>
  <si>
    <t>42%/32%</t>
  </si>
  <si>
    <t>1340/1130</t>
  </si>
  <si>
    <t>40/40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</si>
</sst>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-* #,##0.00\ _₫_-;\-* #,##0.00\ _₫_-;_-* &quot;-&quot;??\ _₫_-;_-@_-"/>
    <numFmt numFmtId="169" formatCode="_ * #,##0.00_)_ ;_ * \(#,##0.00\)_ ;_ * &quot;-&quot;??_)_ ;_ @_ "/>
  </numFmts>
  <fonts count="39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  <font>
      <sz val="11"/>
      <color rgb="FF0000FF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0" fontId="35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7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4" fillId="0" borderId="0" applyFont="0" applyFill="0" applyBorder="0" applyAlignment="0" applyProtection="0"/>
  </cellStyleXfs>
  <cellXfs count="127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9" fontId="30" fillId="0" borderId="12" xfId="44" applyFont="1" applyBorder="1" applyAlignment="1">
      <alignment horizontal="center"/>
    </xf>
    <xf numFmtId="164" fontId="29" fillId="37" borderId="11" xfId="1" applyFont="1" applyFill="1" applyBorder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0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4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100" applyNumberFormat="1" applyFont="1" applyBorder="1" applyAlignment="1">
      <alignment horizontal="center"/>
    </xf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1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38" fillId="0" borderId="11" xfId="43" quotePrefix="1" applyNumberFormat="1" applyFont="1" applyBorder="1" applyAlignment="1">
      <alignment horizontal="center"/>
    </xf>
    <xf numFmtId="3" fontId="28" fillId="35" borderId="11" xfId="0" applyNumberFormat="1" applyFont="1" applyFill="1" applyBorder="1" applyAlignment="1">
      <alignment horizontal="right"/>
    </xf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0" fontId="27" fillId="42" borderId="0" xfId="0" applyFont="1" applyFill="1"/>
    <xf numFmtId="43" fontId="0" fillId="0" borderId="11" xfId="43" applyFont="1" applyBorder="1"/>
    <xf numFmtId="0" fontId="0" fillId="42" borderId="11" xfId="0" applyFill="1" applyBorder="1"/>
    <xf numFmtId="3" fontId="29" fillId="42" borderId="11" xfId="1" applyNumberFormat="1" applyFont="1" applyFill="1" applyBorder="1"/>
    <xf numFmtId="9" fontId="30" fillId="42" borderId="11" xfId="44" applyFont="1" applyFill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3" fontId="14" fillId="42" borderId="11" xfId="43" applyNumberFormat="1" applyFont="1" applyFill="1" applyBorder="1" applyAlignment="1">
      <alignment horizontal="center"/>
    </xf>
    <xf numFmtId="0" fontId="14" fillId="42" borderId="11" xfId="0" applyFont="1" applyFill="1" applyBorder="1"/>
    <xf numFmtId="3" fontId="14" fillId="42" borderId="11" xfId="99" applyNumberFormat="1" applyFont="1" applyFill="1" applyBorder="1" applyAlignment="1">
      <alignment horizont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>
    <tabColor rgb="FFFF33CC"/>
  </sheetPr>
  <dimension ref="A1:U123"/>
  <sheetViews>
    <sheetView showGridLines="0" tabSelected="1" zoomScale="85" zoomScaleNormal="85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J17" sqref="J17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3" customWidth="1"/>
    <col min="12" max="12" width="12.54296875" style="50" customWidth="1"/>
    <col min="13" max="13" width="12.1796875" style="65" customWidth="1"/>
    <col min="14" max="14" width="38.1796875" customWidth="1"/>
    <col min="15" max="15" width="63.81640625" bestFit="1" customWidth="1"/>
  </cols>
  <sheetData>
    <row r="1" spans="1:15" ht="21">
      <c r="B1" s="17" t="s">
        <v>253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334</v>
      </c>
      <c r="F4" s="16" t="s">
        <v>322</v>
      </c>
      <c r="G4" s="16" t="s">
        <v>335</v>
      </c>
      <c r="H4" s="73" t="s">
        <v>336</v>
      </c>
      <c r="I4" s="27" t="s">
        <v>337</v>
      </c>
      <c r="J4" s="27" t="s">
        <v>282</v>
      </c>
      <c r="K4" s="27" t="s">
        <v>285</v>
      </c>
      <c r="L4" s="27" t="s">
        <v>325</v>
      </c>
      <c r="M4" s="66" t="s">
        <v>299</v>
      </c>
      <c r="N4" s="11" t="s">
        <v>254</v>
      </c>
      <c r="O4" s="11" t="s">
        <v>238</v>
      </c>
    </row>
    <row r="5" spans="1:15" s="18" customFormat="1" ht="15.5">
      <c r="A5" s="14" t="s">
        <v>252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7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68"/>
      <c r="N6" s="13"/>
      <c r="O6" s="13"/>
    </row>
    <row r="7" spans="1:15" outlineLevel="1">
      <c r="A7" s="9">
        <v>1</v>
      </c>
      <c r="B7" s="4" t="s">
        <v>130</v>
      </c>
      <c r="C7" s="125" t="s">
        <v>16</v>
      </c>
      <c r="D7" s="24"/>
      <c r="E7" s="84">
        <f>SUMIFS('tồn TP 17.04'!F:F,'tồn TP 17.04'!A:A,'Trình bày'!B7)</f>
        <v>737486</v>
      </c>
      <c r="F7" s="84">
        <f>IFERROR(_xlfn.XLOOKUP(B7,'tồn TP 17.04'!A:A,'tồn TP 17.04'!J:J),0)</f>
        <v>2156000</v>
      </c>
      <c r="G7" s="84">
        <v>1280</v>
      </c>
      <c r="H7" s="85">
        <v>1380</v>
      </c>
      <c r="I7" s="46">
        <f>H7-G7</f>
        <v>100</v>
      </c>
      <c r="J7" s="124">
        <v>1157</v>
      </c>
      <c r="K7" s="86">
        <f>(H7-J7)</f>
        <v>223</v>
      </c>
      <c r="L7" s="53">
        <f>+K7/H7</f>
        <v>0.16159420289855073</v>
      </c>
      <c r="M7" s="69"/>
      <c r="N7" s="4"/>
      <c r="O7" s="4"/>
    </row>
    <row r="8" spans="1:15" outlineLevel="1">
      <c r="A8" s="9">
        <f>+A7+1</f>
        <v>2</v>
      </c>
      <c r="B8" s="4" t="s">
        <v>131</v>
      </c>
      <c r="C8" s="125" t="s">
        <v>17</v>
      </c>
      <c r="D8" s="24"/>
      <c r="E8" s="84">
        <f>SUMIFS('tồn TP 17.04'!F:F,'tồn TP 17.04'!A:A,'Trình bày'!B8)</f>
        <v>70122.75</v>
      </c>
      <c r="F8" s="84">
        <f>IFERROR(_xlfn.XLOOKUP(B8,'tồn TP 17.04'!A:A,'tồn TP 17.04'!J:J),0)</f>
        <v>198016.66666666666</v>
      </c>
      <c r="G8" s="84">
        <f>+G7+30</f>
        <v>1310</v>
      </c>
      <c r="H8" s="85">
        <f>+H7+30</f>
        <v>1410</v>
      </c>
      <c r="I8" s="46">
        <f t="shared" ref="I8:I17" si="0">H8-G8</f>
        <v>100</v>
      </c>
      <c r="J8" s="124">
        <f>+J7</f>
        <v>1157</v>
      </c>
      <c r="K8" s="86">
        <f t="shared" ref="K8:K14" si="1">(H8-J8)</f>
        <v>253</v>
      </c>
      <c r="L8" s="53">
        <f t="shared" ref="L8:L13" si="2">+K8/H8</f>
        <v>0.17943262411347519</v>
      </c>
      <c r="M8" s="69"/>
      <c r="N8" s="4"/>
      <c r="O8" s="4"/>
    </row>
    <row r="9" spans="1:15" outlineLevel="1">
      <c r="A9" s="9">
        <f t="shared" ref="A9:A15" si="3">+A8+1</f>
        <v>3</v>
      </c>
      <c r="B9" s="4" t="s">
        <v>121</v>
      </c>
      <c r="C9" s="118" t="s">
        <v>7</v>
      </c>
      <c r="D9" s="24"/>
      <c r="E9" s="84">
        <f>SUMIFS('tồn TP 17.04'!F:F,'tồn TP 17.04'!A:A,'Trình bày'!B9)</f>
        <v>428988.2</v>
      </c>
      <c r="F9" s="84">
        <f>IFERROR(_xlfn.XLOOKUP(B9,'tồn TP 17.04'!A:A,'tồn TP 17.04'!J:J),0)</f>
        <v>595466.66666666663</v>
      </c>
      <c r="G9" s="84">
        <f>G7+90</f>
        <v>1370</v>
      </c>
      <c r="H9" s="85">
        <f>H7+90</f>
        <v>1470</v>
      </c>
      <c r="I9" s="46">
        <f t="shared" si="0"/>
        <v>100</v>
      </c>
      <c r="J9" s="124">
        <v>1221</v>
      </c>
      <c r="K9" s="86">
        <f t="shared" si="1"/>
        <v>249</v>
      </c>
      <c r="L9" s="53">
        <f t="shared" si="2"/>
        <v>0.16938775510204082</v>
      </c>
      <c r="M9" s="69"/>
      <c r="N9" s="4"/>
      <c r="O9" s="4"/>
    </row>
    <row r="10" spans="1:15" outlineLevel="1">
      <c r="A10" s="9">
        <f t="shared" si="3"/>
        <v>4</v>
      </c>
      <c r="B10" s="4" t="s">
        <v>133</v>
      </c>
      <c r="C10" s="125" t="s">
        <v>19</v>
      </c>
      <c r="D10" s="24"/>
      <c r="E10" s="84">
        <f>SUMIFS('tồn TP 17.04'!F:F,'tồn TP 17.04'!A:A,'Trình bày'!B10)</f>
        <v>1911089.5</v>
      </c>
      <c r="F10" s="84">
        <f>IFERROR(_xlfn.XLOOKUP(B10,'tồn TP 17.04'!A:A,'tồn TP 17.04'!J:J),0)</f>
        <v>303283.33333333331</v>
      </c>
      <c r="G10" s="84">
        <f>+G7-70</f>
        <v>1210</v>
      </c>
      <c r="H10" s="85">
        <f>+H7-70</f>
        <v>1310</v>
      </c>
      <c r="I10" s="46">
        <f t="shared" si="0"/>
        <v>100</v>
      </c>
      <c r="J10" s="124">
        <f>+J7</f>
        <v>1157</v>
      </c>
      <c r="K10" s="86">
        <f t="shared" si="1"/>
        <v>153</v>
      </c>
      <c r="L10" s="53">
        <f t="shared" si="2"/>
        <v>0.116793893129771</v>
      </c>
      <c r="M10" s="69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84">
        <f>SUMIFS('tồn TP 17.04'!F:F,'tồn TP 17.04'!A:A,'Trình bày'!B11)</f>
        <v>384888</v>
      </c>
      <c r="F11" s="84">
        <f>IFERROR(_xlfn.XLOOKUP(B11,'tồn TP 17.04'!A:A,'tồn TP 17.04'!J:J),0)</f>
        <v>36666.666666666664</v>
      </c>
      <c r="G11" s="88">
        <v>1290</v>
      </c>
      <c r="H11" s="89">
        <v>1290</v>
      </c>
      <c r="I11" s="46">
        <f t="shared" si="0"/>
        <v>0</v>
      </c>
      <c r="J11" s="87">
        <v>1239</v>
      </c>
      <c r="K11" s="86">
        <f t="shared" si="1"/>
        <v>51</v>
      </c>
      <c r="L11" s="53">
        <f t="shared" si="2"/>
        <v>3.9534883720930232E-2</v>
      </c>
      <c r="M11" s="74"/>
      <c r="N11" s="4" t="s">
        <v>266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SUMIFS('tồn TP 17.04'!F:F,'tồn TP 17.04'!A:A,'Trình bày'!B12)</f>
        <v>0</v>
      </c>
      <c r="F12" s="5">
        <f>IFERROR(_xlfn.XLOOKUP(B12,'tồn TP 17.04'!A:A,'tồn TP 17.04'!J:J),0)</f>
        <v>0</v>
      </c>
      <c r="G12" s="64"/>
      <c r="H12" s="63"/>
      <c r="I12" s="46">
        <f t="shared" si="0"/>
        <v>0</v>
      </c>
      <c r="J12" s="76"/>
      <c r="K12" s="46">
        <f t="shared" si="1"/>
        <v>0</v>
      </c>
      <c r="L12" s="53"/>
      <c r="M12" s="74"/>
      <c r="N12" s="4"/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84">
        <f>SUMIFS('tồn TP 17.04'!F:F,'tồn TP 17.04'!A:A,'Trình bày'!B13)</f>
        <v>28530</v>
      </c>
      <c r="F13" s="84">
        <f>IFERROR(_xlfn.XLOOKUP(B13,'tồn TP 17.04'!A:A,'tồn TP 17.04'!J:J),0)</f>
        <v>1833.3333333333333</v>
      </c>
      <c r="G13" s="84">
        <f>G7</f>
        <v>1280</v>
      </c>
      <c r="H13" s="85">
        <f>H7</f>
        <v>1380</v>
      </c>
      <c r="I13" s="46">
        <f t="shared" si="0"/>
        <v>100</v>
      </c>
      <c r="J13" s="87">
        <v>1056</v>
      </c>
      <c r="K13" s="86">
        <f t="shared" si="1"/>
        <v>324</v>
      </c>
      <c r="L13" s="53">
        <f t="shared" si="2"/>
        <v>0.23478260869565218</v>
      </c>
      <c r="M13" s="69"/>
      <c r="N13" s="4"/>
      <c r="O13" s="4"/>
    </row>
    <row r="14" spans="1:15" outlineLevel="1">
      <c r="A14" s="9">
        <f t="shared" si="3"/>
        <v>8</v>
      </c>
      <c r="B14" s="4" t="s">
        <v>273</v>
      </c>
      <c r="C14" s="4" t="s">
        <v>274</v>
      </c>
      <c r="D14" s="24"/>
      <c r="E14" s="5">
        <f>SUMIFS('tồn TP 17.04'!F:F,'tồn TP 17.04'!A:A,'Trình bày'!B14)</f>
        <v>0</v>
      </c>
      <c r="F14" s="5">
        <f>IFERROR(_xlfn.XLOOKUP(B14,'tồn TP 17.04'!A:A,'tồn TP 17.04'!J:J),0)</f>
        <v>0</v>
      </c>
      <c r="G14" s="5"/>
      <c r="H14" s="40"/>
      <c r="I14" s="46">
        <f t="shared" si="0"/>
        <v>0</v>
      </c>
      <c r="J14" s="77"/>
      <c r="K14" s="46">
        <f t="shared" si="1"/>
        <v>0</v>
      </c>
      <c r="L14" s="53"/>
      <c r="M14" s="69"/>
      <c r="N14" s="4"/>
      <c r="O14" s="4"/>
    </row>
    <row r="15" spans="1:15" outlineLevel="1">
      <c r="A15" s="9">
        <f t="shared" si="3"/>
        <v>9</v>
      </c>
      <c r="B15" s="4" t="s">
        <v>275</v>
      </c>
      <c r="C15" s="4" t="s">
        <v>276</v>
      </c>
      <c r="D15" s="24"/>
      <c r="E15" s="84">
        <f>SUMIFS('tồn TP 17.04'!F:F,'tồn TP 17.04'!A:A,'Trình bày'!B15)</f>
        <v>65840</v>
      </c>
      <c r="F15" s="84">
        <f>IFERROR(_xlfn.XLOOKUP(B15,'tồn TP 17.04'!A:A,'tồn TP 17.04'!J:J),0)</f>
        <v>0</v>
      </c>
      <c r="G15" s="88"/>
      <c r="H15" s="89"/>
      <c r="I15" s="86">
        <f t="shared" si="0"/>
        <v>0</v>
      </c>
      <c r="J15" s="90">
        <f>32400/26.5</f>
        <v>1222.6415094339623</v>
      </c>
      <c r="K15" s="86">
        <f t="shared" ref="K15:K17" si="4">(H15-J15)</f>
        <v>-1222.6415094339623</v>
      </c>
      <c r="L15" s="53" t="e">
        <f t="shared" ref="L15:L17" si="5">+K15/H15</f>
        <v>#DIV/0!</v>
      </c>
      <c r="M15" s="74"/>
      <c r="N15" s="4"/>
      <c r="O15" s="4" t="s">
        <v>301</v>
      </c>
    </row>
    <row r="16" spans="1:15" outlineLevel="1">
      <c r="A16" s="9">
        <f>+A14+1</f>
        <v>9</v>
      </c>
      <c r="B16" s="4" t="s">
        <v>209</v>
      </c>
      <c r="C16" s="4" t="s">
        <v>95</v>
      </c>
      <c r="D16" s="24"/>
      <c r="E16" s="84">
        <f>SUMIFS('tồn TP 17.04'!F:F,'tồn TP 17.04'!A:A,'Trình bày'!B16)</f>
        <v>1035.5</v>
      </c>
      <c r="F16" s="84">
        <f>IFERROR(_xlfn.XLOOKUP(B16,'tồn TP 17.04'!A:A,'tồn TP 17.04'!J:J),0)</f>
        <v>2200</v>
      </c>
      <c r="G16" s="84">
        <f>G7</f>
        <v>1280</v>
      </c>
      <c r="H16" s="85">
        <f>H7</f>
        <v>1380</v>
      </c>
      <c r="I16" s="46">
        <f t="shared" ref="I16" si="6">H16-G16</f>
        <v>100</v>
      </c>
      <c r="J16" s="91">
        <f>29605/26.5</f>
        <v>1117.1698113207547</v>
      </c>
      <c r="K16" s="86">
        <f t="shared" ref="K16" si="7">(H16-J16)</f>
        <v>262.83018867924534</v>
      </c>
      <c r="L16" s="53">
        <f t="shared" ref="L16" si="8">+K16/H16</f>
        <v>0.19045665846322127</v>
      </c>
      <c r="M16" s="69"/>
      <c r="N16" s="4" t="s">
        <v>255</v>
      </c>
      <c r="O16" s="4" t="s">
        <v>301</v>
      </c>
    </row>
    <row r="17" spans="1:15" outlineLevel="1">
      <c r="A17" s="9">
        <f>+A15+1</f>
        <v>10</v>
      </c>
      <c r="B17" s="4" t="s">
        <v>296</v>
      </c>
      <c r="C17" s="125" t="s">
        <v>300</v>
      </c>
      <c r="D17" s="24"/>
      <c r="E17" s="84">
        <f>SUMIFS('tồn TP 17.04'!F:F,'tồn TP 17.04'!A:A,'Trình bày'!B17)</f>
        <v>265836</v>
      </c>
      <c r="F17" s="84">
        <f>IFERROR(_xlfn.XLOOKUP(B17,'tồn TP 17.04'!A:A,'tồn TP 17.04'!J:J),0)</f>
        <v>0</v>
      </c>
      <c r="G17" s="84">
        <v>0</v>
      </c>
      <c r="H17" s="85">
        <f>H7-320</f>
        <v>1060</v>
      </c>
      <c r="I17" s="46">
        <f t="shared" si="0"/>
        <v>1060</v>
      </c>
      <c r="J17" s="126">
        <v>844</v>
      </c>
      <c r="K17" s="86">
        <f t="shared" si="4"/>
        <v>216</v>
      </c>
      <c r="L17" s="53">
        <f t="shared" si="5"/>
        <v>0.20377358490566039</v>
      </c>
      <c r="M17" s="69"/>
      <c r="N17" s="4" t="s">
        <v>255</v>
      </c>
      <c r="O17" s="4"/>
    </row>
    <row r="18" spans="1:15" s="18" customFormat="1" ht="15.5">
      <c r="A18" s="12" t="s">
        <v>241</v>
      </c>
      <c r="B18" s="13" t="s">
        <v>242</v>
      </c>
      <c r="C18" s="13"/>
      <c r="D18" s="23"/>
      <c r="E18" s="92"/>
      <c r="F18" s="92"/>
      <c r="G18" s="92"/>
      <c r="H18" s="93"/>
      <c r="I18" s="94"/>
      <c r="J18" s="95"/>
      <c r="K18" s="94"/>
      <c r="L18" s="54"/>
      <c r="M18" s="70"/>
      <c r="N18" s="13"/>
      <c r="O18" s="13"/>
    </row>
    <row r="19" spans="1:15" outlineLevel="1">
      <c r="A19" s="9">
        <v>1</v>
      </c>
      <c r="B19" s="4" t="s">
        <v>148</v>
      </c>
      <c r="C19" s="4" t="s">
        <v>34</v>
      </c>
      <c r="D19" s="24"/>
      <c r="E19" s="84">
        <f>SUMIFS('tồn TP 17.04'!F:F,'tồn TP 17.04'!A:A,'Trình bày'!B19)</f>
        <v>1246297</v>
      </c>
      <c r="F19" s="84">
        <f>IFERROR(_xlfn.XLOOKUP(B19,'tồn TP 17.04'!A:A,'tồn TP 17.04'!J:J),0)</f>
        <v>330000</v>
      </c>
      <c r="G19" s="84">
        <f>+G7+30</f>
        <v>1310</v>
      </c>
      <c r="H19" s="85">
        <f>+H7+30</f>
        <v>1410</v>
      </c>
      <c r="I19" s="46">
        <f t="shared" ref="I19:I29" si="9">H19-G19</f>
        <v>100</v>
      </c>
      <c r="J19" s="87">
        <f>+J7</f>
        <v>1157</v>
      </c>
      <c r="K19" s="86">
        <f t="shared" ref="K19:K20" si="10">(H19-J19)</f>
        <v>253</v>
      </c>
      <c r="L19" s="53">
        <f t="shared" ref="L19:L20" si="11">+K19/H19</f>
        <v>0.17943262411347519</v>
      </c>
      <c r="M19" s="69">
        <f>M8</f>
        <v>0</v>
      </c>
      <c r="N19" s="4" t="s">
        <v>267</v>
      </c>
      <c r="O19" s="4"/>
    </row>
    <row r="20" spans="1:15" outlineLevel="1">
      <c r="A20" s="9">
        <f>+A19+1</f>
        <v>2</v>
      </c>
      <c r="B20" s="4" t="s">
        <v>147</v>
      </c>
      <c r="C20" s="4" t="s">
        <v>33</v>
      </c>
      <c r="D20" s="24"/>
      <c r="E20" s="84">
        <f>SUMIFS('tồn TP 17.04'!F:F,'tồn TP 17.04'!A:A,'Trình bày'!B20)</f>
        <v>134200</v>
      </c>
      <c r="F20" s="84">
        <f>IFERROR(_xlfn.XLOOKUP(B20,'tồn TP 17.04'!A:A,'tồn TP 17.04'!J:J),0)</f>
        <v>7333.333333333333</v>
      </c>
      <c r="G20" s="84">
        <f>G7</f>
        <v>1280</v>
      </c>
      <c r="H20" s="85">
        <f>H7</f>
        <v>1380</v>
      </c>
      <c r="I20" s="46">
        <f t="shared" si="9"/>
        <v>100</v>
      </c>
      <c r="J20" s="87">
        <f>+J8</f>
        <v>1157</v>
      </c>
      <c r="K20" s="86">
        <f t="shared" si="10"/>
        <v>223</v>
      </c>
      <c r="L20" s="53">
        <f t="shared" si="11"/>
        <v>0.16159420289855073</v>
      </c>
      <c r="M20" s="69">
        <f>M7</f>
        <v>0</v>
      </c>
      <c r="N20" s="4" t="s">
        <v>268</v>
      </c>
      <c r="O20" s="4"/>
    </row>
    <row r="21" spans="1:15" outlineLevel="1">
      <c r="A21" s="9">
        <f t="shared" ref="A21:A29" si="12">+A20+1</f>
        <v>3</v>
      </c>
      <c r="B21" s="4" t="s">
        <v>151</v>
      </c>
      <c r="C21" s="4" t="s">
        <v>37</v>
      </c>
      <c r="D21" s="24"/>
      <c r="E21" s="84">
        <f>SUMIFS('tồn TP 17.04'!F:F,'tồn TP 17.04'!A:A,'Trình bày'!B21)</f>
        <v>52800</v>
      </c>
      <c r="F21" s="84">
        <f>IFERROR(_xlfn.XLOOKUP(B21,'tồn TP 17.04'!A:A,'tồn TP 17.04'!J:J),0)</f>
        <v>0</v>
      </c>
      <c r="G21" s="84"/>
      <c r="H21" s="85"/>
      <c r="I21" s="46">
        <f t="shared" si="9"/>
        <v>0</v>
      </c>
      <c r="J21" s="87">
        <f>29396/26.5</f>
        <v>1109.2830188679245</v>
      </c>
      <c r="K21" s="86"/>
      <c r="L21" s="53"/>
      <c r="M21" s="69"/>
      <c r="N21" s="4" t="s">
        <v>269</v>
      </c>
      <c r="O21" s="4" t="s">
        <v>301</v>
      </c>
    </row>
    <row r="22" spans="1:15" outlineLevel="1">
      <c r="A22" s="9">
        <f t="shared" si="12"/>
        <v>4</v>
      </c>
      <c r="B22" s="4" t="s">
        <v>123</v>
      </c>
      <c r="C22" s="4" t="s">
        <v>9</v>
      </c>
      <c r="D22" s="24"/>
      <c r="E22" s="5">
        <f>SUMIFS('tồn TP 17.04'!F:F,'tồn TP 17.04'!A:A,'Trình bày'!B22)</f>
        <v>0</v>
      </c>
      <c r="F22" s="5">
        <f>IFERROR(_xlfn.XLOOKUP(B22,'tồn TP 17.04'!A:A,'tồn TP 17.04'!J:J),0)</f>
        <v>0</v>
      </c>
      <c r="G22" s="5"/>
      <c r="H22" s="40"/>
      <c r="I22" s="46">
        <f t="shared" si="9"/>
        <v>0</v>
      </c>
      <c r="J22" s="42"/>
      <c r="K22" s="46">
        <f t="shared" ref="K22:K23" si="13">(H22-J22)</f>
        <v>0</v>
      </c>
      <c r="L22" s="53"/>
      <c r="M22" s="69"/>
      <c r="N22" s="4"/>
      <c r="O22" s="4" t="s">
        <v>301</v>
      </c>
    </row>
    <row r="23" spans="1:15" outlineLevel="1">
      <c r="A23" s="9">
        <f t="shared" si="12"/>
        <v>5</v>
      </c>
      <c r="B23" s="4" t="s">
        <v>132</v>
      </c>
      <c r="C23" s="4" t="s">
        <v>18</v>
      </c>
      <c r="D23" s="24"/>
      <c r="E23" s="5">
        <f>SUMIFS('tồn TP 17.04'!F:F,'tồn TP 17.04'!A:A,'Trình bày'!B23)</f>
        <v>0</v>
      </c>
      <c r="F23" s="5">
        <f>IFERROR(_xlfn.XLOOKUP(B23,'tồn TP 17.04'!A:A,'tồn TP 17.04'!J:J),0)</f>
        <v>0</v>
      </c>
      <c r="G23" s="5"/>
      <c r="H23" s="40"/>
      <c r="I23" s="46">
        <f t="shared" si="9"/>
        <v>0</v>
      </c>
      <c r="J23" s="42"/>
      <c r="K23" s="46">
        <f t="shared" si="13"/>
        <v>0</v>
      </c>
      <c r="L23" s="53"/>
      <c r="M23" s="69"/>
      <c r="N23" s="4"/>
      <c r="O23" s="4"/>
    </row>
    <row r="24" spans="1:15" outlineLevel="1">
      <c r="A24" s="9">
        <f t="shared" si="12"/>
        <v>6</v>
      </c>
      <c r="B24" s="4" t="s">
        <v>202</v>
      </c>
      <c r="C24" s="4" t="s">
        <v>88</v>
      </c>
      <c r="D24" s="24"/>
      <c r="E24" s="84">
        <f>SUMIFS('tồn TP 17.04'!F:F,'tồn TP 17.04'!A:A,'Trình bày'!B24)</f>
        <v>50600</v>
      </c>
      <c r="F24" s="84">
        <f>IFERROR(_xlfn.XLOOKUP(B24,'tồn TP 17.04'!A:A,'tồn TP 17.04'!J:J),0)</f>
        <v>0</v>
      </c>
      <c r="G24" s="84"/>
      <c r="H24" s="85"/>
      <c r="I24" s="46">
        <f t="shared" si="9"/>
        <v>0</v>
      </c>
      <c r="J24" s="87">
        <f>27618/26.5</f>
        <v>1042.1886792452831</v>
      </c>
      <c r="K24" s="86"/>
      <c r="L24" s="53"/>
      <c r="M24" s="69"/>
      <c r="N24" s="4" t="s">
        <v>269</v>
      </c>
      <c r="O24" s="4" t="s">
        <v>301</v>
      </c>
    </row>
    <row r="25" spans="1:15" outlineLevel="1">
      <c r="A25" s="9">
        <f t="shared" si="12"/>
        <v>7</v>
      </c>
      <c r="B25" s="4" t="s">
        <v>122</v>
      </c>
      <c r="C25" s="4" t="s">
        <v>8</v>
      </c>
      <c r="D25" s="24"/>
      <c r="E25" s="5">
        <f>SUMIFS('tồn TP 17.04'!F:F,'tồn TP 17.04'!A:A,'Trình bày'!B25)</f>
        <v>0</v>
      </c>
      <c r="F25" s="5">
        <f>IFERROR(_xlfn.XLOOKUP(B25,'tồn TP 17.04'!A:A,'tồn TP 17.04'!J:J),0)</f>
        <v>0</v>
      </c>
      <c r="G25" s="5"/>
      <c r="H25" s="40"/>
      <c r="I25" s="46">
        <f t="shared" si="9"/>
        <v>0</v>
      </c>
      <c r="J25" s="42"/>
      <c r="K25" s="46">
        <f t="shared" ref="K25" si="14">(H25-J25)</f>
        <v>0</v>
      </c>
      <c r="L25" s="53"/>
      <c r="M25" s="69"/>
      <c r="N25" s="4"/>
      <c r="O25" s="4" t="s">
        <v>301</v>
      </c>
    </row>
    <row r="26" spans="1:15" outlineLevel="1">
      <c r="A26" s="9">
        <f t="shared" si="12"/>
        <v>8</v>
      </c>
      <c r="B26" s="4" t="s">
        <v>146</v>
      </c>
      <c r="C26" s="4" t="s">
        <v>32</v>
      </c>
      <c r="D26" s="24"/>
      <c r="E26" s="84">
        <f>SUMIFS('tồn TP 17.04'!F:F,'tồn TP 17.04'!A:A,'Trình bày'!B26)</f>
        <v>800</v>
      </c>
      <c r="F26" s="84">
        <f>IFERROR(_xlfn.XLOOKUP(B26,'tồn TP 17.04'!A:A,'tồn TP 17.04'!J:J),0)</f>
        <v>0</v>
      </c>
      <c r="G26" s="84"/>
      <c r="H26" s="85"/>
      <c r="I26" s="46">
        <f t="shared" si="9"/>
        <v>0</v>
      </c>
      <c r="J26" s="87">
        <f>31171/26.5</f>
        <v>1176.2641509433963</v>
      </c>
      <c r="K26" s="86"/>
      <c r="L26" s="53"/>
      <c r="M26" s="69"/>
      <c r="N26" s="4" t="s">
        <v>270</v>
      </c>
      <c r="O26" s="4" t="s">
        <v>301</v>
      </c>
    </row>
    <row r="27" spans="1:15" outlineLevel="1">
      <c r="A27" s="9">
        <f t="shared" si="12"/>
        <v>9</v>
      </c>
      <c r="B27" s="4" t="s">
        <v>120</v>
      </c>
      <c r="C27" s="4" t="s">
        <v>6</v>
      </c>
      <c r="D27" s="24"/>
      <c r="E27" s="5">
        <f>SUMIFS('tồn TP 17.04'!F:F,'tồn TP 17.04'!A:A,'Trình bày'!B27)</f>
        <v>0</v>
      </c>
      <c r="F27" s="5">
        <f>IFERROR(_xlfn.XLOOKUP(B27,'tồn TP 17.04'!A:A,'tồn TP 17.04'!J:J),0)</f>
        <v>0</v>
      </c>
      <c r="G27" s="5"/>
      <c r="H27" s="40"/>
      <c r="I27" s="46">
        <f t="shared" si="9"/>
        <v>0</v>
      </c>
      <c r="J27" s="42"/>
      <c r="K27" s="46">
        <f t="shared" ref="K27:K29" si="15">(H27-J27)</f>
        <v>0</v>
      </c>
      <c r="L27" s="53"/>
      <c r="M27" s="69"/>
      <c r="N27" s="4"/>
      <c r="O27" s="4"/>
    </row>
    <row r="28" spans="1:15" outlineLevel="1">
      <c r="A28" s="9">
        <f t="shared" si="12"/>
        <v>10</v>
      </c>
      <c r="B28" s="4" t="s">
        <v>119</v>
      </c>
      <c r="C28" s="4" t="s">
        <v>5</v>
      </c>
      <c r="D28" s="24"/>
      <c r="E28" s="5">
        <f>SUMIFS('tồn TP 17.04'!F:F,'tồn TP 17.04'!A:A,'Trình bày'!B28)</f>
        <v>0</v>
      </c>
      <c r="F28" s="5">
        <f>IFERROR(_xlfn.XLOOKUP(B28,'tồn TP 17.04'!A:A,'tồn TP 17.04'!J:J),0)</f>
        <v>0</v>
      </c>
      <c r="G28" s="5"/>
      <c r="H28" s="40"/>
      <c r="I28" s="46">
        <f t="shared" si="9"/>
        <v>0</v>
      </c>
      <c r="J28" s="42"/>
      <c r="K28" s="46">
        <f t="shared" si="15"/>
        <v>0</v>
      </c>
      <c r="L28" s="53"/>
      <c r="M28" s="69"/>
      <c r="N28" s="4"/>
      <c r="O28" s="4"/>
    </row>
    <row r="29" spans="1:15" outlineLevel="1">
      <c r="A29" s="9">
        <f t="shared" si="12"/>
        <v>11</v>
      </c>
      <c r="B29" s="4" t="s">
        <v>206</v>
      </c>
      <c r="C29" s="4" t="s">
        <v>92</v>
      </c>
      <c r="D29" s="24"/>
      <c r="E29" s="5">
        <f>SUMIFS('tồn TP 17.04'!F:F,'tồn TP 17.04'!A:A,'Trình bày'!B29)</f>
        <v>0</v>
      </c>
      <c r="F29" s="5">
        <f>IFERROR(_xlfn.XLOOKUP(B29,'tồn TP 17.04'!A:A,'tồn TP 17.04'!J:J),0)</f>
        <v>0</v>
      </c>
      <c r="G29" s="5"/>
      <c r="H29" s="40"/>
      <c r="I29" s="46">
        <f t="shared" si="9"/>
        <v>0</v>
      </c>
      <c r="J29" s="41"/>
      <c r="K29" s="46">
        <f t="shared" si="15"/>
        <v>0</v>
      </c>
      <c r="L29" s="53"/>
      <c r="M29" s="69"/>
      <c r="N29" s="4"/>
      <c r="O29" s="4"/>
    </row>
    <row r="30" spans="1:15" s="18" customFormat="1" ht="15.5">
      <c r="A30" s="12" t="s">
        <v>243</v>
      </c>
      <c r="B30" s="13" t="s">
        <v>289</v>
      </c>
      <c r="C30" s="13"/>
      <c r="D30" s="23"/>
      <c r="E30" s="92"/>
      <c r="F30" s="92"/>
      <c r="G30" s="92"/>
      <c r="H30" s="93"/>
      <c r="I30" s="94"/>
      <c r="J30" s="95"/>
      <c r="K30" s="94"/>
      <c r="L30" s="54"/>
      <c r="M30" s="70"/>
      <c r="N30" s="13"/>
      <c r="O30" s="13"/>
    </row>
    <row r="31" spans="1:15" outlineLevel="1">
      <c r="A31" s="9">
        <v>1</v>
      </c>
      <c r="B31" s="4" t="s">
        <v>201</v>
      </c>
      <c r="C31" s="4" t="s">
        <v>87</v>
      </c>
      <c r="D31" s="24"/>
      <c r="E31" s="84">
        <f>SUMIFS('tồn TP 17.04'!F:F,'tồn TP 17.04'!A:A,'Trình bày'!B31)</f>
        <v>11899</v>
      </c>
      <c r="F31" s="84">
        <f>IFERROR(_xlfn.XLOOKUP(B31,'tồn TP 17.04'!A:A,'tồn TP 17.04'!J:J),0)</f>
        <v>0</v>
      </c>
      <c r="G31" s="84"/>
      <c r="H31" s="85"/>
      <c r="I31" s="46">
        <f t="shared" ref="I31:I38" si="16">H31-G31</f>
        <v>0</v>
      </c>
      <c r="J31" s="87">
        <f>26575/26.5</f>
        <v>1002.8301886792453</v>
      </c>
      <c r="K31" s="86">
        <f t="shared" ref="K31:K33" si="17">(H31-J31)</f>
        <v>-1002.8301886792453</v>
      </c>
      <c r="L31" s="53" t="e">
        <f t="shared" ref="L31:L33" si="18">+K31/H31</f>
        <v>#DIV/0!</v>
      </c>
      <c r="M31" s="69"/>
      <c r="N31" s="4"/>
      <c r="O31" s="4" t="s">
        <v>338</v>
      </c>
    </row>
    <row r="32" spans="1:15" outlineLevel="1">
      <c r="A32" s="9">
        <f>A31+1</f>
        <v>2</v>
      </c>
      <c r="B32" s="4" t="s">
        <v>182</v>
      </c>
      <c r="C32" s="4" t="s">
        <v>68</v>
      </c>
      <c r="D32" s="24"/>
      <c r="E32" s="84">
        <f>SUMIFS('tồn TP 17.04'!F:F,'tồn TP 17.04'!A:A,'Trình bày'!B32)</f>
        <v>150922.70000000001</v>
      </c>
      <c r="F32" s="84">
        <f>IFERROR(_xlfn.XLOOKUP(B32,'tồn TP 17.04'!A:A,'tồn TP 17.04'!J:J),0)</f>
        <v>144266.66666666666</v>
      </c>
      <c r="G32" s="84"/>
      <c r="H32" s="85"/>
      <c r="I32" s="46">
        <f t="shared" si="16"/>
        <v>0</v>
      </c>
      <c r="J32" s="87">
        <v>956</v>
      </c>
      <c r="K32" s="86">
        <f t="shared" si="17"/>
        <v>-956</v>
      </c>
      <c r="L32" s="53" t="e">
        <f t="shared" si="18"/>
        <v>#DIV/0!</v>
      </c>
      <c r="M32" s="69"/>
      <c r="N32" s="4"/>
      <c r="O32" s="4"/>
    </row>
    <row r="33" spans="1:15" outlineLevel="1">
      <c r="A33" s="9">
        <f t="shared" ref="A33:A39" si="19">A32+1</f>
        <v>3</v>
      </c>
      <c r="B33" s="4" t="s">
        <v>150</v>
      </c>
      <c r="C33" s="4" t="s">
        <v>36</v>
      </c>
      <c r="D33" s="24"/>
      <c r="E33" s="84">
        <f>SUMIFS('tồn TP 17.04'!F:F,'tồn TP 17.04'!A:A,'Trình bày'!B33)</f>
        <v>6837.7</v>
      </c>
      <c r="F33" s="84">
        <f>IFERROR(_xlfn.XLOOKUP(B33,'tồn TP 17.04'!A:A,'tồn TP 17.04'!J:J),0)</f>
        <v>3150</v>
      </c>
      <c r="G33" s="84">
        <f>G7-130</f>
        <v>1150</v>
      </c>
      <c r="H33" s="85">
        <f>H7-130</f>
        <v>1250</v>
      </c>
      <c r="I33" s="46">
        <f t="shared" si="16"/>
        <v>100</v>
      </c>
      <c r="J33" s="87">
        <v>519</v>
      </c>
      <c r="K33" s="86">
        <f t="shared" si="17"/>
        <v>731</v>
      </c>
      <c r="L33" s="53">
        <f t="shared" si="18"/>
        <v>0.58479999999999999</v>
      </c>
      <c r="M33" s="69"/>
      <c r="N33" s="4"/>
      <c r="O33" s="4" t="s">
        <v>246</v>
      </c>
    </row>
    <row r="34" spans="1:15" outlineLevel="1">
      <c r="A34" s="9">
        <f t="shared" si="19"/>
        <v>4</v>
      </c>
      <c r="B34" s="4" t="s">
        <v>152</v>
      </c>
      <c r="C34" s="4" t="s">
        <v>38</v>
      </c>
      <c r="D34" s="24"/>
      <c r="E34" s="84">
        <f>SUMIFS('tồn TP 17.04'!F:F,'tồn TP 17.04'!A:A,'Trình bày'!B34)</f>
        <v>0</v>
      </c>
      <c r="F34" s="84">
        <f>IFERROR(_xlfn.XLOOKUP(B34,'tồn TP 17.04'!A:A,'tồn TP 17.04'!J:J),0)</f>
        <v>0</v>
      </c>
      <c r="G34" s="84"/>
      <c r="H34" s="85"/>
      <c r="I34" s="46">
        <f t="shared" si="16"/>
        <v>0</v>
      </c>
      <c r="J34" s="87"/>
      <c r="K34" s="86"/>
      <c r="L34" s="53"/>
      <c r="M34" s="69"/>
      <c r="N34" s="4"/>
      <c r="O34" s="4" t="s">
        <v>249</v>
      </c>
    </row>
    <row r="35" spans="1:15" outlineLevel="1">
      <c r="A35" s="9">
        <f t="shared" si="19"/>
        <v>5</v>
      </c>
      <c r="B35" s="4" t="s">
        <v>149</v>
      </c>
      <c r="C35" s="4" t="s">
        <v>35</v>
      </c>
      <c r="D35" s="24"/>
      <c r="E35" s="84">
        <f>SUMIFS('tồn TP 17.04'!F:F,'tồn TP 17.04'!A:A,'Trình bày'!B35)</f>
        <v>219291.2</v>
      </c>
      <c r="F35" s="84">
        <f>IFERROR(_xlfn.XLOOKUP(B35,'tồn TP 17.04'!A:A,'tồn TP 17.04'!J:J),0)</f>
        <v>1133.3333333333333</v>
      </c>
      <c r="G35" s="84">
        <f>G33</f>
        <v>1150</v>
      </c>
      <c r="H35" s="85">
        <f>H33</f>
        <v>1250</v>
      </c>
      <c r="I35" s="46">
        <f t="shared" si="16"/>
        <v>100</v>
      </c>
      <c r="J35" s="87">
        <v>590</v>
      </c>
      <c r="K35" s="86">
        <f t="shared" ref="K35:K38" si="20">(H35-J35)</f>
        <v>660</v>
      </c>
      <c r="L35" s="53">
        <f t="shared" ref="L35:L38" si="21">+K35/H35</f>
        <v>0.52800000000000002</v>
      </c>
      <c r="M35" s="69"/>
      <c r="N35" s="4"/>
      <c r="O35" s="4" t="s">
        <v>247</v>
      </c>
    </row>
    <row r="36" spans="1:15" outlineLevel="1">
      <c r="A36" s="9">
        <f t="shared" si="19"/>
        <v>6</v>
      </c>
      <c r="B36" s="4" t="s">
        <v>154</v>
      </c>
      <c r="C36" s="4" t="s">
        <v>40</v>
      </c>
      <c r="D36" s="24"/>
      <c r="E36" s="84">
        <f>SUMIFS('tồn TP 17.04'!F:F,'tồn TP 17.04'!A:A,'Trình bày'!B36)</f>
        <v>0</v>
      </c>
      <c r="F36" s="84">
        <f>IFERROR(_xlfn.XLOOKUP(B36,'tồn TP 17.04'!A:A,'tồn TP 17.04'!J:J),0)</f>
        <v>0</v>
      </c>
      <c r="G36" s="84">
        <f>G33</f>
        <v>1150</v>
      </c>
      <c r="H36" s="85">
        <f>H33</f>
        <v>1250</v>
      </c>
      <c r="I36" s="46">
        <f t="shared" si="16"/>
        <v>100</v>
      </c>
      <c r="J36" s="87">
        <f>32081/26.5</f>
        <v>1210.6037735849056</v>
      </c>
      <c r="K36" s="86">
        <f t="shared" si="20"/>
        <v>39.396226415094361</v>
      </c>
      <c r="L36" s="53">
        <f t="shared" si="21"/>
        <v>3.1516981132075489E-2</v>
      </c>
      <c r="M36" s="69"/>
      <c r="N36" s="4" t="s">
        <v>328</v>
      </c>
      <c r="O36" s="4"/>
    </row>
    <row r="37" spans="1:15" outlineLevel="1">
      <c r="A37" s="9">
        <f t="shared" si="19"/>
        <v>7</v>
      </c>
      <c r="B37" s="4" t="s">
        <v>331</v>
      </c>
      <c r="C37" s="4" t="s">
        <v>332</v>
      </c>
      <c r="D37" s="24"/>
      <c r="E37" s="84">
        <f>SUMIFS('tồn TP 17.04'!F:F,'tồn TP 17.04'!A:A,'Trình bày'!B37)</f>
        <v>50</v>
      </c>
      <c r="F37" s="84">
        <f>IFERROR(_xlfn.XLOOKUP(B37,'tồn TP 17.04'!A:A,'tồn TP 17.04'!J:J),0)</f>
        <v>0</v>
      </c>
      <c r="G37" s="84">
        <f>G34</f>
        <v>0</v>
      </c>
      <c r="H37" s="85">
        <f>H7-130</f>
        <v>1250</v>
      </c>
      <c r="I37" s="46">
        <f t="shared" ref="I37" si="22">H37-G37</f>
        <v>1250</v>
      </c>
      <c r="J37" s="87">
        <v>994</v>
      </c>
      <c r="K37" s="86">
        <f t="shared" ref="K37" si="23">(H37-J37)</f>
        <v>256</v>
      </c>
      <c r="L37" s="53">
        <f t="shared" ref="L37" si="24">+K37/H37</f>
        <v>0.20480000000000001</v>
      </c>
      <c r="M37" s="69"/>
      <c r="N37" s="4"/>
      <c r="O37" s="4"/>
    </row>
    <row r="38" spans="1:15" outlineLevel="1">
      <c r="A38" s="9">
        <f t="shared" si="19"/>
        <v>8</v>
      </c>
      <c r="B38" s="4" t="s">
        <v>200</v>
      </c>
      <c r="C38" s="4" t="s">
        <v>86</v>
      </c>
      <c r="D38" s="24"/>
      <c r="E38" s="84">
        <f>SUMIFS('tồn TP 17.04'!F:F,'tồn TP 17.04'!A:A,'Trình bày'!B38)</f>
        <v>103790.5</v>
      </c>
      <c r="F38" s="84">
        <f>IFERROR(_xlfn.XLOOKUP(B38,'tồn TP 17.04'!A:A,'tồn TP 17.04'!J:J),0)</f>
        <v>0</v>
      </c>
      <c r="G38" s="84"/>
      <c r="H38" s="85"/>
      <c r="I38" s="46">
        <f t="shared" si="16"/>
        <v>0</v>
      </c>
      <c r="J38" s="87">
        <f>18090/26.5</f>
        <v>682.64150943396226</v>
      </c>
      <c r="K38" s="86">
        <f t="shared" si="20"/>
        <v>-682.64150943396226</v>
      </c>
      <c r="L38" s="53" t="e">
        <f t="shared" si="21"/>
        <v>#DIV/0!</v>
      </c>
      <c r="M38" s="69"/>
      <c r="N38" s="4"/>
      <c r="O38" s="4" t="s">
        <v>248</v>
      </c>
    </row>
    <row r="39" spans="1:15" s="19" customFormat="1" outlineLevel="1">
      <c r="A39" s="9">
        <f t="shared" si="19"/>
        <v>9</v>
      </c>
      <c r="B39" s="8" t="s">
        <v>177</v>
      </c>
      <c r="C39" s="8" t="s">
        <v>63</v>
      </c>
      <c r="D39" s="25"/>
      <c r="E39" s="96">
        <f>SUMIFS('tồn TP 17.04'!F:F,'tồn TP 17.04'!A:A,'Trình bày'!B39)</f>
        <v>37397.800000000003</v>
      </c>
      <c r="F39" s="96">
        <f>IFERROR(_xlfn.XLOOKUP(B39,'tồn TP 17.04'!A:A,'tồn TP 17.04'!J:J),0)</f>
        <v>0</v>
      </c>
      <c r="G39" s="96"/>
      <c r="H39" s="85"/>
      <c r="I39" s="46"/>
      <c r="J39" s="97"/>
      <c r="K39" s="86"/>
      <c r="L39" s="53"/>
      <c r="M39" s="69"/>
      <c r="N39" s="8"/>
      <c r="O39" s="8" t="s">
        <v>250</v>
      </c>
    </row>
    <row r="40" spans="1:15" s="18" customFormat="1" ht="15.5">
      <c r="A40" s="14" t="s">
        <v>256</v>
      </c>
      <c r="B40" s="15" t="s">
        <v>264</v>
      </c>
      <c r="C40" s="15"/>
      <c r="D40" s="22"/>
      <c r="E40" s="98"/>
      <c r="F40" s="98"/>
      <c r="G40" s="98"/>
      <c r="H40" s="99"/>
      <c r="I40" s="100"/>
      <c r="J40" s="101"/>
      <c r="K40" s="100"/>
      <c r="L40" s="55"/>
      <c r="M40" s="71"/>
      <c r="N40" s="15"/>
      <c r="O40" s="15"/>
    </row>
    <row r="41" spans="1:15" s="18" customFormat="1" ht="15.5">
      <c r="A41" s="12" t="s">
        <v>239</v>
      </c>
      <c r="B41" s="13" t="s">
        <v>240</v>
      </c>
      <c r="C41" s="13"/>
      <c r="D41" s="23"/>
      <c r="E41" s="92"/>
      <c r="F41" s="92"/>
      <c r="G41" s="92"/>
      <c r="H41" s="93"/>
      <c r="I41" s="94"/>
      <c r="J41" s="95"/>
      <c r="K41" s="94"/>
      <c r="L41" s="54"/>
      <c r="M41" s="70"/>
      <c r="N41" s="13"/>
      <c r="O41" s="13"/>
    </row>
    <row r="42" spans="1:15" outlineLevel="1">
      <c r="A42" s="9">
        <v>1</v>
      </c>
      <c r="B42" s="4" t="s">
        <v>126</v>
      </c>
      <c r="C42" s="4" t="s">
        <v>12</v>
      </c>
      <c r="D42" s="24" t="s">
        <v>230</v>
      </c>
      <c r="E42" s="84">
        <f>SUMIFS('tồn TP 17.04'!F:F,'tồn TP 17.04'!A:A,'Trình bày'!B42)</f>
        <v>151662.5</v>
      </c>
      <c r="F42" s="84">
        <f>IFERROR(_xlfn.XLOOKUP(B42,'tồn TP 17.04'!A:A,'tồn TP 17.04'!J:J),0)</f>
        <v>230083.33333333334</v>
      </c>
      <c r="G42" s="84"/>
      <c r="H42" s="85"/>
      <c r="I42" s="46">
        <f t="shared" ref="I42:I48" si="25">H42-G42</f>
        <v>0</v>
      </c>
      <c r="J42" s="87">
        <v>1201</v>
      </c>
      <c r="K42" s="86"/>
      <c r="L42" s="53"/>
      <c r="M42" s="69"/>
      <c r="N42" s="4" t="s">
        <v>311</v>
      </c>
      <c r="O42" s="4"/>
    </row>
    <row r="43" spans="1:15" outlineLevel="1">
      <c r="A43" s="9">
        <f>+A42+1</f>
        <v>2</v>
      </c>
      <c r="B43" s="4" t="s">
        <v>173</v>
      </c>
      <c r="C43" s="4" t="s">
        <v>59</v>
      </c>
      <c r="D43" s="24" t="s">
        <v>227</v>
      </c>
      <c r="E43" s="84">
        <f>SUMIFS('tồn TP 17.04'!F:F,'tồn TP 17.04'!A:A,'Trình bày'!B43)</f>
        <v>40547</v>
      </c>
      <c r="F43" s="84">
        <f>IFERROR(_xlfn.XLOOKUP(B43,'tồn TP 17.04'!A:A,'tồn TP 17.04'!J:J),0)</f>
        <v>0</v>
      </c>
      <c r="G43" s="84"/>
      <c r="H43" s="85"/>
      <c r="I43" s="46">
        <f t="shared" si="25"/>
        <v>0</v>
      </c>
      <c r="J43" s="87">
        <f>33485/26.5</f>
        <v>1263.5849056603774</v>
      </c>
      <c r="K43" s="86"/>
      <c r="L43" s="53"/>
      <c r="M43" s="69"/>
      <c r="N43" s="4" t="s">
        <v>311</v>
      </c>
      <c r="O43" s="4" t="s">
        <v>301</v>
      </c>
    </row>
    <row r="44" spans="1:15" outlineLevel="1">
      <c r="A44" s="9">
        <f t="shared" ref="A44:A48" si="26">+A43+1</f>
        <v>3</v>
      </c>
      <c r="B44" s="4" t="s">
        <v>145</v>
      </c>
      <c r="C44" s="118" t="s">
        <v>31</v>
      </c>
      <c r="D44" s="24" t="s">
        <v>230</v>
      </c>
      <c r="E44" s="84">
        <f>SUMIFS('tồn TP 17.04'!F:F,'tồn TP 17.04'!A:A,'Trình bày'!B44)</f>
        <v>313487.40000000002</v>
      </c>
      <c r="F44" s="84">
        <f>IFERROR(_xlfn.XLOOKUP(B44,'tồn TP 17.04'!A:A,'tồn TP 17.04'!J:J),0)</f>
        <v>33500</v>
      </c>
      <c r="G44" s="84">
        <v>1300</v>
      </c>
      <c r="H44" s="119">
        <v>1370</v>
      </c>
      <c r="I44" s="46">
        <f t="shared" si="25"/>
        <v>70</v>
      </c>
      <c r="J44" s="87">
        <f>27898/26.5</f>
        <v>1052.7547169811321</v>
      </c>
      <c r="K44" s="86">
        <f t="shared" ref="K44:K45" si="27">(H44-J44)</f>
        <v>317.24528301886789</v>
      </c>
      <c r="L44" s="120">
        <f t="shared" ref="L44:L45" si="28">+K44/H44</f>
        <v>0.2315659000137722</v>
      </c>
      <c r="M44" s="69"/>
      <c r="N44" s="4"/>
      <c r="O44" s="4"/>
    </row>
    <row r="45" spans="1:15" outlineLevel="1">
      <c r="A45" s="9">
        <f t="shared" si="26"/>
        <v>4</v>
      </c>
      <c r="B45" s="4" t="s">
        <v>278</v>
      </c>
      <c r="C45" s="118" t="s">
        <v>279</v>
      </c>
      <c r="D45" s="24" t="s">
        <v>230</v>
      </c>
      <c r="E45" s="84">
        <f>SUMIFS('tồn TP 17.04'!F:F,'tồn TP 17.04'!A:A,'Trình bày'!B45)</f>
        <v>1599</v>
      </c>
      <c r="F45" s="84">
        <f>IFERROR(_xlfn.XLOOKUP(B45,'tồn TP 17.04'!A:A,'tồn TP 17.04'!J:J),0)</f>
        <v>50</v>
      </c>
      <c r="G45" s="84">
        <v>1400</v>
      </c>
      <c r="H45" s="119">
        <v>1470</v>
      </c>
      <c r="I45" s="46">
        <f t="shared" ref="I45" si="29">H45-G45</f>
        <v>70</v>
      </c>
      <c r="J45" s="87">
        <f>J42+7</f>
        <v>1208</v>
      </c>
      <c r="K45" s="86">
        <f t="shared" si="27"/>
        <v>262</v>
      </c>
      <c r="L45" s="120">
        <f t="shared" si="28"/>
        <v>0.17823129251700681</v>
      </c>
      <c r="M45" s="69"/>
      <c r="N45" s="4"/>
      <c r="O45" s="4"/>
    </row>
    <row r="46" spans="1:15" outlineLevel="1">
      <c r="A46" s="9">
        <f t="shared" si="26"/>
        <v>5</v>
      </c>
      <c r="B46" s="4" t="s">
        <v>207</v>
      </c>
      <c r="C46" s="118" t="s">
        <v>93</v>
      </c>
      <c r="D46" s="24" t="s">
        <v>230</v>
      </c>
      <c r="E46" s="84">
        <f>SUMIFS('tồn TP 17.04'!F:F,'tồn TP 17.04'!A:A,'Trình bày'!B46)</f>
        <v>212008</v>
      </c>
      <c r="F46" s="84">
        <f>IFERROR(_xlfn.XLOOKUP(B46,'tồn TP 17.04'!A:A,'tồn TP 17.04'!J:J),0)</f>
        <v>27041.666666666668</v>
      </c>
      <c r="G46" s="84"/>
      <c r="H46" s="119"/>
      <c r="I46" s="46">
        <f>H46-G46</f>
        <v>0</v>
      </c>
      <c r="J46" s="87">
        <f>J42+7</f>
        <v>1208</v>
      </c>
      <c r="K46" s="86"/>
      <c r="L46" s="120"/>
      <c r="M46" s="69"/>
      <c r="N46" s="4" t="s">
        <v>311</v>
      </c>
      <c r="O46" s="4"/>
    </row>
    <row r="47" spans="1:15" outlineLevel="1">
      <c r="A47" s="9">
        <f t="shared" si="26"/>
        <v>6</v>
      </c>
      <c r="B47" s="4" t="s">
        <v>172</v>
      </c>
      <c r="C47" s="4" t="s">
        <v>58</v>
      </c>
      <c r="D47" s="24" t="s">
        <v>225</v>
      </c>
      <c r="E47" s="84">
        <f>SUMIFS('tồn TP 17.04'!F:F,'tồn TP 17.04'!A:A,'Trình bày'!B47)</f>
        <v>3579</v>
      </c>
      <c r="F47" s="84">
        <f>IFERROR(_xlfn.XLOOKUP(B47,'tồn TP 17.04'!A:A,'tồn TP 17.04'!J:J),0)</f>
        <v>44000</v>
      </c>
      <c r="G47" s="84"/>
      <c r="H47" s="85"/>
      <c r="I47" s="46">
        <f t="shared" si="25"/>
        <v>0</v>
      </c>
      <c r="J47" s="87">
        <f>25699/26.5</f>
        <v>969.77358490566041</v>
      </c>
      <c r="K47" s="86"/>
      <c r="L47" s="53"/>
      <c r="M47" s="69"/>
      <c r="N47" s="4" t="s">
        <v>311</v>
      </c>
      <c r="O47" s="4" t="s">
        <v>301</v>
      </c>
    </row>
    <row r="48" spans="1:15" outlineLevel="1">
      <c r="A48" s="9">
        <f t="shared" si="26"/>
        <v>7</v>
      </c>
      <c r="B48" s="4" t="s">
        <v>218</v>
      </c>
      <c r="C48" s="4" t="s">
        <v>104</v>
      </c>
      <c r="D48" s="24" t="s">
        <v>225</v>
      </c>
      <c r="E48" s="84">
        <f>SUMIFS('tồn TP 17.04'!F:F,'tồn TP 17.04'!A:A,'Trình bày'!B48)</f>
        <v>8920</v>
      </c>
      <c r="F48" s="84">
        <f>IFERROR(_xlfn.XLOOKUP(B48,'tồn TP 17.04'!A:A,'tồn TP 17.04'!J:J),0)</f>
        <v>0</v>
      </c>
      <c r="G48" s="84">
        <v>1350</v>
      </c>
      <c r="H48" s="85">
        <v>1420</v>
      </c>
      <c r="I48" s="46">
        <f t="shared" si="25"/>
        <v>70</v>
      </c>
      <c r="J48" s="87">
        <f>29574/26.5</f>
        <v>1116</v>
      </c>
      <c r="K48" s="86">
        <f t="shared" ref="K48" si="30">(H48-J48)</f>
        <v>304</v>
      </c>
      <c r="L48" s="53">
        <f t="shared" ref="L48" si="31">+K48/H48</f>
        <v>0.21408450704225351</v>
      </c>
      <c r="M48" s="69"/>
      <c r="N48" s="4"/>
      <c r="O48" s="4" t="s">
        <v>301</v>
      </c>
    </row>
    <row r="49" spans="1:15" s="18" customFormat="1" ht="15.5">
      <c r="A49" s="12" t="s">
        <v>241</v>
      </c>
      <c r="B49" s="13" t="s">
        <v>242</v>
      </c>
      <c r="C49" s="13"/>
      <c r="D49" s="23"/>
      <c r="E49" s="92"/>
      <c r="F49" s="92"/>
      <c r="G49" s="92"/>
      <c r="H49" s="93"/>
      <c r="I49" s="94"/>
      <c r="J49" s="95"/>
      <c r="K49" s="94"/>
      <c r="L49" s="54"/>
      <c r="M49" s="70"/>
      <c r="N49" s="13"/>
      <c r="O49" s="13"/>
    </row>
    <row r="50" spans="1:15" outlineLevel="1">
      <c r="A50" s="9">
        <f>1</f>
        <v>1</v>
      </c>
      <c r="B50" s="4" t="s">
        <v>153</v>
      </c>
      <c r="C50" s="4" t="s">
        <v>39</v>
      </c>
      <c r="D50" s="24" t="s">
        <v>230</v>
      </c>
      <c r="E50" s="84">
        <f>SUMIFS('tồn TP 17.04'!F:F,'tồn TP 17.04'!A:A,'Trình bày'!B50)</f>
        <v>2750</v>
      </c>
      <c r="F50" s="5">
        <f>IFERROR(_xlfn.XLOOKUP(B50,'tồn TP 17.04'!A:A,'tồn TP 17.04'!J:J),0)</f>
        <v>0</v>
      </c>
      <c r="G50" s="84">
        <v>1300</v>
      </c>
      <c r="H50" s="85">
        <f>H44</f>
        <v>1370</v>
      </c>
      <c r="I50" s="46">
        <f t="shared" ref="I50:I55" si="32">H50-G50</f>
        <v>70</v>
      </c>
      <c r="J50" s="87">
        <f>31516/26.5</f>
        <v>1189.2830188679245</v>
      </c>
      <c r="K50" s="86">
        <f t="shared" ref="K50" si="33">(H50-J50)</f>
        <v>180.71698113207549</v>
      </c>
      <c r="L50" s="53">
        <f t="shared" ref="L50" si="34">+K50/H50</f>
        <v>0.13191020520589453</v>
      </c>
      <c r="M50" s="69"/>
      <c r="N50" s="4" t="s">
        <v>283</v>
      </c>
      <c r="O50" s="4" t="s">
        <v>284</v>
      </c>
    </row>
    <row r="51" spans="1:15" outlineLevel="1">
      <c r="A51" s="9">
        <f>A50+1</f>
        <v>2</v>
      </c>
      <c r="B51" s="4" t="s">
        <v>129</v>
      </c>
      <c r="C51" s="4" t="s">
        <v>15</v>
      </c>
      <c r="D51" s="24" t="s">
        <v>227</v>
      </c>
      <c r="E51" s="84">
        <f>SUMIFS('tồn TP 17.04'!F:F,'tồn TP 17.04'!A:A,'Trình bày'!B51)</f>
        <v>3565</v>
      </c>
      <c r="F51" s="5">
        <f>IFERROR(_xlfn.XLOOKUP(B51,'tồn TP 17.04'!A:A,'tồn TP 17.04'!J:J),0)</f>
        <v>0</v>
      </c>
      <c r="G51" s="84">
        <v>1300</v>
      </c>
      <c r="H51" s="85">
        <f>H44</f>
        <v>1370</v>
      </c>
      <c r="I51" s="46">
        <f t="shared" si="32"/>
        <v>70</v>
      </c>
      <c r="J51" s="87">
        <f>34395/26.5</f>
        <v>1297.9245283018868</v>
      </c>
      <c r="K51" s="86">
        <f>(H51-J51)</f>
        <v>72.075471698113233</v>
      </c>
      <c r="L51" s="53">
        <f>+K51/H51</f>
        <v>5.2609833356287029E-2</v>
      </c>
      <c r="M51" s="69"/>
      <c r="N51" s="4" t="s">
        <v>306</v>
      </c>
      <c r="O51" s="4"/>
    </row>
    <row r="52" spans="1:15" outlineLevel="1">
      <c r="A52" s="9">
        <f t="shared" ref="A52:A58" si="35">A51+1</f>
        <v>3</v>
      </c>
      <c r="B52" s="4" t="s">
        <v>174</v>
      </c>
      <c r="C52" s="4" t="s">
        <v>60</v>
      </c>
      <c r="D52" s="24" t="s">
        <v>232</v>
      </c>
      <c r="E52" s="84">
        <f>SUMIFS('tồn TP 17.04'!F:F,'tồn TP 17.04'!A:A,'Trình bày'!B52)</f>
        <v>18774</v>
      </c>
      <c r="F52" s="5">
        <f>IFERROR(_xlfn.XLOOKUP(B52,'tồn TP 17.04'!A:A,'tồn TP 17.04'!J:J),0)</f>
        <v>0</v>
      </c>
      <c r="G52" s="84"/>
      <c r="H52" s="85"/>
      <c r="I52" s="46">
        <f t="shared" si="32"/>
        <v>0</v>
      </c>
      <c r="J52" s="87">
        <f>21813/26.5</f>
        <v>823.13207547169816</v>
      </c>
      <c r="K52" s="86"/>
      <c r="L52" s="53"/>
      <c r="M52" s="69"/>
      <c r="N52" s="4" t="s">
        <v>311</v>
      </c>
      <c r="O52" s="4" t="s">
        <v>301</v>
      </c>
    </row>
    <row r="53" spans="1:15" outlineLevel="1">
      <c r="A53" s="9">
        <f t="shared" si="35"/>
        <v>4</v>
      </c>
      <c r="B53" s="4" t="s">
        <v>128</v>
      </c>
      <c r="C53" s="4" t="s">
        <v>14</v>
      </c>
      <c r="D53" s="24" t="s">
        <v>232</v>
      </c>
      <c r="E53" s="84">
        <f>SUMIFS('tồn TP 17.04'!F:F,'tồn TP 17.04'!A:A,'Trình bày'!B53)</f>
        <v>13140</v>
      </c>
      <c r="F53" s="5">
        <f>IFERROR(_xlfn.XLOOKUP(B53,'tồn TP 17.04'!A:A,'tồn TP 17.04'!J:J),0)</f>
        <v>0</v>
      </c>
      <c r="G53" s="84">
        <v>1300</v>
      </c>
      <c r="H53" s="85">
        <f>H44</f>
        <v>1370</v>
      </c>
      <c r="I53" s="46">
        <f t="shared" si="32"/>
        <v>70</v>
      </c>
      <c r="J53" s="87">
        <f>21813/26.5</f>
        <v>823.13207547169816</v>
      </c>
      <c r="K53" s="86">
        <f t="shared" ref="K53" si="36">(H53-J53)</f>
        <v>546.86792452830184</v>
      </c>
      <c r="L53" s="53">
        <f t="shared" ref="L53" si="37">+K53/H53</f>
        <v>0.39917366753890643</v>
      </c>
      <c r="M53" s="69"/>
      <c r="N53" s="4" t="s">
        <v>283</v>
      </c>
      <c r="O53" s="4"/>
    </row>
    <row r="54" spans="1:15" outlineLevel="1">
      <c r="A54" s="9">
        <f t="shared" si="35"/>
        <v>5</v>
      </c>
      <c r="B54" s="4" t="s">
        <v>124</v>
      </c>
      <c r="C54" s="4" t="s">
        <v>10</v>
      </c>
      <c r="D54" s="24"/>
      <c r="E54" s="84">
        <f>SUMIFS('tồn TP 17.04'!F:F,'tồn TP 17.04'!A:A,'Trình bày'!B54)</f>
        <v>32516.9</v>
      </c>
      <c r="F54" s="5">
        <f>IFERROR(_xlfn.XLOOKUP(B54,'tồn TP 17.04'!A:A,'tồn TP 17.04'!J:J),0)</f>
        <v>0</v>
      </c>
      <c r="G54" s="84"/>
      <c r="H54" s="85"/>
      <c r="I54" s="46">
        <f t="shared" si="32"/>
        <v>0</v>
      </c>
      <c r="J54" s="87"/>
      <c r="K54" s="86"/>
      <c r="L54" s="53"/>
      <c r="M54" s="69"/>
      <c r="N54" s="4"/>
      <c r="O54" s="4"/>
    </row>
    <row r="55" spans="1:15" outlineLevel="1">
      <c r="A55" s="9">
        <f t="shared" si="35"/>
        <v>6</v>
      </c>
      <c r="B55" s="4" t="s">
        <v>125</v>
      </c>
      <c r="C55" s="4" t="s">
        <v>11</v>
      </c>
      <c r="D55" s="24" t="s">
        <v>225</v>
      </c>
      <c r="E55" s="5">
        <f>SUMIFS('tồn TP 17.04'!F:F,'tồn TP 17.04'!A:A,'Trình bày'!B55)</f>
        <v>0</v>
      </c>
      <c r="F55" s="5">
        <f>IFERROR(_xlfn.XLOOKUP(B55,'tồn TP 17.04'!A:A,'tồn TP 17.04'!J:J),0)</f>
        <v>0</v>
      </c>
      <c r="G55" s="84">
        <v>1300</v>
      </c>
      <c r="H55" s="85">
        <f>H44</f>
        <v>1370</v>
      </c>
      <c r="I55" s="46">
        <f t="shared" si="32"/>
        <v>70</v>
      </c>
      <c r="J55" s="87"/>
      <c r="K55" s="86">
        <f t="shared" ref="K55:K58" si="38">(H55-J55)</f>
        <v>1370</v>
      </c>
      <c r="L55" s="53">
        <f t="shared" ref="L55" si="39">+K55/H55</f>
        <v>1</v>
      </c>
      <c r="M55" s="69"/>
      <c r="N55" s="4"/>
      <c r="O55" s="4"/>
    </row>
    <row r="56" spans="1:15" s="61" customFormat="1" outlineLevel="1">
      <c r="A56" s="57">
        <f t="shared" si="35"/>
        <v>7</v>
      </c>
      <c r="B56" s="58" t="s">
        <v>180</v>
      </c>
      <c r="C56" s="58" t="s">
        <v>66</v>
      </c>
      <c r="D56" s="59" t="s">
        <v>230</v>
      </c>
      <c r="E56" s="60">
        <f>SUMIFS('tồn TP 17.04'!F:F,'tồn TP 17.04'!A:A,'Trình bày'!B56)</f>
        <v>0</v>
      </c>
      <c r="F56" s="60">
        <f>IFERROR(_xlfn.XLOOKUP(B56,'tồn TP 17.04'!A:A,'tồn TP 17.04'!J:J),0)</f>
        <v>0</v>
      </c>
      <c r="G56" s="60">
        <v>1300</v>
      </c>
      <c r="H56" s="40"/>
      <c r="I56" s="46"/>
      <c r="J56" s="42"/>
      <c r="K56" s="46">
        <f t="shared" si="38"/>
        <v>0</v>
      </c>
      <c r="L56" s="53"/>
      <c r="M56" s="69"/>
      <c r="N56" s="4"/>
      <c r="O56" s="58" t="s">
        <v>294</v>
      </c>
    </row>
    <row r="57" spans="1:15" outlineLevel="1">
      <c r="A57" s="9">
        <f t="shared" si="35"/>
        <v>8</v>
      </c>
      <c r="B57" s="4" t="s">
        <v>176</v>
      </c>
      <c r="C57" s="4" t="s">
        <v>62</v>
      </c>
      <c r="D57" s="24" t="s">
        <v>230</v>
      </c>
      <c r="E57" s="5">
        <f>SUMIFS('tồn TP 17.04'!F:F,'tồn TP 17.04'!A:A,'Trình bày'!B57)</f>
        <v>0</v>
      </c>
      <c r="F57" s="5">
        <f>IFERROR(_xlfn.XLOOKUP(B57,'tồn TP 17.04'!A:A,'tồn TP 17.04'!J:J),0)</f>
        <v>0</v>
      </c>
      <c r="G57" s="5">
        <v>1400</v>
      </c>
      <c r="H57" s="40">
        <f>H45</f>
        <v>1470</v>
      </c>
      <c r="I57" s="46"/>
      <c r="J57" s="42"/>
      <c r="K57" s="46">
        <f t="shared" si="38"/>
        <v>1470</v>
      </c>
      <c r="L57" s="53"/>
      <c r="M57" s="69"/>
      <c r="N57" s="4"/>
      <c r="O57" s="4"/>
    </row>
    <row r="58" spans="1:15" outlineLevel="1">
      <c r="A58" s="9">
        <f t="shared" si="35"/>
        <v>9</v>
      </c>
      <c r="B58" s="4" t="s">
        <v>179</v>
      </c>
      <c r="C58" s="4" t="s">
        <v>65</v>
      </c>
      <c r="D58" s="24" t="s">
        <v>230</v>
      </c>
      <c r="E58" s="5">
        <f>SUMIFS('tồn TP 17.04'!F:F,'tồn TP 17.04'!A:A,'Trình bày'!B58)</f>
        <v>0</v>
      </c>
      <c r="F58" s="5">
        <f>IFERROR(_xlfn.XLOOKUP(B58,'tồn TP 17.04'!A:A,'tồn TP 17.04'!J:J),0)</f>
        <v>0</v>
      </c>
      <c r="G58" s="5">
        <v>1300</v>
      </c>
      <c r="H58" s="40">
        <f>H44</f>
        <v>1370</v>
      </c>
      <c r="I58" s="46"/>
      <c r="J58" s="42"/>
      <c r="K58" s="46">
        <f t="shared" si="38"/>
        <v>1370</v>
      </c>
      <c r="L58" s="53"/>
      <c r="M58" s="69"/>
      <c r="N58" s="4"/>
      <c r="O58" s="4"/>
    </row>
    <row r="59" spans="1:15" s="18" customFormat="1" ht="15.5">
      <c r="A59" s="12" t="s">
        <v>243</v>
      </c>
      <c r="B59" s="13" t="s">
        <v>262</v>
      </c>
      <c r="C59" s="13"/>
      <c r="D59" s="23"/>
      <c r="E59" s="92"/>
      <c r="F59" s="92"/>
      <c r="G59" s="92"/>
      <c r="H59" s="93"/>
      <c r="I59" s="93"/>
      <c r="J59" s="95"/>
      <c r="K59" s="94"/>
      <c r="L59" s="54"/>
      <c r="M59" s="70"/>
      <c r="N59" s="13"/>
      <c r="O59" s="13"/>
    </row>
    <row r="60" spans="1:15" outlineLevel="1">
      <c r="A60" s="9">
        <v>1</v>
      </c>
      <c r="B60" s="4" t="s">
        <v>127</v>
      </c>
      <c r="C60" s="4" t="s">
        <v>13</v>
      </c>
      <c r="D60" s="24" t="s">
        <v>229</v>
      </c>
      <c r="E60" s="84">
        <f>SUMIFS('tồn TP 17.04'!F:F,'tồn TP 17.04'!A:A,'Trình bày'!B60)</f>
        <v>117600.5</v>
      </c>
      <c r="F60" s="84">
        <f>IFERROR(_xlfn.XLOOKUP(B60,'tồn TP 17.04'!A:A,'tồn TP 17.04'!J:J),0)</f>
        <v>52083.333333333336</v>
      </c>
      <c r="G60" s="84"/>
      <c r="H60" s="85"/>
      <c r="I60" s="46">
        <f t="shared" ref="I60" si="40">H60-G60</f>
        <v>0</v>
      </c>
      <c r="J60" s="87">
        <v>734</v>
      </c>
      <c r="K60" s="86">
        <f t="shared" ref="K60" si="41">(H60-J60)</f>
        <v>-734</v>
      </c>
      <c r="L60" s="53" t="e">
        <f t="shared" ref="L60" si="42">+K60/H60</f>
        <v>#DIV/0!</v>
      </c>
      <c r="M60" s="69"/>
      <c r="N60" s="4"/>
      <c r="O60" s="4" t="s">
        <v>251</v>
      </c>
    </row>
    <row r="61" spans="1:15" outlineLevel="1">
      <c r="A61" s="9">
        <v>1</v>
      </c>
      <c r="B61" s="4" t="s">
        <v>302</v>
      </c>
      <c r="C61" s="4" t="s">
        <v>303</v>
      </c>
      <c r="D61" s="24" t="s">
        <v>229</v>
      </c>
      <c r="E61" s="84">
        <f>SUMIFS('tồn TP 17.04'!F:F,'tồn TP 17.04'!A:A,'Trình bày'!B61)</f>
        <v>2575</v>
      </c>
      <c r="F61" s="84">
        <f>IFERROR(_xlfn.XLOOKUP(B61,'tồn TP 17.04'!A:A,'tồn TP 17.04'!J:J),0)</f>
        <v>0</v>
      </c>
      <c r="G61" s="84"/>
      <c r="H61" s="85"/>
      <c r="I61" s="46">
        <f t="shared" ref="I61" si="43">H61-G61</f>
        <v>0</v>
      </c>
      <c r="J61" s="87">
        <f>23020/26.5</f>
        <v>868.67924528301887</v>
      </c>
      <c r="K61" s="86">
        <f t="shared" ref="K61" si="44">(H61-J61)</f>
        <v>-868.67924528301887</v>
      </c>
      <c r="L61" s="53" t="e">
        <f t="shared" ref="L61" si="45">+K61/H61</f>
        <v>#DIV/0!</v>
      </c>
      <c r="M61" s="69"/>
      <c r="N61" s="4"/>
      <c r="O61" s="4"/>
    </row>
    <row r="62" spans="1:15" s="18" customFormat="1" ht="15.5">
      <c r="A62" s="14" t="s">
        <v>257</v>
      </c>
      <c r="B62" s="15" t="s">
        <v>263</v>
      </c>
      <c r="C62" s="15"/>
      <c r="D62" s="22"/>
      <c r="E62" s="98"/>
      <c r="F62" s="98"/>
      <c r="G62" s="98"/>
      <c r="H62" s="98"/>
      <c r="I62" s="100"/>
      <c r="J62" s="101"/>
      <c r="K62" s="100"/>
      <c r="L62" s="55"/>
      <c r="M62" s="71"/>
      <c r="N62" s="15"/>
      <c r="O62" s="15"/>
    </row>
    <row r="63" spans="1:15" s="18" customFormat="1" ht="15.5">
      <c r="A63" s="12" t="s">
        <v>239</v>
      </c>
      <c r="B63" s="13" t="s">
        <v>240</v>
      </c>
      <c r="C63" s="13"/>
      <c r="D63" s="23"/>
      <c r="E63" s="92"/>
      <c r="F63" s="92"/>
      <c r="G63" s="92"/>
      <c r="H63" s="92"/>
      <c r="I63" s="94"/>
      <c r="J63" s="95"/>
      <c r="K63" s="94"/>
      <c r="L63" s="54"/>
      <c r="M63" s="70"/>
      <c r="N63" s="13"/>
      <c r="O63" s="13"/>
    </row>
    <row r="64" spans="1:15" outlineLevel="1">
      <c r="A64" s="9">
        <v>1</v>
      </c>
      <c r="B64" s="4" t="s">
        <v>134</v>
      </c>
      <c r="C64" s="4" t="s">
        <v>20</v>
      </c>
      <c r="D64" s="24" t="s">
        <v>228</v>
      </c>
      <c r="E64" s="84">
        <f>SUMIFS('tồn TP 17.04'!F:F,'tồn TP 17.04'!A:A,'Trình bày'!B64)</f>
        <v>40070</v>
      </c>
      <c r="F64" s="84">
        <f>IFERROR(_xlfn.XLOOKUP(B64,'tồn TP 17.04'!A:A,'tồn TP 17.04'!J:J),0)</f>
        <v>15166.666666666666</v>
      </c>
      <c r="G64" s="102">
        <v>1230</v>
      </c>
      <c r="H64" s="85">
        <v>1230</v>
      </c>
      <c r="I64" s="46">
        <f t="shared" ref="I64:I71" si="46">H64-G64</f>
        <v>0</v>
      </c>
      <c r="J64" s="87">
        <v>733</v>
      </c>
      <c r="K64" s="86">
        <f t="shared" ref="K64:K71" si="47">(H64-J64)</f>
        <v>497</v>
      </c>
      <c r="L64" s="53">
        <f t="shared" ref="L64:L71" si="48">+K64/H64</f>
        <v>0.40406504065040649</v>
      </c>
      <c r="M64" s="69">
        <f>23265/26.5</f>
        <v>877.92452830188677</v>
      </c>
      <c r="N64" s="28" t="s">
        <v>272</v>
      </c>
      <c r="O64" s="4"/>
    </row>
    <row r="65" spans="1:15" outlineLevel="1">
      <c r="A65" s="9">
        <f>+A64+1</f>
        <v>2</v>
      </c>
      <c r="B65" s="4" t="s">
        <v>139</v>
      </c>
      <c r="C65" s="4" t="s">
        <v>25</v>
      </c>
      <c r="D65" s="24" t="s">
        <v>232</v>
      </c>
      <c r="E65" s="84">
        <f>SUMIFS('tồn TP 17.04'!F:F,'tồn TP 17.04'!A:A,'Trình bày'!B65)</f>
        <v>41200</v>
      </c>
      <c r="F65" s="84">
        <f>IFERROR(_xlfn.XLOOKUP(B65,'tồn TP 17.04'!A:A,'tồn TP 17.04'!J:J),0)</f>
        <v>26166.666666666668</v>
      </c>
      <c r="G65" s="102">
        <v>1230</v>
      </c>
      <c r="H65" s="85">
        <v>1230</v>
      </c>
      <c r="I65" s="46">
        <f t="shared" si="46"/>
        <v>0</v>
      </c>
      <c r="J65" s="87">
        <v>733</v>
      </c>
      <c r="K65" s="86">
        <f t="shared" si="47"/>
        <v>497</v>
      </c>
      <c r="L65" s="53">
        <f t="shared" si="48"/>
        <v>0.40406504065040649</v>
      </c>
      <c r="M65" s="69">
        <f>24978/26.5</f>
        <v>942.56603773584902</v>
      </c>
      <c r="N65" s="28" t="s">
        <v>272</v>
      </c>
      <c r="O65" s="4"/>
    </row>
    <row r="66" spans="1:15" outlineLevel="1">
      <c r="A66" s="9">
        <f t="shared" ref="A66:A71" si="49">+A65+1</f>
        <v>3</v>
      </c>
      <c r="B66" s="4" t="s">
        <v>135</v>
      </c>
      <c r="C66" s="4" t="s">
        <v>21</v>
      </c>
      <c r="D66" s="24" t="s">
        <v>226</v>
      </c>
      <c r="E66" s="84">
        <f>SUMIFS('tồn TP 17.04'!F:F,'tồn TP 17.04'!A:A,'Trình bày'!B66)</f>
        <v>26650</v>
      </c>
      <c r="F66" s="84">
        <f>IFERROR(_xlfn.XLOOKUP(B66,'tồn TP 17.04'!A:A,'tồn TP 17.04'!J:J),0)</f>
        <v>11000</v>
      </c>
      <c r="G66" s="102">
        <v>1230</v>
      </c>
      <c r="H66" s="85">
        <v>1230</v>
      </c>
      <c r="I66" s="46">
        <f t="shared" si="46"/>
        <v>0</v>
      </c>
      <c r="J66" s="87">
        <v>733</v>
      </c>
      <c r="K66" s="86">
        <f t="shared" si="47"/>
        <v>497</v>
      </c>
      <c r="L66" s="53">
        <f t="shared" si="48"/>
        <v>0.40406504065040649</v>
      </c>
      <c r="M66" s="69">
        <f>47747/26.5</f>
        <v>1801.7735849056603</v>
      </c>
      <c r="N66" s="28" t="s">
        <v>272</v>
      </c>
      <c r="O66" s="4"/>
    </row>
    <row r="67" spans="1:15" outlineLevel="1">
      <c r="A67" s="9">
        <f t="shared" si="49"/>
        <v>4</v>
      </c>
      <c r="B67" s="4" t="s">
        <v>219</v>
      </c>
      <c r="C67" s="4" t="s">
        <v>105</v>
      </c>
      <c r="D67" s="24" t="s">
        <v>228</v>
      </c>
      <c r="E67" s="84">
        <f>SUMIFS('tồn TP 17.04'!F:F,'tồn TP 17.04'!A:A,'Trình bày'!B67)</f>
        <v>1448</v>
      </c>
      <c r="F67" s="84">
        <f>IFERROR(_xlfn.XLOOKUP(B67,'tồn TP 17.04'!A:A,'tồn TP 17.04'!J:J),0)</f>
        <v>0</v>
      </c>
      <c r="G67" s="102">
        <v>1230</v>
      </c>
      <c r="H67" s="85">
        <v>1230</v>
      </c>
      <c r="I67" s="46">
        <f t="shared" si="46"/>
        <v>0</v>
      </c>
      <c r="J67" s="87">
        <f>33028/26.5</f>
        <v>1246.3396226415093</v>
      </c>
      <c r="K67" s="86">
        <f t="shared" si="47"/>
        <v>-16.339622641509322</v>
      </c>
      <c r="L67" s="53">
        <f t="shared" si="48"/>
        <v>-1.3284246050007579E-2</v>
      </c>
      <c r="M67" s="69"/>
      <c r="N67" s="28" t="s">
        <v>272</v>
      </c>
      <c r="O67" s="4" t="s">
        <v>315</v>
      </c>
    </row>
    <row r="68" spans="1:15" outlineLevel="1">
      <c r="A68" s="9">
        <f t="shared" si="49"/>
        <v>5</v>
      </c>
      <c r="B68" s="4" t="s">
        <v>137</v>
      </c>
      <c r="C68" s="4" t="s">
        <v>23</v>
      </c>
      <c r="D68" s="24" t="s">
        <v>227</v>
      </c>
      <c r="E68" s="84">
        <f>SUMIFS('tồn TP 17.04'!F:F,'tồn TP 17.04'!A:A,'Trình bày'!B68)</f>
        <v>45875</v>
      </c>
      <c r="F68" s="84">
        <f>IFERROR(_xlfn.XLOOKUP(B68,'tồn TP 17.04'!A:A,'tồn TP 17.04'!J:J),0)</f>
        <v>9166.6666666666661</v>
      </c>
      <c r="G68" s="102">
        <v>1230</v>
      </c>
      <c r="H68" s="85">
        <v>1230</v>
      </c>
      <c r="I68" s="46">
        <f t="shared" si="46"/>
        <v>0</v>
      </c>
      <c r="J68" s="87">
        <f>21943/26.5</f>
        <v>828.03773584905662</v>
      </c>
      <c r="K68" s="86">
        <f t="shared" si="47"/>
        <v>401.96226415094338</v>
      </c>
      <c r="L68" s="53">
        <f t="shared" si="48"/>
        <v>0.32679858874060436</v>
      </c>
      <c r="M68" s="69"/>
      <c r="N68" s="28" t="s">
        <v>272</v>
      </c>
      <c r="O68" s="4"/>
    </row>
    <row r="69" spans="1:15" outlineLevel="1">
      <c r="A69" s="9">
        <f t="shared" si="49"/>
        <v>6</v>
      </c>
      <c r="B69" s="4" t="s">
        <v>138</v>
      </c>
      <c r="C69" s="4" t="s">
        <v>24</v>
      </c>
      <c r="D69" s="24" t="s">
        <v>225</v>
      </c>
      <c r="E69" s="84">
        <f>SUMIFS('tồn TP 17.04'!F:F,'tồn TP 17.04'!A:A,'Trình bày'!B69)</f>
        <v>56010.400000000001</v>
      </c>
      <c r="F69" s="84">
        <f>IFERROR(_xlfn.XLOOKUP(B69,'tồn TP 17.04'!A:A,'tồn TP 17.04'!J:J),0)</f>
        <v>1041.6666666666667</v>
      </c>
      <c r="G69" s="102">
        <v>1230</v>
      </c>
      <c r="H69" s="85">
        <v>1230</v>
      </c>
      <c r="I69" s="46">
        <f t="shared" si="46"/>
        <v>0</v>
      </c>
      <c r="J69" s="87">
        <v>733</v>
      </c>
      <c r="K69" s="86">
        <f t="shared" si="47"/>
        <v>497</v>
      </c>
      <c r="L69" s="53">
        <f t="shared" si="48"/>
        <v>0.40406504065040649</v>
      </c>
      <c r="M69" s="69">
        <f>11030/26.5</f>
        <v>416.22641509433964</v>
      </c>
      <c r="N69" s="28" t="s">
        <v>272</v>
      </c>
      <c r="O69" s="4"/>
    </row>
    <row r="70" spans="1:15" outlineLevel="1">
      <c r="A70" s="9">
        <f t="shared" si="49"/>
        <v>7</v>
      </c>
      <c r="B70" s="4" t="s">
        <v>178</v>
      </c>
      <c r="C70" s="4" t="s">
        <v>64</v>
      </c>
      <c r="D70" s="24" t="s">
        <v>234</v>
      </c>
      <c r="E70" s="84">
        <f>SUMIFS('tồn TP 17.04'!F:F,'tồn TP 17.04'!A:A,'Trình bày'!B70)</f>
        <v>28452</v>
      </c>
      <c r="F70" s="84">
        <f>IFERROR(_xlfn.XLOOKUP(B70,'tồn TP 17.04'!A:A,'tồn TP 17.04'!J:J),0)</f>
        <v>3666.6666666666665</v>
      </c>
      <c r="G70" s="102"/>
      <c r="H70" s="85"/>
      <c r="I70" s="46">
        <f>H70-G70</f>
        <v>0</v>
      </c>
      <c r="J70" s="87">
        <f>20040/26.5</f>
        <v>756.22641509433959</v>
      </c>
      <c r="K70" s="86">
        <f>(H70-J70)</f>
        <v>-756.22641509433959</v>
      </c>
      <c r="L70" s="53" t="e">
        <f>+K70/H70</f>
        <v>#DIV/0!</v>
      </c>
      <c r="M70" s="69"/>
      <c r="N70" s="28" t="s">
        <v>272</v>
      </c>
      <c r="O70" s="4" t="s">
        <v>312</v>
      </c>
    </row>
    <row r="71" spans="1:15" outlineLevel="1">
      <c r="A71" s="9">
        <f t="shared" si="49"/>
        <v>8</v>
      </c>
      <c r="B71" s="4" t="s">
        <v>136</v>
      </c>
      <c r="C71" s="4" t="s">
        <v>22</v>
      </c>
      <c r="D71" s="24" t="s">
        <v>234</v>
      </c>
      <c r="E71" s="84">
        <f>SUMIFS('tồn TP 17.04'!F:F,'tồn TP 17.04'!A:A,'Trình bày'!B71)</f>
        <v>243146.9</v>
      </c>
      <c r="F71" s="84">
        <f>IFERROR(_xlfn.XLOOKUP(B71,'tồn TP 17.04'!A:A,'tồn TP 17.04'!J:J),0)</f>
        <v>458.33333333333331</v>
      </c>
      <c r="G71" s="102">
        <v>1230</v>
      </c>
      <c r="H71" s="85">
        <v>1230</v>
      </c>
      <c r="I71" s="46">
        <f t="shared" si="46"/>
        <v>0</v>
      </c>
      <c r="J71" s="87">
        <f>18654/26.5</f>
        <v>703.92452830188677</v>
      </c>
      <c r="K71" s="86">
        <f t="shared" si="47"/>
        <v>526.07547169811323</v>
      </c>
      <c r="L71" s="53">
        <f t="shared" si="48"/>
        <v>0.42770363552692131</v>
      </c>
      <c r="M71" s="69"/>
      <c r="N71" s="28" t="s">
        <v>272</v>
      </c>
      <c r="O71" s="4" t="s">
        <v>313</v>
      </c>
    </row>
    <row r="72" spans="1:15" s="18" customFormat="1" ht="15.5">
      <c r="A72" s="12" t="s">
        <v>241</v>
      </c>
      <c r="B72" s="13" t="s">
        <v>242</v>
      </c>
      <c r="C72" s="13"/>
      <c r="D72" s="23"/>
      <c r="E72" s="92"/>
      <c r="F72" s="92"/>
      <c r="G72" s="92"/>
      <c r="H72" s="93"/>
      <c r="I72" s="94"/>
      <c r="J72" s="95"/>
      <c r="K72" s="94"/>
      <c r="L72" s="54"/>
      <c r="M72" s="70"/>
      <c r="N72" s="13"/>
      <c r="O72" s="13"/>
    </row>
    <row r="73" spans="1:15" outlineLevel="1">
      <c r="A73" s="9">
        <f>1</f>
        <v>1</v>
      </c>
      <c r="B73" s="4" t="s">
        <v>144</v>
      </c>
      <c r="C73" s="4" t="s">
        <v>30</v>
      </c>
      <c r="D73" s="24" t="s">
        <v>228</v>
      </c>
      <c r="E73" s="84">
        <f>SUMIFS('tồn TP 17.04'!F:F,'tồn TP 17.04'!A:A,'Trình bày'!B73)</f>
        <v>6235.4</v>
      </c>
      <c r="F73" s="84">
        <f>IFERROR(_xlfn.XLOOKUP(B73,'tồn TP 17.04'!A:A,'tồn TP 17.04'!J:J),0)</f>
        <v>0</v>
      </c>
      <c r="G73" s="102">
        <v>1230</v>
      </c>
      <c r="H73" s="85">
        <v>1230</v>
      </c>
      <c r="I73" s="46">
        <f t="shared" ref="I73" si="50">H73-G73</f>
        <v>0</v>
      </c>
      <c r="J73" s="87">
        <f>23573/26.5</f>
        <v>889.54716981132071</v>
      </c>
      <c r="K73" s="86">
        <f t="shared" ref="K73" si="51">(H73-J73)</f>
        <v>340.45283018867929</v>
      </c>
      <c r="L73" s="53">
        <f t="shared" ref="L73" si="52">+K73/H73</f>
        <v>0.27679091885258478</v>
      </c>
      <c r="M73" s="69"/>
      <c r="N73" s="28" t="s">
        <v>272</v>
      </c>
      <c r="O73" s="4" t="s">
        <v>314</v>
      </c>
    </row>
    <row r="74" spans="1:15" outlineLevel="1">
      <c r="A74" s="9"/>
      <c r="B74" s="4"/>
      <c r="C74" s="4"/>
      <c r="D74" s="24"/>
      <c r="E74" s="84"/>
      <c r="F74" s="84"/>
      <c r="G74" s="84"/>
      <c r="H74" s="85"/>
      <c r="I74" s="86"/>
      <c r="J74" s="87"/>
      <c r="K74" s="86"/>
      <c r="L74" s="53"/>
      <c r="M74" s="69"/>
      <c r="N74" s="4"/>
      <c r="O74" s="4"/>
    </row>
    <row r="75" spans="1:15" s="18" customFormat="1" ht="15.5">
      <c r="A75" s="14" t="s">
        <v>258</v>
      </c>
      <c r="B75" s="15" t="s">
        <v>244</v>
      </c>
      <c r="C75" s="15"/>
      <c r="D75" s="22"/>
      <c r="E75" s="98"/>
      <c r="F75" s="98"/>
      <c r="G75" s="98"/>
      <c r="H75" s="99"/>
      <c r="I75" s="100"/>
      <c r="J75" s="101"/>
      <c r="K75" s="100"/>
      <c r="L75" s="55"/>
      <c r="M75" s="71"/>
      <c r="N75" s="15"/>
      <c r="O75" s="15"/>
    </row>
    <row r="76" spans="1:15" s="18" customFormat="1" ht="15.5">
      <c r="A76" s="12" t="s">
        <v>239</v>
      </c>
      <c r="B76" s="13" t="s">
        <v>240</v>
      </c>
      <c r="C76" s="13"/>
      <c r="D76" s="23"/>
      <c r="E76" s="92"/>
      <c r="F76" s="92"/>
      <c r="G76" s="92"/>
      <c r="H76" s="93"/>
      <c r="I76" s="94"/>
      <c r="J76" s="95"/>
      <c r="K76" s="94"/>
      <c r="L76" s="54"/>
      <c r="M76" s="70"/>
      <c r="N76" s="13"/>
      <c r="O76" s="13"/>
    </row>
    <row r="77" spans="1:15" outlineLevel="1">
      <c r="A77" s="9">
        <v>4</v>
      </c>
      <c r="B77" s="4" t="s">
        <v>162</v>
      </c>
      <c r="C77" s="4" t="s">
        <v>48</v>
      </c>
      <c r="D77" s="24" t="s">
        <v>226</v>
      </c>
      <c r="E77" s="84">
        <f>SUMIFS('tồn TP 17.04'!F:F,'tồn TP 17.04'!A:A,'Trình bày'!B77)</f>
        <v>39049</v>
      </c>
      <c r="F77" s="84">
        <f>IFERROR(_xlfn.XLOOKUP(B77,'tồn TP 17.04'!A:A,'tồn TP 17.04'!J:J),0)</f>
        <v>31666.666666666668</v>
      </c>
      <c r="G77" s="84">
        <v>1160</v>
      </c>
      <c r="H77" s="85">
        <v>1160</v>
      </c>
      <c r="I77" s="46">
        <f t="shared" ref="I77:I83" si="53">H77-G77</f>
        <v>0</v>
      </c>
      <c r="J77" s="103">
        <v>591</v>
      </c>
      <c r="K77" s="86">
        <f t="shared" ref="K77:K83" si="54">(H77-J77)</f>
        <v>569</v>
      </c>
      <c r="L77" s="53">
        <f t="shared" ref="L77:L83" si="55">+K77/H77</f>
        <v>0.49051724137931035</v>
      </c>
      <c r="M77" s="69"/>
      <c r="N77" s="121" t="s">
        <v>261</v>
      </c>
      <c r="O77" s="4"/>
    </row>
    <row r="78" spans="1:15" outlineLevel="1">
      <c r="A78" s="9">
        <v>2</v>
      </c>
      <c r="B78" s="4" t="s">
        <v>164</v>
      </c>
      <c r="C78" s="4" t="s">
        <v>50</v>
      </c>
      <c r="D78" s="24" t="s">
        <v>227</v>
      </c>
      <c r="E78" s="84">
        <f>SUMIFS('tồn TP 17.04'!F:F,'tồn TP 17.04'!A:A,'Trình bày'!B78)</f>
        <v>33225</v>
      </c>
      <c r="F78" s="84">
        <f>IFERROR(_xlfn.XLOOKUP(B78,'tồn TP 17.04'!A:A,'tồn TP 17.04'!J:J),0)</f>
        <v>9500</v>
      </c>
      <c r="G78" s="84">
        <v>1160</v>
      </c>
      <c r="H78" s="85">
        <v>1160</v>
      </c>
      <c r="I78" s="46">
        <f t="shared" si="53"/>
        <v>0</v>
      </c>
      <c r="J78" s="103">
        <v>591</v>
      </c>
      <c r="K78" s="86">
        <f t="shared" si="54"/>
        <v>569</v>
      </c>
      <c r="L78" s="53">
        <f t="shared" si="55"/>
        <v>0.49051724137931035</v>
      </c>
      <c r="M78" s="69"/>
      <c r="N78" s="122"/>
      <c r="O78" s="4"/>
    </row>
    <row r="79" spans="1:15" outlineLevel="1">
      <c r="A79" s="9">
        <v>1</v>
      </c>
      <c r="B79" s="4" t="s">
        <v>165</v>
      </c>
      <c r="C79" s="4" t="s">
        <v>51</v>
      </c>
      <c r="D79" s="24" t="s">
        <v>232</v>
      </c>
      <c r="E79" s="84">
        <f>SUMIFS('tồn TP 17.04'!F:F,'tồn TP 17.04'!A:A,'Trình bày'!B79)</f>
        <v>23050</v>
      </c>
      <c r="F79" s="84">
        <f>IFERROR(_xlfn.XLOOKUP(B79,'tồn TP 17.04'!A:A,'tồn TP 17.04'!J:J),0)</f>
        <v>2250</v>
      </c>
      <c r="G79" s="84">
        <v>1160</v>
      </c>
      <c r="H79" s="85">
        <v>1160</v>
      </c>
      <c r="I79" s="46">
        <f t="shared" si="53"/>
        <v>0</v>
      </c>
      <c r="J79" s="103">
        <v>591</v>
      </c>
      <c r="K79" s="86">
        <f t="shared" si="54"/>
        <v>569</v>
      </c>
      <c r="L79" s="53">
        <f t="shared" si="55"/>
        <v>0.49051724137931035</v>
      </c>
      <c r="M79" s="69"/>
      <c r="N79" s="122"/>
      <c r="O79" s="4"/>
    </row>
    <row r="80" spans="1:15" outlineLevel="1">
      <c r="A80" s="9">
        <v>7</v>
      </c>
      <c r="B80" s="4" t="s">
        <v>166</v>
      </c>
      <c r="C80" s="4" t="s">
        <v>52</v>
      </c>
      <c r="D80" s="24" t="s">
        <v>228</v>
      </c>
      <c r="E80" s="84">
        <f>SUMIFS('tồn TP 17.04'!F:F,'tồn TP 17.04'!A:A,'Trình bày'!B80)</f>
        <v>54750</v>
      </c>
      <c r="F80" s="84">
        <f>IFERROR(_xlfn.XLOOKUP(B80,'tồn TP 17.04'!A:A,'tồn TP 17.04'!J:J),0)</f>
        <v>0</v>
      </c>
      <c r="G80" s="84">
        <v>1160</v>
      </c>
      <c r="H80" s="85">
        <v>1160</v>
      </c>
      <c r="I80" s="46">
        <f t="shared" si="53"/>
        <v>0</v>
      </c>
      <c r="J80" s="103">
        <v>591</v>
      </c>
      <c r="K80" s="86">
        <f t="shared" si="54"/>
        <v>569</v>
      </c>
      <c r="L80" s="53">
        <f t="shared" si="55"/>
        <v>0.49051724137931035</v>
      </c>
      <c r="M80" s="69"/>
      <c r="N80" s="122"/>
      <c r="O80" s="4"/>
    </row>
    <row r="81" spans="1:21" outlineLevel="1">
      <c r="A81" s="9">
        <v>5</v>
      </c>
      <c r="B81" s="4" t="s">
        <v>163</v>
      </c>
      <c r="C81" s="4" t="s">
        <v>49</v>
      </c>
      <c r="D81" s="24" t="s">
        <v>225</v>
      </c>
      <c r="E81" s="84">
        <f>SUMIFS('tồn TP 17.04'!F:F,'tồn TP 17.04'!A:A,'Trình bày'!B81)</f>
        <v>74729</v>
      </c>
      <c r="F81" s="84">
        <f>IFERROR(_xlfn.XLOOKUP(B81,'tồn TP 17.04'!A:A,'tồn TP 17.04'!J:J),0)</f>
        <v>39166.666666666664</v>
      </c>
      <c r="G81" s="84">
        <v>1160</v>
      </c>
      <c r="H81" s="85">
        <v>1160</v>
      </c>
      <c r="I81" s="46">
        <f t="shared" si="53"/>
        <v>0</v>
      </c>
      <c r="J81" s="103">
        <v>591</v>
      </c>
      <c r="K81" s="86">
        <f t="shared" si="54"/>
        <v>569</v>
      </c>
      <c r="L81" s="53">
        <f t="shared" si="55"/>
        <v>0.49051724137931035</v>
      </c>
      <c r="M81" s="69"/>
      <c r="N81" s="122"/>
      <c r="O81" s="4"/>
    </row>
    <row r="82" spans="1:21" outlineLevel="1">
      <c r="A82" s="9">
        <v>6</v>
      </c>
      <c r="B82" s="4" t="s">
        <v>167</v>
      </c>
      <c r="C82" s="4" t="s">
        <v>53</v>
      </c>
      <c r="D82" s="24" t="s">
        <v>229</v>
      </c>
      <c r="E82" s="84">
        <f>SUMIFS('tồn TP 17.04'!F:F,'tồn TP 17.04'!A:A,'Trình bày'!B82)</f>
        <v>31500</v>
      </c>
      <c r="F82" s="84">
        <f>IFERROR(_xlfn.XLOOKUP(B82,'tồn TP 17.04'!A:A,'tồn TP 17.04'!J:J),0)</f>
        <v>750</v>
      </c>
      <c r="G82" s="84">
        <v>1160</v>
      </c>
      <c r="H82" s="85">
        <v>1160</v>
      </c>
      <c r="I82" s="46">
        <f t="shared" si="53"/>
        <v>0</v>
      </c>
      <c r="J82" s="103">
        <v>591</v>
      </c>
      <c r="K82" s="86">
        <f t="shared" si="54"/>
        <v>569</v>
      </c>
      <c r="L82" s="53">
        <f t="shared" si="55"/>
        <v>0.49051724137931035</v>
      </c>
      <c r="M82" s="69"/>
      <c r="N82" s="122"/>
      <c r="O82" s="4"/>
    </row>
    <row r="83" spans="1:21" outlineLevel="1">
      <c r="A83" s="9">
        <v>7</v>
      </c>
      <c r="B83" s="4" t="s">
        <v>168</v>
      </c>
      <c r="C83" s="4" t="s">
        <v>54</v>
      </c>
      <c r="D83" s="24" t="s">
        <v>231</v>
      </c>
      <c r="E83" s="84">
        <f>SUMIFS('tồn TP 17.04'!F:F,'tồn TP 17.04'!A:A,'Trình bày'!B83)</f>
        <v>165149.5</v>
      </c>
      <c r="F83" s="84">
        <f>IFERROR(_xlfn.XLOOKUP(B83,'tồn TP 17.04'!A:A,'tồn TP 17.04'!J:J),0)</f>
        <v>0</v>
      </c>
      <c r="G83" s="84">
        <v>1160</v>
      </c>
      <c r="H83" s="85">
        <v>1160</v>
      </c>
      <c r="I83" s="46">
        <f t="shared" si="53"/>
        <v>0</v>
      </c>
      <c r="J83" s="103">
        <v>591</v>
      </c>
      <c r="K83" s="86">
        <f t="shared" si="54"/>
        <v>569</v>
      </c>
      <c r="L83" s="53">
        <f t="shared" si="55"/>
        <v>0.49051724137931035</v>
      </c>
      <c r="M83" s="69"/>
      <c r="N83" s="123"/>
      <c r="O83" s="4"/>
    </row>
    <row r="84" spans="1:21" s="18" customFormat="1" ht="15.5">
      <c r="A84" s="12" t="s">
        <v>241</v>
      </c>
      <c r="B84" s="13" t="s">
        <v>242</v>
      </c>
      <c r="C84" s="13"/>
      <c r="D84" s="23"/>
      <c r="E84" s="92"/>
      <c r="F84" s="92"/>
      <c r="G84" s="92"/>
      <c r="H84" s="93"/>
      <c r="I84" s="94"/>
      <c r="J84" s="95"/>
      <c r="K84" s="94"/>
      <c r="L84" s="54"/>
      <c r="M84" s="70"/>
      <c r="N84" s="13"/>
      <c r="O84" s="13"/>
    </row>
    <row r="85" spans="1:21" outlineLevel="1">
      <c r="A85" s="9">
        <f>1</f>
        <v>1</v>
      </c>
      <c r="B85" s="4" t="s">
        <v>203</v>
      </c>
      <c r="C85" s="4" t="s">
        <v>89</v>
      </c>
      <c r="D85" s="24" t="s">
        <v>228</v>
      </c>
      <c r="E85" s="84">
        <f>SUMIFS('tồn TP 17.04'!F:F,'tồn TP 17.04'!A:A,'Trình bày'!B85)</f>
        <v>5700</v>
      </c>
      <c r="F85" s="84">
        <f>IFERROR(_xlfn.XLOOKUP(B85,'tồn TP 17.04'!A:A,'tồn TP 17.04'!J:J),0)</f>
        <v>0</v>
      </c>
      <c r="G85" s="84"/>
      <c r="H85" s="85"/>
      <c r="I85" s="86"/>
      <c r="J85" s="87">
        <f>19448/26.5</f>
        <v>733.88679245283015</v>
      </c>
      <c r="K85" s="46"/>
      <c r="L85" s="53"/>
      <c r="M85" s="69"/>
      <c r="N85" s="4" t="s">
        <v>271</v>
      </c>
      <c r="O85" s="4" t="s">
        <v>319</v>
      </c>
    </row>
    <row r="86" spans="1:21" outlineLevel="1">
      <c r="A86" s="9"/>
      <c r="B86" s="4"/>
      <c r="C86" s="4"/>
      <c r="D86" s="24"/>
      <c r="E86" s="84"/>
      <c r="F86" s="84"/>
      <c r="G86" s="84"/>
      <c r="H86" s="85"/>
      <c r="I86" s="86"/>
      <c r="J86" s="87"/>
      <c r="K86" s="46"/>
      <c r="L86" s="53"/>
      <c r="M86" s="69"/>
      <c r="N86" s="4"/>
      <c r="O86" s="4"/>
    </row>
    <row r="87" spans="1:21" s="18" customFormat="1" ht="15.5">
      <c r="A87" s="14" t="s">
        <v>259</v>
      </c>
      <c r="B87" s="15" t="s">
        <v>115</v>
      </c>
      <c r="C87" s="15"/>
      <c r="D87" s="22"/>
      <c r="E87" s="98"/>
      <c r="F87" s="98"/>
      <c r="G87" s="98"/>
      <c r="H87" s="99"/>
      <c r="I87" s="100"/>
      <c r="J87" s="101"/>
      <c r="K87" s="48"/>
      <c r="L87" s="55"/>
      <c r="M87" s="71"/>
      <c r="N87" s="15"/>
      <c r="O87" s="15"/>
    </row>
    <row r="88" spans="1:21" s="18" customFormat="1" ht="15.5">
      <c r="A88" s="12" t="s">
        <v>239</v>
      </c>
      <c r="B88" s="13" t="s">
        <v>240</v>
      </c>
      <c r="C88" s="13"/>
      <c r="D88" s="23"/>
      <c r="E88" s="92"/>
      <c r="F88" s="92"/>
      <c r="G88" s="92"/>
      <c r="H88" s="93"/>
      <c r="I88" s="94"/>
      <c r="J88" s="95"/>
      <c r="K88" s="47"/>
      <c r="L88" s="54"/>
      <c r="M88" s="70"/>
      <c r="N88" s="13"/>
      <c r="O88" s="13"/>
    </row>
    <row r="89" spans="1:21" outlineLevel="1">
      <c r="A89" s="9">
        <v>1</v>
      </c>
      <c r="B89" s="4" t="s">
        <v>156</v>
      </c>
      <c r="C89" s="4" t="s">
        <v>42</v>
      </c>
      <c r="D89" s="24" t="s">
        <v>226</v>
      </c>
      <c r="E89" s="84">
        <f>SUMIFS('tồn TP 17.04'!F:F,'tồn TP 17.04'!A:A,'Trình bày'!B89)</f>
        <v>1890</v>
      </c>
      <c r="F89" s="84">
        <f>IFERROR(_xlfn.XLOOKUP(B89,'tồn TP 17.04'!A:A,'tồn TP 17.04'!J:J),0)</f>
        <v>733.33333333333337</v>
      </c>
      <c r="G89" s="104" t="s">
        <v>326</v>
      </c>
      <c r="H89" s="105" t="s">
        <v>339</v>
      </c>
      <c r="I89" s="106" t="s">
        <v>367</v>
      </c>
      <c r="J89" s="87">
        <f>27706/26.5</f>
        <v>1045.5094339622642</v>
      </c>
      <c r="K89" s="49" t="s">
        <v>340</v>
      </c>
      <c r="L89" s="56" t="s">
        <v>341</v>
      </c>
      <c r="M89" s="72"/>
      <c r="N89" s="4" t="s">
        <v>265</v>
      </c>
      <c r="O89" s="4" t="s">
        <v>301</v>
      </c>
      <c r="Q89" s="18"/>
      <c r="R89" s="18"/>
      <c r="S89" s="18"/>
      <c r="T89" s="18"/>
      <c r="U89" s="18"/>
    </row>
    <row r="90" spans="1:21" outlineLevel="1">
      <c r="A90" s="9">
        <f>+A89+1</f>
        <v>2</v>
      </c>
      <c r="B90" s="4" t="s">
        <v>204</v>
      </c>
      <c r="C90" s="4" t="s">
        <v>90</v>
      </c>
      <c r="D90" s="24" t="s">
        <v>228</v>
      </c>
      <c r="E90" s="84">
        <f>SUMIFS('tồn TP 17.04'!F:F,'tồn TP 17.04'!A:A,'Trình bày'!B90)</f>
        <v>2575</v>
      </c>
      <c r="F90" s="84">
        <f>IFERROR(_xlfn.XLOOKUP(B90,'tồn TP 17.04'!A:A,'tồn TP 17.04'!J:J),0)</f>
        <v>6000</v>
      </c>
      <c r="G90" s="104" t="s">
        <v>326</v>
      </c>
      <c r="H90" s="105" t="s">
        <v>339</v>
      </c>
      <c r="I90" s="106" t="s">
        <v>367</v>
      </c>
      <c r="J90" s="87">
        <f>25918/26.5</f>
        <v>978.03773584905662</v>
      </c>
      <c r="K90" s="49" t="s">
        <v>342</v>
      </c>
      <c r="L90" s="56" t="s">
        <v>343</v>
      </c>
      <c r="M90" s="72"/>
      <c r="N90" s="4" t="s">
        <v>265</v>
      </c>
      <c r="O90" s="4" t="s">
        <v>301</v>
      </c>
      <c r="Q90" s="18"/>
      <c r="R90" s="18"/>
      <c r="S90" s="18"/>
      <c r="T90" s="18"/>
      <c r="U90" s="18"/>
    </row>
    <row r="91" spans="1:21" outlineLevel="1">
      <c r="A91" s="9">
        <f t="shared" ref="A91:A97" si="56">+A90+1</f>
        <v>3</v>
      </c>
      <c r="B91" s="4" t="s">
        <v>205</v>
      </c>
      <c r="C91" s="4" t="s">
        <v>91</v>
      </c>
      <c r="D91" s="24" t="s">
        <v>234</v>
      </c>
      <c r="E91" s="84">
        <f>SUMIFS('tồn TP 17.04'!F:F,'tồn TP 17.04'!A:A,'Trình bày'!B91)</f>
        <v>6500</v>
      </c>
      <c r="F91" s="84">
        <f>IFERROR(_xlfn.XLOOKUP(B91,'tồn TP 17.04'!A:A,'tồn TP 17.04'!J:J),0)</f>
        <v>2000</v>
      </c>
      <c r="G91" s="104" t="s">
        <v>326</v>
      </c>
      <c r="H91" s="105" t="s">
        <v>339</v>
      </c>
      <c r="I91" s="106" t="s">
        <v>367</v>
      </c>
      <c r="J91" s="87">
        <f>32267/26.5</f>
        <v>1217.6226415094341</v>
      </c>
      <c r="K91" s="49" t="s">
        <v>344</v>
      </c>
      <c r="L91" s="56" t="s">
        <v>345</v>
      </c>
      <c r="M91" s="72"/>
      <c r="N91" s="4" t="s">
        <v>265</v>
      </c>
      <c r="O91" s="4" t="s">
        <v>301</v>
      </c>
      <c r="Q91" s="18"/>
      <c r="R91" s="18"/>
      <c r="S91" s="18"/>
      <c r="T91" s="18"/>
      <c r="U91" s="18"/>
    </row>
    <row r="92" spans="1:21" outlineLevel="1">
      <c r="A92" s="9">
        <f t="shared" si="56"/>
        <v>4</v>
      </c>
      <c r="B92" s="4" t="s">
        <v>181</v>
      </c>
      <c r="C92" s="4" t="s">
        <v>67</v>
      </c>
      <c r="D92" s="24" t="s">
        <v>228</v>
      </c>
      <c r="E92" s="84">
        <f>SUMIFS('tồn TP 17.04'!F:F,'tồn TP 17.04'!A:A,'Trình bày'!B92)</f>
        <v>1765</v>
      </c>
      <c r="F92" s="84">
        <f>IFERROR(_xlfn.XLOOKUP(B92,'tồn TP 17.04'!A:A,'tồn TP 17.04'!J:J),0)</f>
        <v>66.666666666666671</v>
      </c>
      <c r="G92" s="104" t="s">
        <v>326</v>
      </c>
      <c r="H92" s="105" t="s">
        <v>339</v>
      </c>
      <c r="I92" s="106" t="s">
        <v>367</v>
      </c>
      <c r="J92" s="87">
        <f>30087/26.5</f>
        <v>1135.3584905660377</v>
      </c>
      <c r="K92" s="49" t="s">
        <v>346</v>
      </c>
      <c r="L92" s="56" t="s">
        <v>347</v>
      </c>
      <c r="M92" s="72"/>
      <c r="N92" s="4" t="s">
        <v>265</v>
      </c>
      <c r="O92" s="4" t="s">
        <v>301</v>
      </c>
      <c r="Q92" s="18"/>
      <c r="R92" s="18"/>
      <c r="S92" s="18"/>
      <c r="T92" s="18"/>
      <c r="U92" s="18"/>
    </row>
    <row r="93" spans="1:21" outlineLevel="1">
      <c r="A93" s="9">
        <f t="shared" si="56"/>
        <v>5</v>
      </c>
      <c r="B93" s="4" t="s">
        <v>297</v>
      </c>
      <c r="C93" s="4" t="s">
        <v>295</v>
      </c>
      <c r="D93" s="24" t="s">
        <v>225</v>
      </c>
      <c r="E93" s="84">
        <f>SUMIFS('tồn TP 17.04'!F:F,'tồn TP 17.04'!A:A,'Trình bày'!B93)</f>
        <v>768.7</v>
      </c>
      <c r="F93" s="84">
        <f>IFERROR(_xlfn.XLOOKUP(B93,'tồn TP 17.04'!A:A,'tồn TP 17.04'!J:J),0)</f>
        <v>0</v>
      </c>
      <c r="G93" s="84" t="s">
        <v>326</v>
      </c>
      <c r="H93" s="105" t="s">
        <v>339</v>
      </c>
      <c r="I93" s="106" t="s">
        <v>367</v>
      </c>
      <c r="J93" s="87">
        <f>34198/26.5</f>
        <v>1290.4905660377358</v>
      </c>
      <c r="K93" s="49" t="s">
        <v>348</v>
      </c>
      <c r="L93" s="56" t="s">
        <v>349</v>
      </c>
      <c r="M93" s="72"/>
      <c r="N93" s="4" t="s">
        <v>265</v>
      </c>
      <c r="O93" s="4" t="s">
        <v>301</v>
      </c>
      <c r="Q93" s="18"/>
      <c r="R93" s="18"/>
      <c r="S93" s="18"/>
      <c r="T93" s="18"/>
      <c r="U93" s="18"/>
    </row>
    <row r="94" spans="1:21" outlineLevel="1">
      <c r="A94" s="9">
        <f t="shared" si="56"/>
        <v>6</v>
      </c>
      <c r="B94" s="4" t="s">
        <v>159</v>
      </c>
      <c r="C94" s="4" t="s">
        <v>45</v>
      </c>
      <c r="D94" s="24" t="s">
        <v>229</v>
      </c>
      <c r="E94" s="84">
        <f>SUMIFS('tồn TP 17.04'!F:F,'tồn TP 17.04'!A:A,'Trình bày'!B94)</f>
        <v>27703</v>
      </c>
      <c r="F94" s="84">
        <f>IFERROR(_xlfn.XLOOKUP(B94,'tồn TP 17.04'!A:A,'tồn TP 17.04'!J:J),0)</f>
        <v>0</v>
      </c>
      <c r="G94" s="104" t="s">
        <v>326</v>
      </c>
      <c r="H94" s="105" t="s">
        <v>339</v>
      </c>
      <c r="I94" s="106" t="s">
        <v>367</v>
      </c>
      <c r="J94" s="87">
        <f>18301/26.5</f>
        <v>690.60377358490564</v>
      </c>
      <c r="K94" s="49" t="s">
        <v>350</v>
      </c>
      <c r="L94" s="56" t="s">
        <v>351</v>
      </c>
      <c r="M94" s="72"/>
      <c r="N94" s="4" t="s">
        <v>265</v>
      </c>
      <c r="O94" s="4" t="s">
        <v>301</v>
      </c>
      <c r="Q94" s="18"/>
      <c r="R94" s="18"/>
      <c r="S94" s="18"/>
      <c r="T94" s="18"/>
      <c r="U94" s="18"/>
    </row>
    <row r="95" spans="1:21" outlineLevel="1">
      <c r="A95" s="9">
        <f t="shared" si="56"/>
        <v>7</v>
      </c>
      <c r="B95" s="4" t="s">
        <v>208</v>
      </c>
      <c r="C95" s="4" t="s">
        <v>94</v>
      </c>
      <c r="D95" s="24" t="s">
        <v>225</v>
      </c>
      <c r="E95" s="84">
        <f>SUMIFS('tồn TP 17.04'!F:F,'tồn TP 17.04'!A:A,'Trình bày'!B95)</f>
        <v>3587</v>
      </c>
      <c r="F95" s="84">
        <f>IFERROR(_xlfn.XLOOKUP(B95,'tồn TP 17.04'!A:A,'tồn TP 17.04'!J:J),0)</f>
        <v>16.666666666666668</v>
      </c>
      <c r="G95" s="104" t="s">
        <v>326</v>
      </c>
      <c r="H95" s="105" t="s">
        <v>339</v>
      </c>
      <c r="I95" s="106" t="s">
        <v>367</v>
      </c>
      <c r="J95" s="87">
        <f>36122/26.5</f>
        <v>1363.0943396226414</v>
      </c>
      <c r="K95" s="49" t="s">
        <v>352</v>
      </c>
      <c r="L95" s="56" t="s">
        <v>353</v>
      </c>
      <c r="M95" s="72"/>
      <c r="N95" s="4" t="s">
        <v>265</v>
      </c>
      <c r="O95" s="4" t="s">
        <v>301</v>
      </c>
      <c r="Q95" s="18"/>
      <c r="R95" s="18"/>
      <c r="S95" s="18"/>
      <c r="T95" s="18"/>
      <c r="U95" s="18"/>
    </row>
    <row r="96" spans="1:21" outlineLevel="1">
      <c r="A96" s="9">
        <f t="shared" si="56"/>
        <v>8</v>
      </c>
      <c r="B96" s="4" t="s">
        <v>161</v>
      </c>
      <c r="C96" s="4" t="s">
        <v>47</v>
      </c>
      <c r="D96" s="24" t="s">
        <v>234</v>
      </c>
      <c r="E96" s="84">
        <f>SUMIFS('tồn TP 17.04'!F:F,'tồn TP 17.04'!A:A,'Trình bày'!B96)</f>
        <v>1345</v>
      </c>
      <c r="F96" s="84">
        <f>IFERROR(_xlfn.XLOOKUP(B96,'tồn TP 17.04'!A:A,'tồn TP 17.04'!J:J),0)</f>
        <v>0</v>
      </c>
      <c r="G96" s="104" t="s">
        <v>326</v>
      </c>
      <c r="H96" s="105" t="s">
        <v>339</v>
      </c>
      <c r="I96" s="106" t="s">
        <v>367</v>
      </c>
      <c r="J96" s="87">
        <f>29594/26.5</f>
        <v>1116.7547169811321</v>
      </c>
      <c r="K96" s="49" t="s">
        <v>354</v>
      </c>
      <c r="L96" s="56" t="s">
        <v>355</v>
      </c>
      <c r="M96" s="72"/>
      <c r="N96" s="4" t="s">
        <v>265</v>
      </c>
      <c r="O96" s="4" t="s">
        <v>301</v>
      </c>
      <c r="Q96" s="18"/>
      <c r="R96" s="18"/>
      <c r="S96" s="18"/>
      <c r="T96" s="18"/>
      <c r="U96" s="18"/>
    </row>
    <row r="97" spans="1:21" outlineLevel="1">
      <c r="A97" s="9">
        <f t="shared" si="56"/>
        <v>9</v>
      </c>
      <c r="B97" s="4" t="s">
        <v>280</v>
      </c>
      <c r="C97" s="4" t="s">
        <v>281</v>
      </c>
      <c r="D97" s="24" t="s">
        <v>228</v>
      </c>
      <c r="E97" s="84">
        <f>SUMIFS('tồn TP 17.04'!F:F,'tồn TP 17.04'!A:A,'Trình bày'!B97)</f>
        <v>1500</v>
      </c>
      <c r="F97" s="84">
        <f>IFERROR(_xlfn.XLOOKUP(B97,'tồn TP 17.04'!A:A,'tồn TP 17.04'!J:J),0)</f>
        <v>0</v>
      </c>
      <c r="G97" s="104" t="s">
        <v>326</v>
      </c>
      <c r="H97" s="105" t="s">
        <v>339</v>
      </c>
      <c r="I97" s="106" t="s">
        <v>367</v>
      </c>
      <c r="J97" s="87">
        <f>22506/26.5</f>
        <v>849.28301886792451</v>
      </c>
      <c r="K97" s="49" t="s">
        <v>356</v>
      </c>
      <c r="L97" s="56" t="s">
        <v>357</v>
      </c>
      <c r="M97" s="72"/>
      <c r="N97" s="4" t="s">
        <v>265</v>
      </c>
      <c r="O97" s="4" t="s">
        <v>301</v>
      </c>
      <c r="Q97" s="18"/>
      <c r="R97" s="18"/>
      <c r="S97" s="18"/>
      <c r="T97" s="18"/>
      <c r="U97" s="18"/>
    </row>
    <row r="98" spans="1:21" s="18" customFormat="1" ht="15.5">
      <c r="A98" s="12" t="s">
        <v>241</v>
      </c>
      <c r="B98" s="13" t="s">
        <v>242</v>
      </c>
      <c r="C98" s="13"/>
      <c r="D98" s="23"/>
      <c r="E98" s="92"/>
      <c r="F98" s="92"/>
      <c r="G98" s="92"/>
      <c r="H98" s="107"/>
      <c r="I98" s="95"/>
      <c r="J98" s="95"/>
      <c r="K98" s="47"/>
      <c r="L98" s="54"/>
      <c r="M98" s="70"/>
      <c r="N98" s="13"/>
      <c r="O98" s="13"/>
    </row>
    <row r="99" spans="1:21" outlineLevel="1">
      <c r="A99" s="9">
        <v>1</v>
      </c>
      <c r="B99" s="4" t="s">
        <v>140</v>
      </c>
      <c r="C99" s="4" t="s">
        <v>26</v>
      </c>
      <c r="D99" s="24" t="s">
        <v>226</v>
      </c>
      <c r="E99" s="84">
        <f>SUMIFS('tồn TP 17.04'!F:F,'tồn TP 17.04'!A:A,'Trình bày'!B99)</f>
        <v>141</v>
      </c>
      <c r="F99" s="84">
        <f>IFERROR(_xlfn.XLOOKUP(B99,'tồn TP 17.04'!A:A,'tồn TP 17.04'!J:J),0)</f>
        <v>0</v>
      </c>
      <c r="G99" s="104" t="s">
        <v>326</v>
      </c>
      <c r="H99" s="105" t="s">
        <v>339</v>
      </c>
      <c r="I99" s="106" t="s">
        <v>367</v>
      </c>
      <c r="J99" s="87">
        <f>21999/26.5</f>
        <v>830.15094339622647</v>
      </c>
      <c r="K99" s="49" t="s">
        <v>358</v>
      </c>
      <c r="L99" s="56" t="s">
        <v>359</v>
      </c>
      <c r="M99" s="72"/>
      <c r="N99" s="4" t="s">
        <v>265</v>
      </c>
      <c r="O99" s="4" t="s">
        <v>316</v>
      </c>
      <c r="Q99" s="18"/>
      <c r="R99" s="18"/>
      <c r="S99" s="18"/>
      <c r="T99" s="18"/>
      <c r="U99" s="18"/>
    </row>
    <row r="100" spans="1:21" outlineLevel="1">
      <c r="A100" s="9">
        <f>+A99+1</f>
        <v>2</v>
      </c>
      <c r="B100" s="4" t="s">
        <v>141</v>
      </c>
      <c r="C100" s="4" t="s">
        <v>27</v>
      </c>
      <c r="D100" s="24" t="s">
        <v>225</v>
      </c>
      <c r="E100" s="84">
        <f>SUMIFS('tồn TP 17.04'!F:F,'tồn TP 17.04'!A:A,'Trình bày'!B100)</f>
        <v>2677.8</v>
      </c>
      <c r="F100" s="84">
        <f>IFERROR(_xlfn.XLOOKUP(B100,'tồn TP 17.04'!A:A,'tồn TP 17.04'!J:J),0)</f>
        <v>0</v>
      </c>
      <c r="G100" s="104" t="s">
        <v>326</v>
      </c>
      <c r="H100" s="105" t="s">
        <v>339</v>
      </c>
      <c r="I100" s="106" t="s">
        <v>367</v>
      </c>
      <c r="J100" s="87">
        <f>17901/26.5</f>
        <v>675.5094339622641</v>
      </c>
      <c r="K100" s="49" t="s">
        <v>360</v>
      </c>
      <c r="L100" s="56" t="s">
        <v>361</v>
      </c>
      <c r="M100" s="72"/>
      <c r="N100" s="4" t="s">
        <v>265</v>
      </c>
      <c r="O100" s="4" t="s">
        <v>316</v>
      </c>
      <c r="Q100" s="18"/>
      <c r="R100" s="18"/>
      <c r="S100" s="18"/>
      <c r="T100" s="18"/>
      <c r="U100" s="18"/>
    </row>
    <row r="101" spans="1:21" outlineLevel="1">
      <c r="A101" s="9">
        <f t="shared" ref="A101:A107" si="57">+A100+1</f>
        <v>3</v>
      </c>
      <c r="B101" s="4" t="s">
        <v>142</v>
      </c>
      <c r="C101" s="4" t="s">
        <v>28</v>
      </c>
      <c r="D101" s="24" t="s">
        <v>234</v>
      </c>
      <c r="E101" s="117">
        <f>SUMIFS('tồn TP 17.04'!F:F,'tồn TP 17.04'!A:A,'Trình bày'!B101)</f>
        <v>0</v>
      </c>
      <c r="F101" s="84">
        <f>IFERROR(_xlfn.XLOOKUP(B101,'tồn TP 17.04'!A:A,'tồn TP 17.04'!J:J),0)</f>
        <v>0</v>
      </c>
      <c r="G101" s="104" t="s">
        <v>326</v>
      </c>
      <c r="H101" s="105" t="s">
        <v>339</v>
      </c>
      <c r="I101" s="106" t="s">
        <v>367</v>
      </c>
      <c r="J101" s="87"/>
      <c r="K101" s="49"/>
      <c r="L101" s="56"/>
      <c r="M101" s="72"/>
      <c r="N101" s="4" t="s">
        <v>265</v>
      </c>
      <c r="O101" s="4"/>
      <c r="Q101" s="18"/>
      <c r="R101" s="18"/>
      <c r="S101" s="18"/>
      <c r="T101" s="18"/>
      <c r="U101" s="18"/>
    </row>
    <row r="102" spans="1:21" outlineLevel="1">
      <c r="A102" s="9">
        <f t="shared" si="57"/>
        <v>4</v>
      </c>
      <c r="B102" s="4" t="s">
        <v>155</v>
      </c>
      <c r="C102" s="4" t="s">
        <v>41</v>
      </c>
      <c r="D102" s="24" t="s">
        <v>226</v>
      </c>
      <c r="E102" s="84">
        <f>SUMIFS('tồn TP 17.04'!F:F,'tồn TP 17.04'!A:A,'Trình bày'!B102)</f>
        <v>2644</v>
      </c>
      <c r="F102" s="84">
        <f>IFERROR(_xlfn.XLOOKUP(B102,'tồn TP 17.04'!A:A,'tồn TP 17.04'!J:J),0)</f>
        <v>0</v>
      </c>
      <c r="G102" s="104" t="s">
        <v>326</v>
      </c>
      <c r="H102" s="105" t="s">
        <v>339</v>
      </c>
      <c r="I102" s="106" t="s">
        <v>367</v>
      </c>
      <c r="J102" s="87">
        <f>25200/26.5</f>
        <v>950.94339622641508</v>
      </c>
      <c r="K102" s="49" t="s">
        <v>362</v>
      </c>
      <c r="L102" s="56" t="s">
        <v>363</v>
      </c>
      <c r="M102" s="72"/>
      <c r="N102" s="4" t="s">
        <v>265</v>
      </c>
      <c r="O102" s="4" t="s">
        <v>318</v>
      </c>
      <c r="Q102" s="18"/>
      <c r="R102" s="18"/>
      <c r="S102" s="18"/>
      <c r="T102" s="18"/>
      <c r="U102" s="18"/>
    </row>
    <row r="103" spans="1:21" outlineLevel="1">
      <c r="A103" s="9">
        <f t="shared" si="57"/>
        <v>5</v>
      </c>
      <c r="B103" s="4" t="s">
        <v>157</v>
      </c>
      <c r="C103" s="4" t="s">
        <v>43</v>
      </c>
      <c r="D103" s="24" t="s">
        <v>228</v>
      </c>
      <c r="E103" s="117">
        <f>SUMIFS('tồn TP 17.04'!F:F,'tồn TP 17.04'!A:A,'Trình bày'!B103)</f>
        <v>0</v>
      </c>
      <c r="F103" s="84">
        <f>IFERROR(_xlfn.XLOOKUP(B103,'tồn TP 17.04'!A:A,'tồn TP 17.04'!J:J),0)</f>
        <v>0</v>
      </c>
      <c r="G103" s="104" t="s">
        <v>326</v>
      </c>
      <c r="H103" s="105" t="s">
        <v>339</v>
      </c>
      <c r="I103" s="106" t="s">
        <v>367</v>
      </c>
      <c r="J103" s="87"/>
      <c r="K103" s="49"/>
      <c r="L103" s="56"/>
      <c r="M103" s="72"/>
      <c r="N103" s="4" t="s">
        <v>265</v>
      </c>
      <c r="O103" s="4"/>
      <c r="Q103" s="18"/>
      <c r="R103" s="18"/>
      <c r="S103" s="18"/>
      <c r="T103" s="18"/>
      <c r="U103" s="18"/>
    </row>
    <row r="104" spans="1:21" outlineLevel="1">
      <c r="A104" s="9">
        <f t="shared" si="57"/>
        <v>6</v>
      </c>
      <c r="B104" s="4" t="s">
        <v>158</v>
      </c>
      <c r="C104" s="4" t="s">
        <v>44</v>
      </c>
      <c r="D104" s="24" t="s">
        <v>228</v>
      </c>
      <c r="E104" s="117">
        <f>SUMIFS('tồn TP 17.04'!F:F,'tồn TP 17.04'!A:A,'Trình bày'!B104)</f>
        <v>0</v>
      </c>
      <c r="F104" s="84">
        <f>IFERROR(_xlfn.XLOOKUP(B104,'tồn TP 17.04'!A:A,'tồn TP 17.04'!J:J),0)</f>
        <v>0</v>
      </c>
      <c r="G104" s="104" t="s">
        <v>326</v>
      </c>
      <c r="H104" s="105" t="s">
        <v>339</v>
      </c>
      <c r="I104" s="106" t="s">
        <v>367</v>
      </c>
      <c r="J104" s="87"/>
      <c r="K104" s="49"/>
      <c r="L104" s="56"/>
      <c r="M104" s="72"/>
      <c r="N104" s="4" t="s">
        <v>265</v>
      </c>
      <c r="O104" s="4"/>
      <c r="Q104" s="18"/>
      <c r="R104" s="18"/>
      <c r="S104" s="18"/>
      <c r="T104" s="18"/>
      <c r="U104" s="18"/>
    </row>
    <row r="105" spans="1:21" outlineLevel="1">
      <c r="A105" s="9">
        <f t="shared" si="57"/>
        <v>7</v>
      </c>
      <c r="B105" s="4" t="s">
        <v>160</v>
      </c>
      <c r="C105" s="4" t="s">
        <v>46</v>
      </c>
      <c r="D105" s="24" t="s">
        <v>233</v>
      </c>
      <c r="E105" s="84">
        <f>SUMIFS('tồn TP 17.04'!F:F,'tồn TP 17.04'!A:A,'Trình bày'!B105)</f>
        <v>28636</v>
      </c>
      <c r="F105" s="84">
        <f>IFERROR(_xlfn.XLOOKUP(B105,'tồn TP 17.04'!A:A,'tồn TP 17.04'!J:J),0)</f>
        <v>66.666666666666671</v>
      </c>
      <c r="G105" s="104" t="s">
        <v>326</v>
      </c>
      <c r="H105" s="105" t="s">
        <v>339</v>
      </c>
      <c r="I105" s="106" t="s">
        <v>367</v>
      </c>
      <c r="J105" s="87">
        <f>22029/26.5</f>
        <v>831.28301886792451</v>
      </c>
      <c r="K105" s="49" t="s">
        <v>364</v>
      </c>
      <c r="L105" s="56" t="s">
        <v>365</v>
      </c>
      <c r="M105" s="72"/>
      <c r="N105" s="4" t="s">
        <v>265</v>
      </c>
      <c r="O105" s="4" t="s">
        <v>317</v>
      </c>
      <c r="Q105" s="18"/>
      <c r="R105" s="18"/>
      <c r="S105" s="18"/>
      <c r="T105" s="18"/>
      <c r="U105" s="18"/>
    </row>
    <row r="106" spans="1:21" outlineLevel="1">
      <c r="A106" s="9">
        <f t="shared" si="57"/>
        <v>8</v>
      </c>
      <c r="B106" s="4" t="s">
        <v>185</v>
      </c>
      <c r="C106" s="4" t="s">
        <v>71</v>
      </c>
      <c r="D106" s="24"/>
      <c r="E106" s="84">
        <f>SUMIFS('tồn TP 17.04'!F:F,'tồn TP 17.04'!A:A,'Trình bày'!B106)</f>
        <v>5815.6</v>
      </c>
      <c r="F106" s="84">
        <f>IFERROR(_xlfn.XLOOKUP(B106,'tồn TP 17.04'!A:A,'tồn TP 17.04'!J:J),0)</f>
        <v>0</v>
      </c>
      <c r="G106" s="84"/>
      <c r="H106" s="105"/>
      <c r="I106" s="106"/>
      <c r="J106" s="87"/>
      <c r="K106" s="49"/>
      <c r="L106" s="56"/>
      <c r="M106" s="72"/>
      <c r="N106" s="4" t="s">
        <v>265</v>
      </c>
      <c r="O106" s="4"/>
      <c r="Q106" s="18"/>
      <c r="R106" s="18"/>
      <c r="S106" s="18"/>
      <c r="T106" s="18"/>
      <c r="U106" s="18"/>
    </row>
    <row r="107" spans="1:21" outlineLevel="1">
      <c r="A107" s="9">
        <f t="shared" si="57"/>
        <v>9</v>
      </c>
      <c r="B107" s="4" t="s">
        <v>143</v>
      </c>
      <c r="C107" s="4" t="s">
        <v>29</v>
      </c>
      <c r="D107" s="24" t="s">
        <v>229</v>
      </c>
      <c r="E107" s="117">
        <f>SUMIFS('tồn TP 17.04'!F:F,'tồn TP 17.04'!A:A,'Trình bày'!B107)</f>
        <v>0</v>
      </c>
      <c r="F107" s="84">
        <f>IFERROR(_xlfn.XLOOKUP(B107,'tồn TP 17.04'!A:A,'tồn TP 17.04'!J:J),0)</f>
        <v>0</v>
      </c>
      <c r="G107" s="104" t="s">
        <v>327</v>
      </c>
      <c r="H107" s="105" t="s">
        <v>366</v>
      </c>
      <c r="I107" s="106" t="s">
        <v>367</v>
      </c>
      <c r="J107" s="87"/>
      <c r="K107" s="49"/>
      <c r="L107" s="56"/>
      <c r="M107" s="75"/>
      <c r="N107" s="4" t="s">
        <v>265</v>
      </c>
      <c r="O107" s="4"/>
      <c r="Q107" s="18"/>
      <c r="R107" s="18"/>
      <c r="S107" s="18"/>
      <c r="T107" s="18"/>
      <c r="U107" s="18"/>
    </row>
    <row r="108" spans="1:21" s="18" customFormat="1" ht="15.5">
      <c r="A108" s="14" t="s">
        <v>260</v>
      </c>
      <c r="B108" s="15" t="s">
        <v>245</v>
      </c>
      <c r="C108" s="15"/>
      <c r="D108" s="22"/>
      <c r="E108" s="98"/>
      <c r="F108" s="98"/>
      <c r="G108" s="98"/>
      <c r="H108" s="99"/>
      <c r="I108" s="100"/>
      <c r="J108" s="101"/>
      <c r="K108" s="48"/>
      <c r="L108" s="55"/>
      <c r="M108" s="71"/>
      <c r="N108" s="15"/>
      <c r="O108" s="15"/>
    </row>
    <row r="109" spans="1:21" s="18" customFormat="1" ht="15.5">
      <c r="A109" s="12" t="s">
        <v>239</v>
      </c>
      <c r="B109" s="13" t="s">
        <v>240</v>
      </c>
      <c r="C109" s="13"/>
      <c r="D109" s="23"/>
      <c r="E109" s="92"/>
      <c r="F109" s="92"/>
      <c r="G109" s="92"/>
      <c r="H109" s="93"/>
      <c r="I109" s="94"/>
      <c r="J109" s="95"/>
      <c r="K109" s="47"/>
      <c r="L109" s="54"/>
      <c r="M109" s="70"/>
      <c r="N109" s="13"/>
      <c r="O109" s="13"/>
    </row>
    <row r="110" spans="1:21" outlineLevel="1">
      <c r="A110" s="9">
        <v>1</v>
      </c>
      <c r="B110" s="4" t="s">
        <v>169</v>
      </c>
      <c r="C110" s="4" t="s">
        <v>55</v>
      </c>
      <c r="D110" s="24" t="s">
        <v>226</v>
      </c>
      <c r="E110" s="84">
        <f>SUMIFS('tồn TP 17.04'!F:F,'tồn TP 17.04'!A:A,'Trình bày'!B110)</f>
        <v>8430.1</v>
      </c>
      <c r="F110" s="84">
        <f>IFERROR(_xlfn.XLOOKUP(B110,'tồn TP 17.04'!A:A,'tồn TP 17.04'!J:J),0)</f>
        <v>10916.666666666666</v>
      </c>
      <c r="G110" s="84">
        <v>1120</v>
      </c>
      <c r="H110" s="85">
        <v>1155</v>
      </c>
      <c r="I110" s="69">
        <f>H110-G110</f>
        <v>35</v>
      </c>
      <c r="J110" s="87">
        <f>20383/26.5</f>
        <v>769.16981132075466</v>
      </c>
      <c r="K110" s="86">
        <f t="shared" ref="K110" si="58">(H110-J110)</f>
        <v>385.83018867924534</v>
      </c>
      <c r="L110" s="53">
        <f t="shared" ref="L110" si="59">+K110/H110</f>
        <v>0.33405211141060204</v>
      </c>
      <c r="M110" s="69"/>
      <c r="N110" s="4"/>
      <c r="O110" s="4" t="s">
        <v>320</v>
      </c>
      <c r="Q110" s="18"/>
      <c r="R110" s="18"/>
      <c r="S110" s="18"/>
      <c r="T110" s="18"/>
      <c r="U110" s="18"/>
    </row>
    <row r="111" spans="1:21" outlineLevel="1">
      <c r="A111" s="9">
        <f>+A110+1</f>
        <v>2</v>
      </c>
      <c r="B111" s="4" t="s">
        <v>171</v>
      </c>
      <c r="C111" s="4" t="s">
        <v>57</v>
      </c>
      <c r="D111" s="24" t="s">
        <v>228</v>
      </c>
      <c r="E111" s="84">
        <f>SUMIFS('tồn TP 17.04'!F:F,'tồn TP 17.04'!A:A,'Trình bày'!B111)</f>
        <v>117443</v>
      </c>
      <c r="F111" s="84">
        <f>IFERROR(_xlfn.XLOOKUP(B111,'tồn TP 17.04'!A:A,'tồn TP 17.04'!J:J),0)</f>
        <v>0</v>
      </c>
      <c r="G111" s="84">
        <v>1120</v>
      </c>
      <c r="H111" s="85">
        <f>H110</f>
        <v>1155</v>
      </c>
      <c r="I111" s="69">
        <f>H111-G111</f>
        <v>35</v>
      </c>
      <c r="J111" s="87">
        <f>19811/26.5</f>
        <v>747.58490566037733</v>
      </c>
      <c r="K111" s="86">
        <f>(H111-J111)</f>
        <v>407.41509433962267</v>
      </c>
      <c r="L111" s="53">
        <f>+K111/H111</f>
        <v>0.35274034141958671</v>
      </c>
      <c r="M111" s="69"/>
      <c r="N111" s="4"/>
      <c r="O111" s="4" t="s">
        <v>317</v>
      </c>
    </row>
    <row r="112" spans="1:21" outlineLevel="1">
      <c r="A112" s="9"/>
      <c r="B112" s="4"/>
      <c r="C112" s="4"/>
      <c r="D112" s="24"/>
      <c r="E112" s="84"/>
      <c r="F112" s="84"/>
      <c r="G112" s="84"/>
      <c r="H112" s="85"/>
      <c r="I112" s="69"/>
      <c r="J112" s="87"/>
      <c r="K112" s="86"/>
      <c r="L112" s="53"/>
      <c r="M112" s="69"/>
      <c r="N112" s="4"/>
      <c r="O112" s="4"/>
    </row>
    <row r="113" spans="1:15" s="18" customFormat="1" ht="15.5">
      <c r="A113" s="12" t="s">
        <v>241</v>
      </c>
      <c r="B113" s="13" t="s">
        <v>242</v>
      </c>
      <c r="C113" s="13"/>
      <c r="D113" s="23"/>
      <c r="E113" s="92"/>
      <c r="F113" s="92"/>
      <c r="G113" s="92"/>
      <c r="H113" s="93"/>
      <c r="I113" s="70"/>
      <c r="J113" s="95"/>
      <c r="K113" s="94"/>
      <c r="L113" s="54"/>
      <c r="M113" s="70"/>
      <c r="N113" s="13"/>
      <c r="O113" s="13"/>
    </row>
    <row r="114" spans="1:15" outlineLevel="1">
      <c r="A114" s="9">
        <v>1</v>
      </c>
      <c r="B114" s="4" t="s">
        <v>170</v>
      </c>
      <c r="C114" s="4" t="s">
        <v>56</v>
      </c>
      <c r="D114" s="24" t="s">
        <v>226</v>
      </c>
      <c r="E114" s="84">
        <f>SUMIFS('tồn TP 17.04'!F:F,'tồn TP 17.04'!A:A,'Trình bày'!B114)</f>
        <v>2250</v>
      </c>
      <c r="F114" s="84">
        <f>IFERROR(_xlfn.XLOOKUP(B114,'tồn TP 17.04'!A:A,'tồn TP 17.04'!J:J),0)</f>
        <v>0</v>
      </c>
      <c r="G114" s="84">
        <v>1120</v>
      </c>
      <c r="H114" s="85">
        <f>H110</f>
        <v>1155</v>
      </c>
      <c r="I114" s="69">
        <f t="shared" ref="I114:I115" si="60">H114-G114</f>
        <v>35</v>
      </c>
      <c r="J114" s="87">
        <f>19982/26.5</f>
        <v>754.03773584905662</v>
      </c>
      <c r="K114" s="86">
        <f t="shared" ref="K114:K115" si="61">(H114-J114)</f>
        <v>400.96226415094338</v>
      </c>
      <c r="L114" s="53">
        <f t="shared" ref="L114:L115" si="62">+K114/H114</f>
        <v>0.34715347545536224</v>
      </c>
      <c r="M114" s="69"/>
      <c r="N114" s="4"/>
      <c r="O114" s="4" t="s">
        <v>319</v>
      </c>
    </row>
    <row r="115" spans="1:15" s="83" customFormat="1" ht="43.5" outlineLevel="1">
      <c r="A115" s="24">
        <f>+A114+1</f>
        <v>2</v>
      </c>
      <c r="B115" s="79" t="s">
        <v>183</v>
      </c>
      <c r="C115" s="79" t="s">
        <v>69</v>
      </c>
      <c r="D115" s="24" t="s">
        <v>225</v>
      </c>
      <c r="E115" s="108">
        <f>SUMIFS('tồn TP 17.04'!F:F,'tồn TP 17.04'!A:A,'Trình bày'!B115)</f>
        <v>5250</v>
      </c>
      <c r="F115" s="108">
        <f>IFERROR(_xlfn.XLOOKUP(B115,'tồn TP 17.04'!A:A,'tồn TP 17.04'!J:J),0)</f>
        <v>0</v>
      </c>
      <c r="G115" s="108">
        <v>1120</v>
      </c>
      <c r="H115" s="109">
        <f>H110</f>
        <v>1155</v>
      </c>
      <c r="I115" s="81">
        <f t="shared" si="60"/>
        <v>35</v>
      </c>
      <c r="J115" s="111">
        <f>59666/26.5</f>
        <v>2251.5471698113206</v>
      </c>
      <c r="K115" s="110">
        <f t="shared" si="61"/>
        <v>-1096.5471698113206</v>
      </c>
      <c r="L115" s="80">
        <f t="shared" si="62"/>
        <v>-0.9493914890141304</v>
      </c>
      <c r="M115" s="81"/>
      <c r="N115" s="82" t="s">
        <v>324</v>
      </c>
      <c r="O115" s="79" t="s">
        <v>323</v>
      </c>
    </row>
    <row r="116" spans="1:15" outlineLevel="1">
      <c r="A116" s="9">
        <f>+A115+1</f>
        <v>3</v>
      </c>
      <c r="B116" s="20" t="s">
        <v>288</v>
      </c>
      <c r="C116" s="20" t="s">
        <v>287</v>
      </c>
      <c r="D116" s="26" t="s">
        <v>228</v>
      </c>
      <c r="E116" s="112">
        <f>SUMIFS('tồn TP 17.04'!F:F,'tồn TP 17.04'!A:A,'Trình bày'!B116)</f>
        <v>750</v>
      </c>
      <c r="F116" s="112">
        <f>IFERROR(_xlfn.XLOOKUP(B116,'tồn TP 17.04'!A:A,'tồn TP 17.04'!J:J),0)</f>
        <v>0</v>
      </c>
      <c r="G116" s="112">
        <v>1120</v>
      </c>
      <c r="H116" s="113">
        <f>H110</f>
        <v>1155</v>
      </c>
      <c r="I116" s="78">
        <f t="shared" ref="I116" si="63">H116-G116</f>
        <v>35</v>
      </c>
      <c r="J116" s="115">
        <f>20000/26.5</f>
        <v>754.71698113207549</v>
      </c>
      <c r="K116" s="114">
        <f t="shared" ref="K116" si="64">(H116-J116)</f>
        <v>400.28301886792451</v>
      </c>
      <c r="L116" s="62">
        <f t="shared" ref="L116" si="65">+K116/H116</f>
        <v>0.34656538430123335</v>
      </c>
      <c r="M116" s="78"/>
      <c r="N116" s="20"/>
      <c r="O116" s="20"/>
    </row>
    <row r="118" spans="1:15">
      <c r="D118"/>
      <c r="I118"/>
      <c r="J118"/>
      <c r="K118"/>
      <c r="L118"/>
      <c r="M118"/>
    </row>
    <row r="119" spans="1:15">
      <c r="D119"/>
      <c r="I119"/>
      <c r="J119"/>
      <c r="K119"/>
      <c r="L119"/>
      <c r="M119"/>
    </row>
    <row r="120" spans="1:15">
      <c r="I120"/>
      <c r="J120"/>
      <c r="K120"/>
      <c r="L120"/>
      <c r="M120"/>
    </row>
    <row r="121" spans="1:15">
      <c r="I121"/>
      <c r="J121"/>
      <c r="K121"/>
      <c r="L121"/>
      <c r="M121"/>
    </row>
    <row r="122" spans="1:15">
      <c r="I122"/>
      <c r="J122"/>
      <c r="K122"/>
      <c r="L122"/>
      <c r="M122"/>
    </row>
    <row r="123" spans="1:15">
      <c r="I123"/>
      <c r="J123"/>
      <c r="K123"/>
      <c r="L123"/>
      <c r="M123"/>
    </row>
  </sheetData>
  <autoFilter ref="A4:O116" xr:uid="{B546816D-46E9-4C95-9906-AEA9E12D0734}"/>
  <mergeCells count="1">
    <mergeCell ref="N77:N83"/>
  </mergeCells>
  <conditionalFormatting sqref="I7:I58 I60:I88 I108:I116">
    <cfRule type="cellIs" dxfId="10" priority="110" operator="lessThan">
      <formula>0</formula>
    </cfRule>
    <cfRule type="cellIs" dxfId="9" priority="115" operator="lessThan">
      <formula>-1</formula>
    </cfRule>
    <cfRule type="cellIs" dxfId="8" priority="116" operator="greaterThanOrEqual">
      <formula>0</formula>
    </cfRule>
  </conditionalFormatting>
  <conditionalFormatting sqref="K7:M58">
    <cfRule type="cellIs" dxfId="7" priority="10" operator="lessThan">
      <formula>0</formula>
    </cfRule>
    <cfRule type="cellIs" dxfId="6" priority="11" operator="lessThan">
      <formula>-1</formula>
    </cfRule>
  </conditionalFormatting>
  <conditionalFormatting sqref="K7:M116">
    <cfRule type="cellIs" dxfId="5" priority="12" operator="greaterThanOrEqual">
      <formula>0</formula>
    </cfRule>
  </conditionalFormatting>
  <conditionalFormatting sqref="K59:M115 M114:M116">
    <cfRule type="cellIs" dxfId="4" priority="111" operator="lessThan">
      <formula>-1</formula>
    </cfRule>
  </conditionalFormatting>
  <conditionalFormatting sqref="K59:M116">
    <cfRule type="cellIs" dxfId="3" priority="109" operator="lessThan">
      <formula>0</formula>
    </cfRule>
  </conditionalFormatting>
  <conditionalFormatting sqref="K116:M116">
    <cfRule type="cellIs" dxfId="2" priority="91" operator="lessThan">
      <formula>-1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L90"/>
  <sheetViews>
    <sheetView workbookViewId="0">
      <pane xSplit="3" ySplit="2" topLeftCell="D49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N59" sqref="N59"/>
    </sheetView>
  </sheetViews>
  <sheetFormatPr defaultColWidth="8.81640625" defaultRowHeight="13"/>
  <cols>
    <col min="1" max="1" width="11.54296875" style="29" customWidth="1"/>
    <col min="2" max="2" width="29.1796875" style="29" customWidth="1"/>
    <col min="3" max="3" width="8.81640625" style="29"/>
    <col min="4" max="4" width="9.453125" style="30" bestFit="1" customWidth="1"/>
    <col min="5" max="5" width="8.81640625" style="30" bestFit="1" customWidth="1"/>
    <col min="6" max="6" width="11.453125" style="30" customWidth="1"/>
    <col min="7" max="7" width="9.81640625" style="30" customWidth="1"/>
    <col min="8" max="8" width="8.81640625" style="30"/>
    <col min="9" max="9" width="12.1796875" style="29" customWidth="1"/>
    <col min="10" max="10" width="10.1796875" style="29" customWidth="1"/>
    <col min="11" max="11" width="12.81640625" style="29" customWidth="1"/>
    <col min="12" max="16384" width="8.81640625" style="29"/>
  </cols>
  <sheetData>
    <row r="1" spans="1:12">
      <c r="F1" s="30">
        <f>SUBTOTAL(9,F3:F878)</f>
        <v>8383230.2500000009</v>
      </c>
      <c r="I1" s="30">
        <f>SUBTOTAL(9,I3:I90)</f>
        <v>13163325</v>
      </c>
      <c r="J1" s="116">
        <v>3</v>
      </c>
    </row>
    <row r="2" spans="1:12" s="39" customFormat="1" ht="29.15" customHeight="1">
      <c r="A2" s="36" t="s">
        <v>0</v>
      </c>
      <c r="B2" s="37" t="s">
        <v>1</v>
      </c>
      <c r="C2" s="37" t="s">
        <v>290</v>
      </c>
      <c r="D2" s="38" t="s">
        <v>291</v>
      </c>
      <c r="E2" s="38" t="s">
        <v>292</v>
      </c>
      <c r="F2" s="38" t="s">
        <v>333</v>
      </c>
      <c r="G2" s="38" t="s">
        <v>286</v>
      </c>
      <c r="H2" s="38" t="s">
        <v>224</v>
      </c>
      <c r="I2" s="37" t="s">
        <v>321</v>
      </c>
      <c r="J2" s="37" t="s">
        <v>298</v>
      </c>
      <c r="K2" s="37" t="s">
        <v>277</v>
      </c>
    </row>
    <row r="3" spans="1:12">
      <c r="A3" s="31" t="s">
        <v>118</v>
      </c>
      <c r="B3" s="29" t="s">
        <v>3</v>
      </c>
      <c r="C3" s="29" t="s">
        <v>4</v>
      </c>
      <c r="D3" s="30">
        <v>384888</v>
      </c>
      <c r="E3" s="30">
        <v>0</v>
      </c>
      <c r="F3" s="30">
        <f>+D3+E3</f>
        <v>384888</v>
      </c>
      <c r="G3" s="30" t="str">
        <f>IFERROR(_xlfn.XLOOKUP(A3,data!A:A,data!D:D)," ")</f>
        <v>rPET</v>
      </c>
      <c r="H3" s="30">
        <f>IFERROR(_xlfn.XLOOKUP(A3,data!A:A,data!E:E)," ")</f>
        <v>0</v>
      </c>
      <c r="I3" s="30">
        <v>110000</v>
      </c>
      <c r="J3" s="32">
        <f>IFERROR(I3/$J$1,0)</f>
        <v>36666.666666666664</v>
      </c>
      <c r="K3" s="29" t="str">
        <f>VLOOKUP(A3,'Trình bày'!B:B,1,0)</f>
        <v>110000329</v>
      </c>
      <c r="L3" s="32"/>
    </row>
    <row r="4" spans="1:12">
      <c r="A4" s="31" t="s">
        <v>121</v>
      </c>
      <c r="B4" s="29" t="s">
        <v>7</v>
      </c>
      <c r="C4" s="29" t="s">
        <v>4</v>
      </c>
      <c r="D4" s="30">
        <v>188980.2</v>
      </c>
      <c r="E4" s="30">
        <v>240008</v>
      </c>
      <c r="F4" s="30">
        <f t="shared" ref="F4:F67" si="0">+D4+E4</f>
        <v>428988.2</v>
      </c>
      <c r="G4" s="30" t="str">
        <f>IFERROR(_xlfn.XLOOKUP(A4,data!A:A,data!D:D)," ")</f>
        <v>rPET</v>
      </c>
      <c r="H4" s="30">
        <f>IFERROR(_xlfn.XLOOKUP(A4,data!A:A,data!E:E)," ")</f>
        <v>0</v>
      </c>
      <c r="I4" s="30">
        <v>1786400</v>
      </c>
      <c r="J4" s="32">
        <f t="shared" ref="J4:J67" si="1">IFERROR(I4/$J$1,0)</f>
        <v>595466.66666666663</v>
      </c>
      <c r="K4" s="29" t="str">
        <f>VLOOKUP(A4,'Trình bày'!B:B,1,0)</f>
        <v>110000332</v>
      </c>
      <c r="L4" s="32"/>
    </row>
    <row r="5" spans="1:12">
      <c r="A5" s="31" t="s">
        <v>124</v>
      </c>
      <c r="B5" s="29" t="s">
        <v>10</v>
      </c>
      <c r="C5" s="29" t="s">
        <v>4</v>
      </c>
      <c r="D5" s="30">
        <v>23066.9</v>
      </c>
      <c r="E5" s="30">
        <v>9450</v>
      </c>
      <c r="F5" s="30">
        <f t="shared" si="0"/>
        <v>32516.9</v>
      </c>
      <c r="G5" s="30" t="str">
        <f>IFERROR(_xlfn.XLOOKUP(A5,data!A:A,data!D:D)," ")</f>
        <v>HD thổi</v>
      </c>
      <c r="H5" s="30">
        <f>IFERROR(_xlfn.XLOOKUP(A5,data!A:A,data!E:E)," ")</f>
        <v>0</v>
      </c>
      <c r="I5" s="30">
        <v>0</v>
      </c>
      <c r="J5" s="32">
        <f t="shared" si="1"/>
        <v>0</v>
      </c>
      <c r="K5" s="29" t="str">
        <f>VLOOKUP(A5,'Trình bày'!B:B,1,0)</f>
        <v>110000336</v>
      </c>
      <c r="L5" s="32"/>
    </row>
    <row r="6" spans="1:12">
      <c r="A6" s="31" t="s">
        <v>126</v>
      </c>
      <c r="B6" s="29" t="s">
        <v>12</v>
      </c>
      <c r="C6" s="29" t="s">
        <v>4</v>
      </c>
      <c r="D6" s="30">
        <v>96662.5</v>
      </c>
      <c r="E6" s="30">
        <v>55000</v>
      </c>
      <c r="F6" s="30">
        <f t="shared" si="0"/>
        <v>151662.5</v>
      </c>
      <c r="G6" s="30" t="str">
        <f>IFERROR(_xlfn.XLOOKUP(A6,data!A:A,data!D:D)," ")</f>
        <v>HD thổi</v>
      </c>
      <c r="H6" s="30" t="str">
        <f>IFERROR(_xlfn.XLOOKUP(A6,data!A:A,data!E:E)," ")</f>
        <v>Trong</v>
      </c>
      <c r="I6" s="30">
        <v>690250</v>
      </c>
      <c r="J6" s="32">
        <f t="shared" si="1"/>
        <v>230083.33333333334</v>
      </c>
      <c r="K6" s="29" t="str">
        <f>VLOOKUP(A6,'Trình bày'!B:B,1,0)</f>
        <v>110000339</v>
      </c>
      <c r="L6" s="32"/>
    </row>
    <row r="7" spans="1:12">
      <c r="A7" s="31" t="s">
        <v>127</v>
      </c>
      <c r="B7" s="29" t="s">
        <v>13</v>
      </c>
      <c r="C7" s="29" t="s">
        <v>4</v>
      </c>
      <c r="D7" s="30">
        <v>109750.5</v>
      </c>
      <c r="E7" s="30">
        <v>7850</v>
      </c>
      <c r="F7" s="30">
        <f t="shared" si="0"/>
        <v>117600.5</v>
      </c>
      <c r="G7" s="30" t="str">
        <f>IFERROR(_xlfn.XLOOKUP(A7,data!A:A,data!D:D)," ")</f>
        <v>HD thổi</v>
      </c>
      <c r="H7" s="30" t="str">
        <f>IFERROR(_xlfn.XLOOKUP(A7,data!A:A,data!E:E)," ")</f>
        <v>Đen</v>
      </c>
      <c r="I7" s="30">
        <v>156250</v>
      </c>
      <c r="J7" s="32">
        <f t="shared" si="1"/>
        <v>52083.333333333336</v>
      </c>
      <c r="K7" s="29" t="str">
        <f>VLOOKUP(A7,'Trình bày'!B:B,1,0)</f>
        <v>110000341</v>
      </c>
      <c r="L7" s="32"/>
    </row>
    <row r="8" spans="1:12">
      <c r="A8" s="31" t="s">
        <v>128</v>
      </c>
      <c r="B8" s="29" t="s">
        <v>14</v>
      </c>
      <c r="C8" s="29" t="s">
        <v>4</v>
      </c>
      <c r="D8" s="30">
        <v>13140</v>
      </c>
      <c r="E8" s="30">
        <v>0</v>
      </c>
      <c r="F8" s="30">
        <f t="shared" si="0"/>
        <v>13140</v>
      </c>
      <c r="G8" s="30" t="str">
        <f>IFERROR(_xlfn.XLOOKUP(A8,data!A:A,data!D:D)," ")</f>
        <v>HD thổi</v>
      </c>
      <c r="H8" s="30" t="str">
        <f>IFERROR(_xlfn.XLOOKUP(A8,data!A:A,data!E:E)," ")</f>
        <v>Lá</v>
      </c>
      <c r="I8" s="30">
        <v>0</v>
      </c>
      <c r="J8" s="32">
        <f t="shared" si="1"/>
        <v>0</v>
      </c>
      <c r="K8" s="29" t="str">
        <f>VLOOKUP(A8,'Trình bày'!B:B,1,0)</f>
        <v>110000343</v>
      </c>
      <c r="L8" s="32"/>
    </row>
    <row r="9" spans="1:12">
      <c r="A9" s="31" t="s">
        <v>129</v>
      </c>
      <c r="B9" s="29" t="s">
        <v>15</v>
      </c>
      <c r="C9" s="29" t="s">
        <v>4</v>
      </c>
      <c r="D9" s="30">
        <v>1365</v>
      </c>
      <c r="E9" s="30">
        <v>2200</v>
      </c>
      <c r="F9" s="30">
        <f t="shared" si="0"/>
        <v>3565</v>
      </c>
      <c r="G9" s="30" t="str">
        <f>IFERROR(_xlfn.XLOOKUP(A9,data!A:A,data!D:D)," ")</f>
        <v>HD thổi</v>
      </c>
      <c r="H9" s="30" t="str">
        <f>IFERROR(_xlfn.XLOOKUP(A9,data!A:A,data!E:E)," ")</f>
        <v>Vàng</v>
      </c>
      <c r="I9" s="30">
        <v>0</v>
      </c>
      <c r="J9" s="32">
        <f t="shared" si="1"/>
        <v>0</v>
      </c>
      <c r="K9" s="29" t="str">
        <f>VLOOKUP(A9,'Trình bày'!B:B,1,0)</f>
        <v>110000345</v>
      </c>
      <c r="L9" s="32"/>
    </row>
    <row r="10" spans="1:12">
      <c r="A10" s="31" t="s">
        <v>130</v>
      </c>
      <c r="B10" s="29" t="s">
        <v>16</v>
      </c>
      <c r="C10" s="29" t="s">
        <v>4</v>
      </c>
      <c r="D10" s="30">
        <v>737486</v>
      </c>
      <c r="E10" s="30">
        <v>0</v>
      </c>
      <c r="F10" s="30">
        <f t="shared" si="0"/>
        <v>737486</v>
      </c>
      <c r="G10" s="30" t="str">
        <f>IFERROR(_xlfn.XLOOKUP(A10,data!A:A,data!D:D)," ")</f>
        <v>rPET</v>
      </c>
      <c r="H10" s="30">
        <f>IFERROR(_xlfn.XLOOKUP(A10,data!A:A,data!E:E)," ")</f>
        <v>0</v>
      </c>
      <c r="I10" s="30">
        <v>6468000</v>
      </c>
      <c r="J10" s="32">
        <f t="shared" si="1"/>
        <v>2156000</v>
      </c>
      <c r="K10" s="29" t="str">
        <f>VLOOKUP(A10,'Trình bày'!B:B,1,0)</f>
        <v>110000354</v>
      </c>
      <c r="L10" s="32"/>
    </row>
    <row r="11" spans="1:12">
      <c r="A11" s="31" t="s">
        <v>131</v>
      </c>
      <c r="B11" s="29" t="s">
        <v>17</v>
      </c>
      <c r="C11" s="29" t="s">
        <v>4</v>
      </c>
      <c r="D11" s="30">
        <v>70122.75</v>
      </c>
      <c r="E11" s="30">
        <v>0</v>
      </c>
      <c r="F11" s="30">
        <f t="shared" si="0"/>
        <v>70122.75</v>
      </c>
      <c r="G11" s="30" t="str">
        <f>IFERROR(_xlfn.XLOOKUP(A11,data!A:A,data!D:D)," ")</f>
        <v>rPET</v>
      </c>
      <c r="H11" s="30">
        <f>IFERROR(_xlfn.XLOOKUP(A11,data!A:A,data!E:E)," ")</f>
        <v>0</v>
      </c>
      <c r="I11" s="30">
        <v>594050</v>
      </c>
      <c r="J11" s="32">
        <f t="shared" si="1"/>
        <v>198016.66666666666</v>
      </c>
      <c r="K11" s="29" t="str">
        <f>VLOOKUP(A11,'Trình bày'!B:B,1,0)</f>
        <v>110000355</v>
      </c>
      <c r="L11" s="32"/>
    </row>
    <row r="12" spans="1:12">
      <c r="A12" s="31" t="s">
        <v>133</v>
      </c>
      <c r="B12" s="29" t="s">
        <v>19</v>
      </c>
      <c r="C12" s="29" t="s">
        <v>4</v>
      </c>
      <c r="D12" s="30">
        <v>1884689.5</v>
      </c>
      <c r="E12" s="30">
        <v>26400</v>
      </c>
      <c r="F12" s="30">
        <f t="shared" si="0"/>
        <v>1911089.5</v>
      </c>
      <c r="G12" s="30" t="str">
        <f>IFERROR(_xlfn.XLOOKUP(A12,data!A:A,data!D:D)," ")</f>
        <v>rPET</v>
      </c>
      <c r="H12" s="30">
        <f>IFERROR(_xlfn.XLOOKUP(A12,data!A:A,data!E:E)," ")</f>
        <v>0</v>
      </c>
      <c r="I12" s="30">
        <v>909850</v>
      </c>
      <c r="J12" s="32">
        <f t="shared" si="1"/>
        <v>303283.33333333331</v>
      </c>
      <c r="K12" s="29" t="str">
        <f>VLOOKUP(A12,'Trình bày'!B:B,1,0)</f>
        <v>110000359</v>
      </c>
      <c r="L12" s="32"/>
    </row>
    <row r="13" spans="1:12">
      <c r="A13" s="31" t="s">
        <v>134</v>
      </c>
      <c r="B13" s="29" t="s">
        <v>20</v>
      </c>
      <c r="C13" s="29" t="s">
        <v>4</v>
      </c>
      <c r="D13" s="30">
        <v>40070</v>
      </c>
      <c r="E13" s="30">
        <v>0</v>
      </c>
      <c r="F13" s="30">
        <f t="shared" si="0"/>
        <v>40070</v>
      </c>
      <c r="G13" s="30" t="str">
        <f>IFERROR(_xlfn.XLOOKUP(A13,data!A:A,data!D:D)," ")</f>
        <v>HD ép</v>
      </c>
      <c r="H13" s="30" t="str">
        <f>IFERROR(_xlfn.XLOOKUP(A13,data!A:A,data!E:E)," ")</f>
        <v>Dương</v>
      </c>
      <c r="I13" s="30">
        <v>45500</v>
      </c>
      <c r="J13" s="32">
        <f t="shared" si="1"/>
        <v>15166.666666666666</v>
      </c>
      <c r="K13" s="29" t="str">
        <f>VLOOKUP(A13,'Trình bày'!B:B,1,0)</f>
        <v>110000360</v>
      </c>
      <c r="L13" s="32"/>
    </row>
    <row r="14" spans="1:12">
      <c r="A14" s="31" t="s">
        <v>135</v>
      </c>
      <c r="B14" s="29" t="s">
        <v>21</v>
      </c>
      <c r="C14" s="29" t="s">
        <v>4</v>
      </c>
      <c r="D14" s="30">
        <v>26650</v>
      </c>
      <c r="E14" s="30">
        <v>0</v>
      </c>
      <c r="F14" s="30">
        <f t="shared" si="0"/>
        <v>26650</v>
      </c>
      <c r="G14" s="30" t="str">
        <f>IFERROR(_xlfn.XLOOKUP(A14,data!A:A,data!D:D)," ")</f>
        <v>HD ép</v>
      </c>
      <c r="H14" s="30" t="str">
        <f>IFERROR(_xlfn.XLOOKUP(A14,data!A:A,data!E:E)," ")</f>
        <v>Đỏ</v>
      </c>
      <c r="I14" s="30">
        <v>33000</v>
      </c>
      <c r="J14" s="32">
        <f t="shared" si="1"/>
        <v>11000</v>
      </c>
      <c r="K14" s="29" t="str">
        <f>VLOOKUP(A14,'Trình bày'!B:B,1,0)</f>
        <v>110000361</v>
      </c>
      <c r="L14" s="32"/>
    </row>
    <row r="15" spans="1:12">
      <c r="A15" s="31" t="s">
        <v>136</v>
      </c>
      <c r="B15" s="29" t="s">
        <v>22</v>
      </c>
      <c r="C15" s="29" t="s">
        <v>4</v>
      </c>
      <c r="D15" s="30">
        <v>243146.9</v>
      </c>
      <c r="E15" s="30">
        <v>0</v>
      </c>
      <c r="F15" s="30">
        <f t="shared" si="0"/>
        <v>243146.9</v>
      </c>
      <c r="G15" s="30" t="str">
        <f>IFERROR(_xlfn.XLOOKUP(A15,data!A:A,data!D:D)," ")</f>
        <v>HD ép</v>
      </c>
      <c r="H15" s="30" t="str">
        <f>IFERROR(_xlfn.XLOOKUP(A15,data!A:A,data!E:E)," ")</f>
        <v>Xám</v>
      </c>
      <c r="I15" s="30">
        <v>1375</v>
      </c>
      <c r="J15" s="32">
        <f t="shared" si="1"/>
        <v>458.33333333333331</v>
      </c>
      <c r="K15" s="29" t="str">
        <f>VLOOKUP(A15,'Trình bày'!B:B,1,0)</f>
        <v>110000363</v>
      </c>
      <c r="L15" s="32"/>
    </row>
    <row r="16" spans="1:12">
      <c r="A16" s="31" t="s">
        <v>137</v>
      </c>
      <c r="B16" s="29" t="s">
        <v>23</v>
      </c>
      <c r="C16" s="29" t="s">
        <v>4</v>
      </c>
      <c r="D16" s="30">
        <v>45875</v>
      </c>
      <c r="E16" s="30">
        <v>0</v>
      </c>
      <c r="F16" s="30">
        <f t="shared" si="0"/>
        <v>45875</v>
      </c>
      <c r="G16" s="30" t="str">
        <f>IFERROR(_xlfn.XLOOKUP(A16,data!A:A,data!D:D)," ")</f>
        <v>HD ép</v>
      </c>
      <c r="H16" s="30" t="str">
        <f>IFERROR(_xlfn.XLOOKUP(A16,data!A:A,data!E:E)," ")</f>
        <v>Vàng</v>
      </c>
      <c r="I16" s="30">
        <v>27500</v>
      </c>
      <c r="J16" s="32">
        <f t="shared" si="1"/>
        <v>9166.6666666666661</v>
      </c>
      <c r="K16" s="29" t="str">
        <f>VLOOKUP(A16,'Trình bày'!B:B,1,0)</f>
        <v>110000364</v>
      </c>
      <c r="L16" s="32"/>
    </row>
    <row r="17" spans="1:12">
      <c r="A17" s="31" t="s">
        <v>138</v>
      </c>
      <c r="B17" s="29" t="s">
        <v>24</v>
      </c>
      <c r="C17" s="29" t="s">
        <v>4</v>
      </c>
      <c r="D17" s="30">
        <v>48500.4</v>
      </c>
      <c r="E17" s="30">
        <v>7510</v>
      </c>
      <c r="F17" s="30">
        <f t="shared" si="0"/>
        <v>56010.400000000001</v>
      </c>
      <c r="G17" s="30" t="str">
        <f>IFERROR(_xlfn.XLOOKUP(A17,data!A:A,data!D:D)," ")</f>
        <v>HD ép</v>
      </c>
      <c r="H17" s="30" t="str">
        <f>IFERROR(_xlfn.XLOOKUP(A17,data!A:A,data!E:E)," ")</f>
        <v>Trắng</v>
      </c>
      <c r="I17" s="30">
        <v>3125</v>
      </c>
      <c r="J17" s="32">
        <f t="shared" si="1"/>
        <v>1041.6666666666667</v>
      </c>
      <c r="K17" s="29" t="str">
        <f>VLOOKUP(A17,'Trình bày'!B:B,1,0)</f>
        <v>110000365</v>
      </c>
      <c r="L17" s="32"/>
    </row>
    <row r="18" spans="1:12">
      <c r="A18" s="31" t="s">
        <v>139</v>
      </c>
      <c r="B18" s="29" t="s">
        <v>25</v>
      </c>
      <c r="C18" s="29" t="s">
        <v>4</v>
      </c>
      <c r="D18" s="30">
        <v>41200</v>
      </c>
      <c r="E18" s="30">
        <v>0</v>
      </c>
      <c r="F18" s="30">
        <f t="shared" si="0"/>
        <v>41200</v>
      </c>
      <c r="G18" s="30" t="str">
        <f>IFERROR(_xlfn.XLOOKUP(A18,data!A:A,data!D:D)," ")</f>
        <v>HD ép</v>
      </c>
      <c r="H18" s="30" t="str">
        <f>IFERROR(_xlfn.XLOOKUP(A18,data!A:A,data!E:E)," ")</f>
        <v>Lá</v>
      </c>
      <c r="I18" s="30">
        <v>78500</v>
      </c>
      <c r="J18" s="32">
        <f t="shared" si="1"/>
        <v>26166.666666666668</v>
      </c>
      <c r="K18" s="29" t="str">
        <f>VLOOKUP(A18,'Trình bày'!B:B,1,0)</f>
        <v>110000366</v>
      </c>
      <c r="L18" s="32"/>
    </row>
    <row r="19" spans="1:12">
      <c r="A19" s="31" t="s">
        <v>140</v>
      </c>
      <c r="B19" s="29" t="s">
        <v>26</v>
      </c>
      <c r="C19" s="29" t="s">
        <v>4</v>
      </c>
      <c r="D19" s="30">
        <v>0</v>
      </c>
      <c r="E19" s="30">
        <v>141</v>
      </c>
      <c r="F19" s="30">
        <f t="shared" si="0"/>
        <v>141</v>
      </c>
      <c r="G19" s="30" t="str">
        <f>IFERROR(_xlfn.XLOOKUP(A19,data!A:A,data!D:D)," ")</f>
        <v>rPP</v>
      </c>
      <c r="H19" s="30" t="str">
        <f>IFERROR(_xlfn.XLOOKUP(A19,data!A:A,data!E:E)," ")</f>
        <v>Đỏ</v>
      </c>
      <c r="I19" s="30">
        <v>0</v>
      </c>
      <c r="J19" s="32">
        <f t="shared" si="1"/>
        <v>0</v>
      </c>
      <c r="K19" s="29" t="str">
        <f>VLOOKUP(A19,'Trình bày'!B:B,1,0)</f>
        <v>110000367</v>
      </c>
      <c r="L19" s="32"/>
    </row>
    <row r="20" spans="1:12">
      <c r="A20" s="31" t="s">
        <v>141</v>
      </c>
      <c r="B20" s="29" t="s">
        <v>27</v>
      </c>
      <c r="C20" s="29" t="s">
        <v>4</v>
      </c>
      <c r="D20" s="30">
        <v>0</v>
      </c>
      <c r="E20" s="30">
        <v>2677.8</v>
      </c>
      <c r="F20" s="30">
        <f t="shared" si="0"/>
        <v>2677.8</v>
      </c>
      <c r="G20" s="30" t="str">
        <f>IFERROR(_xlfn.XLOOKUP(A20,data!A:A,data!D:D)," ")</f>
        <v>rPP</v>
      </c>
      <c r="H20" s="30" t="str">
        <f>IFERROR(_xlfn.XLOOKUP(A20,data!A:A,data!E:E)," ")</f>
        <v>Trắng</v>
      </c>
      <c r="I20" s="30">
        <v>0</v>
      </c>
      <c r="J20" s="32">
        <f t="shared" si="1"/>
        <v>0</v>
      </c>
      <c r="K20" s="29" t="str">
        <f>VLOOKUP(A20,'Trình bày'!B:B,1,0)</f>
        <v>110000369</v>
      </c>
      <c r="L20" s="32"/>
    </row>
    <row r="21" spans="1:12">
      <c r="A21" s="31" t="s">
        <v>144</v>
      </c>
      <c r="B21" s="29" t="s">
        <v>30</v>
      </c>
      <c r="C21" s="29" t="s">
        <v>4</v>
      </c>
      <c r="D21" s="30">
        <v>3847.5</v>
      </c>
      <c r="E21" s="30">
        <v>2387.9</v>
      </c>
      <c r="F21" s="30">
        <f t="shared" si="0"/>
        <v>6235.4</v>
      </c>
      <c r="G21" s="30" t="str">
        <f>IFERROR(_xlfn.XLOOKUP(A21,data!A:A,data!D:D)," ")</f>
        <v>HD ép</v>
      </c>
      <c r="H21" s="30" t="str">
        <f>IFERROR(_xlfn.XLOOKUP(A21,data!A:A,data!E:E)," ")</f>
        <v>Dương</v>
      </c>
      <c r="I21" s="30">
        <v>0</v>
      </c>
      <c r="J21" s="32">
        <f t="shared" si="1"/>
        <v>0</v>
      </c>
      <c r="K21" s="29" t="str">
        <f>VLOOKUP(A21,'Trình bày'!B:B,1,0)</f>
        <v>110000373</v>
      </c>
      <c r="L21" s="32"/>
    </row>
    <row r="22" spans="1:12">
      <c r="A22" s="31" t="s">
        <v>145</v>
      </c>
      <c r="B22" s="29" t="s">
        <v>31</v>
      </c>
      <c r="C22" s="29" t="s">
        <v>4</v>
      </c>
      <c r="D22" s="30">
        <v>290648.40000000002</v>
      </c>
      <c r="E22" s="30">
        <v>22839</v>
      </c>
      <c r="F22" s="30">
        <f t="shared" si="0"/>
        <v>313487.40000000002</v>
      </c>
      <c r="G22" s="30" t="str">
        <f>IFERROR(_xlfn.XLOOKUP(A22,data!A:A,data!D:D)," ")</f>
        <v>HD thổi</v>
      </c>
      <c r="H22" s="30" t="str">
        <f>IFERROR(_xlfn.XLOOKUP(A22,data!A:A,data!E:E)," ")</f>
        <v>Trong</v>
      </c>
      <c r="I22" s="30">
        <v>100500</v>
      </c>
      <c r="J22" s="32">
        <f t="shared" si="1"/>
        <v>33500</v>
      </c>
      <c r="K22" s="29" t="str">
        <f>VLOOKUP(A22,'Trình bày'!B:B,1,0)</f>
        <v>110000374</v>
      </c>
      <c r="L22" s="32"/>
    </row>
    <row r="23" spans="1:12">
      <c r="A23" s="31" t="s">
        <v>146</v>
      </c>
      <c r="B23" s="29" t="s">
        <v>32</v>
      </c>
      <c r="C23" s="29" t="s">
        <v>4</v>
      </c>
      <c r="D23" s="30">
        <v>800</v>
      </c>
      <c r="E23" s="30">
        <v>0</v>
      </c>
      <c r="F23" s="30">
        <f t="shared" si="0"/>
        <v>800</v>
      </c>
      <c r="G23" s="30" t="str">
        <f>IFERROR(_xlfn.XLOOKUP(A23,data!A:A,data!D:D)," ")</f>
        <v>rPET</v>
      </c>
      <c r="H23" s="30">
        <f>IFERROR(_xlfn.XLOOKUP(A23,data!A:A,data!E:E)," ")</f>
        <v>0</v>
      </c>
      <c r="I23" s="30">
        <v>0</v>
      </c>
      <c r="J23" s="32">
        <f t="shared" si="1"/>
        <v>0</v>
      </c>
      <c r="K23" s="29" t="str">
        <f>VLOOKUP(A23,'Trình bày'!B:B,1,0)</f>
        <v>110000376</v>
      </c>
      <c r="L23" s="32"/>
    </row>
    <row r="24" spans="1:12">
      <c r="A24" s="31" t="s">
        <v>147</v>
      </c>
      <c r="B24" s="29" t="s">
        <v>33</v>
      </c>
      <c r="C24" s="29" t="s">
        <v>4</v>
      </c>
      <c r="D24" s="30">
        <v>134200</v>
      </c>
      <c r="E24" s="30">
        <v>0</v>
      </c>
      <c r="F24" s="30">
        <f t="shared" si="0"/>
        <v>134200</v>
      </c>
      <c r="G24" s="30" t="str">
        <f>IFERROR(_xlfn.XLOOKUP(A24,data!A:A,data!D:D)," ")</f>
        <v>rPET</v>
      </c>
      <c r="H24" s="30">
        <f>IFERROR(_xlfn.XLOOKUP(A24,data!A:A,data!E:E)," ")</f>
        <v>0</v>
      </c>
      <c r="I24" s="30">
        <v>22000</v>
      </c>
      <c r="J24" s="32">
        <f t="shared" si="1"/>
        <v>7333.333333333333</v>
      </c>
      <c r="K24" s="29" t="str">
        <f>VLOOKUP(A24,'Trình bày'!B:B,1,0)</f>
        <v>110000377</v>
      </c>
      <c r="L24" s="32"/>
    </row>
    <row r="25" spans="1:12">
      <c r="A25" s="31" t="s">
        <v>148</v>
      </c>
      <c r="B25" s="29" t="s">
        <v>34</v>
      </c>
      <c r="C25" s="29" t="s">
        <v>4</v>
      </c>
      <c r="D25" s="30">
        <v>1246297</v>
      </c>
      <c r="E25" s="30">
        <v>0</v>
      </c>
      <c r="F25" s="30">
        <f t="shared" si="0"/>
        <v>1246297</v>
      </c>
      <c r="G25" s="30" t="str">
        <f>IFERROR(_xlfn.XLOOKUP(A25,data!A:A,data!D:D)," ")</f>
        <v>rPET</v>
      </c>
      <c r="H25" s="30">
        <f>IFERROR(_xlfn.XLOOKUP(A25,data!A:A,data!E:E)," ")</f>
        <v>0</v>
      </c>
      <c r="I25" s="30">
        <v>990000</v>
      </c>
      <c r="J25" s="32">
        <f t="shared" si="1"/>
        <v>330000</v>
      </c>
      <c r="K25" s="29" t="str">
        <f>VLOOKUP(A25,'Trình bày'!B:B,1,0)</f>
        <v>110000378</v>
      </c>
      <c r="L25" s="32"/>
    </row>
    <row r="26" spans="1:12">
      <c r="A26" s="31" t="s">
        <v>149</v>
      </c>
      <c r="B26" s="29" t="s">
        <v>35</v>
      </c>
      <c r="C26" s="29" t="s">
        <v>4</v>
      </c>
      <c r="D26" s="30">
        <v>195737.2</v>
      </c>
      <c r="E26" s="30">
        <v>23554</v>
      </c>
      <c r="F26" s="30">
        <f t="shared" si="0"/>
        <v>219291.2</v>
      </c>
      <c r="G26" s="30" t="str">
        <f>IFERROR(_xlfn.XLOOKUP(A26,data!A:A,data!D:D)," ")</f>
        <v>Xơ sợi</v>
      </c>
      <c r="H26" s="30">
        <f>IFERROR(_xlfn.XLOOKUP(A26,data!A:A,data!E:E)," ")</f>
        <v>0</v>
      </c>
      <c r="I26" s="30">
        <v>3400</v>
      </c>
      <c r="J26" s="32">
        <f t="shared" si="1"/>
        <v>1133.3333333333333</v>
      </c>
      <c r="K26" s="29" t="str">
        <f>VLOOKUP(A26,'Trình bày'!B:B,1,0)</f>
        <v>110000381</v>
      </c>
      <c r="L26" s="32"/>
    </row>
    <row r="27" spans="1:12">
      <c r="A27" s="31" t="s">
        <v>150</v>
      </c>
      <c r="B27" s="29" t="s">
        <v>36</v>
      </c>
      <c r="C27" s="29" t="s">
        <v>4</v>
      </c>
      <c r="D27" s="30">
        <v>6837.7</v>
      </c>
      <c r="E27" s="30">
        <v>0</v>
      </c>
      <c r="F27" s="30">
        <f t="shared" si="0"/>
        <v>6837.7</v>
      </c>
      <c r="G27" s="30" t="str">
        <f>IFERROR(_xlfn.XLOOKUP(A27,data!A:A,data!D:D)," ")</f>
        <v>Xơ sợi</v>
      </c>
      <c r="H27" s="30">
        <f>IFERROR(_xlfn.XLOOKUP(A27,data!A:A,data!E:E)," ")</f>
        <v>0</v>
      </c>
      <c r="I27" s="30">
        <v>9450</v>
      </c>
      <c r="J27" s="32">
        <f t="shared" si="1"/>
        <v>3150</v>
      </c>
      <c r="K27" s="29" t="str">
        <f>VLOOKUP(A27,'Trình bày'!B:B,1,0)</f>
        <v>110000382</v>
      </c>
      <c r="L27" s="32"/>
    </row>
    <row r="28" spans="1:12">
      <c r="A28" s="31" t="s">
        <v>151</v>
      </c>
      <c r="B28" s="29" t="s">
        <v>37</v>
      </c>
      <c r="C28" s="29" t="s">
        <v>4</v>
      </c>
      <c r="D28" s="30">
        <v>24200</v>
      </c>
      <c r="E28" s="30">
        <v>28600</v>
      </c>
      <c r="F28" s="30">
        <f t="shared" si="0"/>
        <v>52800</v>
      </c>
      <c r="G28" s="30" t="str">
        <f>IFERROR(_xlfn.XLOOKUP(A28,data!A:A,data!D:D)," ")</f>
        <v>rPET</v>
      </c>
      <c r="H28" s="30">
        <f>IFERROR(_xlfn.XLOOKUP(A28,data!A:A,data!E:E)," ")</f>
        <v>0</v>
      </c>
      <c r="I28" s="30">
        <v>0</v>
      </c>
      <c r="J28" s="32">
        <f t="shared" si="1"/>
        <v>0</v>
      </c>
      <c r="K28" s="29" t="str">
        <f>VLOOKUP(A28,'Trình bày'!B:B,1,0)</f>
        <v>110000383</v>
      </c>
      <c r="L28" s="32"/>
    </row>
    <row r="29" spans="1:12">
      <c r="A29" s="31" t="s">
        <v>153</v>
      </c>
      <c r="B29" s="29" t="s">
        <v>39</v>
      </c>
      <c r="C29" s="29" t="s">
        <v>4</v>
      </c>
      <c r="D29" s="30">
        <v>2750</v>
      </c>
      <c r="E29" s="30">
        <v>0</v>
      </c>
      <c r="F29" s="30">
        <f t="shared" si="0"/>
        <v>2750</v>
      </c>
      <c r="G29" s="30" t="str">
        <f>IFERROR(_xlfn.XLOOKUP(A29,data!A:A,data!D:D)," ")</f>
        <v>HD thổi</v>
      </c>
      <c r="H29" s="30" t="str">
        <f>IFERROR(_xlfn.XLOOKUP(A29,data!A:A,data!E:E)," ")</f>
        <v>Trong</v>
      </c>
      <c r="I29" s="30">
        <v>0</v>
      </c>
      <c r="J29" s="32">
        <f t="shared" si="1"/>
        <v>0</v>
      </c>
      <c r="K29" s="29" t="str">
        <f>VLOOKUP(A29,'Trình bày'!B:B,1,0)</f>
        <v>110000385</v>
      </c>
      <c r="L29" s="32"/>
    </row>
    <row r="30" spans="1:12">
      <c r="A30" s="31" t="s">
        <v>155</v>
      </c>
      <c r="B30" s="29" t="s">
        <v>41</v>
      </c>
      <c r="C30" s="29" t="s">
        <v>4</v>
      </c>
      <c r="D30" s="30">
        <v>2644</v>
      </c>
      <c r="E30" s="30">
        <v>0</v>
      </c>
      <c r="F30" s="30">
        <f t="shared" si="0"/>
        <v>2644</v>
      </c>
      <c r="G30" s="30" t="str">
        <f>IFERROR(_xlfn.XLOOKUP(A30,data!A:A,data!D:D)," ")</f>
        <v>rPP</v>
      </c>
      <c r="H30" s="30" t="str">
        <f>IFERROR(_xlfn.XLOOKUP(A30,data!A:A,data!E:E)," ")</f>
        <v>Đỏ</v>
      </c>
      <c r="I30" s="30">
        <v>0</v>
      </c>
      <c r="J30" s="32">
        <f t="shared" si="1"/>
        <v>0</v>
      </c>
      <c r="K30" s="29" t="str">
        <f>VLOOKUP(A30,'Trình bày'!B:B,1,0)</f>
        <v>110000388</v>
      </c>
      <c r="L30" s="32"/>
    </row>
    <row r="31" spans="1:12">
      <c r="A31" s="31" t="s">
        <v>156</v>
      </c>
      <c r="B31" s="29" t="s">
        <v>42</v>
      </c>
      <c r="C31" s="29" t="s">
        <v>4</v>
      </c>
      <c r="D31" s="30">
        <v>981</v>
      </c>
      <c r="E31" s="30">
        <v>909</v>
      </c>
      <c r="F31" s="30">
        <f t="shared" si="0"/>
        <v>1890</v>
      </c>
      <c r="G31" s="30" t="str">
        <f>IFERROR(_xlfn.XLOOKUP(A31,data!A:A,data!D:D)," ")</f>
        <v>rPP</v>
      </c>
      <c r="H31" s="30" t="str">
        <f>IFERROR(_xlfn.XLOOKUP(A31,data!A:A,data!E:E)," ")</f>
        <v>Đỏ</v>
      </c>
      <c r="I31" s="30">
        <v>2200</v>
      </c>
      <c r="J31" s="32">
        <f t="shared" si="1"/>
        <v>733.33333333333337</v>
      </c>
      <c r="K31" s="29" t="str">
        <f>VLOOKUP(A31,'Trình bày'!B:B,1,0)</f>
        <v>110000389</v>
      </c>
      <c r="L31" s="32"/>
    </row>
    <row r="32" spans="1:12">
      <c r="A32" s="31" t="s">
        <v>159</v>
      </c>
      <c r="B32" s="29" t="s">
        <v>45</v>
      </c>
      <c r="C32" s="29" t="s">
        <v>4</v>
      </c>
      <c r="D32" s="30">
        <v>27703</v>
      </c>
      <c r="E32" s="30">
        <v>0</v>
      </c>
      <c r="F32" s="30">
        <f t="shared" si="0"/>
        <v>27703</v>
      </c>
      <c r="G32" s="30" t="str">
        <f>IFERROR(_xlfn.XLOOKUP(A32,data!A:A,data!D:D)," ")</f>
        <v>rPP</v>
      </c>
      <c r="H32" s="30" t="str">
        <f>IFERROR(_xlfn.XLOOKUP(A32,data!A:A,data!E:E)," ")</f>
        <v>Đen</v>
      </c>
      <c r="I32" s="30">
        <v>0</v>
      </c>
      <c r="J32" s="32">
        <f t="shared" si="1"/>
        <v>0</v>
      </c>
      <c r="K32" s="29" t="str">
        <f>VLOOKUP(A32,'Trình bày'!B:B,1,0)</f>
        <v>110000392</v>
      </c>
      <c r="L32" s="32"/>
    </row>
    <row r="33" spans="1:12">
      <c r="A33" s="31" t="s">
        <v>160</v>
      </c>
      <c r="B33" s="29" t="s">
        <v>46</v>
      </c>
      <c r="C33" s="29" t="s">
        <v>4</v>
      </c>
      <c r="D33" s="30">
        <v>28636</v>
      </c>
      <c r="E33" s="30">
        <v>0</v>
      </c>
      <c r="F33" s="30">
        <f t="shared" si="0"/>
        <v>28636</v>
      </c>
      <c r="G33" s="30" t="str">
        <f>IFERROR(_xlfn.XLOOKUP(A33,data!A:A,data!D:D)," ")</f>
        <v>rPP</v>
      </c>
      <c r="H33" s="30" t="str">
        <f>IFERROR(_xlfn.XLOOKUP(A33,data!A:A,data!E:E)," ")</f>
        <v>Be</v>
      </c>
      <c r="I33" s="30">
        <v>200</v>
      </c>
      <c r="J33" s="32">
        <f t="shared" si="1"/>
        <v>66.666666666666671</v>
      </c>
      <c r="K33" s="29" t="str">
        <f>VLOOKUP(A33,'Trình bày'!B:B,1,0)</f>
        <v>110000393</v>
      </c>
      <c r="L33" s="32"/>
    </row>
    <row r="34" spans="1:12">
      <c r="A34" s="31" t="s">
        <v>161</v>
      </c>
      <c r="B34" s="29" t="s">
        <v>47</v>
      </c>
      <c r="C34" s="29" t="s">
        <v>4</v>
      </c>
      <c r="D34" s="30">
        <v>0</v>
      </c>
      <c r="E34" s="30">
        <v>1345</v>
      </c>
      <c r="F34" s="30">
        <f t="shared" si="0"/>
        <v>1345</v>
      </c>
      <c r="G34" s="30" t="str">
        <f>IFERROR(_xlfn.XLOOKUP(A34,data!A:A,data!D:D)," ")</f>
        <v>rPP</v>
      </c>
      <c r="H34" s="30" t="str">
        <f>IFERROR(_xlfn.XLOOKUP(A34,data!A:A,data!E:E)," ")</f>
        <v>Xám</v>
      </c>
      <c r="I34" s="30">
        <v>0</v>
      </c>
      <c r="J34" s="32">
        <f t="shared" si="1"/>
        <v>0</v>
      </c>
      <c r="K34" s="29" t="str">
        <f>VLOOKUP(A34,'Trình bày'!B:B,1,0)</f>
        <v>110000394</v>
      </c>
      <c r="L34" s="32"/>
    </row>
    <row r="35" spans="1:12">
      <c r="A35" s="31" t="s">
        <v>162</v>
      </c>
      <c r="B35" s="29" t="s">
        <v>48</v>
      </c>
      <c r="C35" s="29" t="s">
        <v>4</v>
      </c>
      <c r="D35" s="30">
        <v>7300.5</v>
      </c>
      <c r="E35" s="30">
        <v>31748.5</v>
      </c>
      <c r="F35" s="30">
        <f t="shared" si="0"/>
        <v>39049</v>
      </c>
      <c r="G35" s="30" t="str">
        <f>IFERROR(_xlfn.XLOOKUP(A35,data!A:A,data!D:D)," ")</f>
        <v>Vảy HD ép</v>
      </c>
      <c r="H35" s="30" t="str">
        <f>IFERROR(_xlfn.XLOOKUP(A35,data!A:A,data!E:E)," ")</f>
        <v>Đỏ</v>
      </c>
      <c r="I35" s="30">
        <v>95000</v>
      </c>
      <c r="J35" s="32">
        <f t="shared" si="1"/>
        <v>31666.666666666668</v>
      </c>
      <c r="K35" s="29" t="str">
        <f>VLOOKUP(A35,'Trình bày'!B:B,1,0)</f>
        <v>110000407</v>
      </c>
      <c r="L35" s="32"/>
    </row>
    <row r="36" spans="1:12">
      <c r="A36" s="31" t="s">
        <v>163</v>
      </c>
      <c r="B36" s="33" t="s">
        <v>49</v>
      </c>
      <c r="C36" s="29" t="s">
        <v>4</v>
      </c>
      <c r="D36" s="30">
        <v>29750</v>
      </c>
      <c r="E36" s="30">
        <v>44979</v>
      </c>
      <c r="F36" s="30">
        <f t="shared" si="0"/>
        <v>74729</v>
      </c>
      <c r="G36" s="30" t="str">
        <f>IFERROR(_xlfn.XLOOKUP(A36,data!A:A,data!D:D)," ")</f>
        <v>Vảy HD ép</v>
      </c>
      <c r="H36" s="30" t="str">
        <f>IFERROR(_xlfn.XLOOKUP(A36,data!A:A,data!E:E)," ")</f>
        <v>Trắng</v>
      </c>
      <c r="I36" s="30">
        <v>117500</v>
      </c>
      <c r="J36" s="32">
        <f t="shared" si="1"/>
        <v>39166.666666666664</v>
      </c>
      <c r="K36" s="29" t="str">
        <f>VLOOKUP(A36,'Trình bày'!B:B,1,0)</f>
        <v>110000408</v>
      </c>
      <c r="L36" s="32"/>
    </row>
    <row r="37" spans="1:12">
      <c r="A37" s="31" t="s">
        <v>164</v>
      </c>
      <c r="B37" s="29" t="s">
        <v>50</v>
      </c>
      <c r="C37" s="29" t="s">
        <v>4</v>
      </c>
      <c r="D37" s="30">
        <v>17725</v>
      </c>
      <c r="E37" s="30">
        <v>15500</v>
      </c>
      <c r="F37" s="30">
        <f t="shared" si="0"/>
        <v>33225</v>
      </c>
      <c r="G37" s="30" t="str">
        <f>IFERROR(_xlfn.XLOOKUP(A37,data!A:A,data!D:D)," ")</f>
        <v>Vảy HD ép</v>
      </c>
      <c r="H37" s="30" t="str">
        <f>IFERROR(_xlfn.XLOOKUP(A37,data!A:A,data!E:E)," ")</f>
        <v>Vàng</v>
      </c>
      <c r="I37" s="30">
        <v>28500</v>
      </c>
      <c r="J37" s="32">
        <f t="shared" si="1"/>
        <v>9500</v>
      </c>
      <c r="K37" s="29" t="str">
        <f>VLOOKUP(A37,'Trình bày'!B:B,1,0)</f>
        <v>110000409</v>
      </c>
      <c r="L37" s="32"/>
    </row>
    <row r="38" spans="1:12">
      <c r="A38" s="31" t="s">
        <v>165</v>
      </c>
      <c r="B38" s="29" t="s">
        <v>51</v>
      </c>
      <c r="C38" s="29" t="s">
        <v>4</v>
      </c>
      <c r="D38" s="30">
        <v>16300</v>
      </c>
      <c r="E38" s="30">
        <v>6750</v>
      </c>
      <c r="F38" s="30">
        <f t="shared" si="0"/>
        <v>23050</v>
      </c>
      <c r="G38" s="30" t="str">
        <f>IFERROR(_xlfn.XLOOKUP(A38,data!A:A,data!D:D)," ")</f>
        <v>Vảy HD ép</v>
      </c>
      <c r="H38" s="30" t="str">
        <f>IFERROR(_xlfn.XLOOKUP(A38,data!A:A,data!E:E)," ")</f>
        <v>Lá</v>
      </c>
      <c r="I38" s="30">
        <v>6750</v>
      </c>
      <c r="J38" s="32">
        <f t="shared" si="1"/>
        <v>2250</v>
      </c>
      <c r="K38" s="29" t="str">
        <f>VLOOKUP(A38,'Trình bày'!B:B,1,0)</f>
        <v>110000410</v>
      </c>
      <c r="L38" s="32"/>
    </row>
    <row r="39" spans="1:12">
      <c r="A39" s="31" t="s">
        <v>166</v>
      </c>
      <c r="B39" s="29" t="s">
        <v>52</v>
      </c>
      <c r="C39" s="29" t="s">
        <v>4</v>
      </c>
      <c r="D39" s="30">
        <v>51750</v>
      </c>
      <c r="E39" s="30">
        <v>3000</v>
      </c>
      <c r="F39" s="30">
        <f t="shared" si="0"/>
        <v>54750</v>
      </c>
      <c r="G39" s="30" t="str">
        <f>IFERROR(_xlfn.XLOOKUP(A39,data!A:A,data!D:D)," ")</f>
        <v>Vảy HD ép</v>
      </c>
      <c r="H39" s="30" t="str">
        <f>IFERROR(_xlfn.XLOOKUP(A39,data!A:A,data!E:E)," ")</f>
        <v>Dương</v>
      </c>
      <c r="I39" s="30">
        <v>0</v>
      </c>
      <c r="J39" s="32">
        <f t="shared" si="1"/>
        <v>0</v>
      </c>
      <c r="K39" s="29" t="str">
        <f>VLOOKUP(A39,'Trình bày'!B:B,1,0)</f>
        <v>110000411</v>
      </c>
      <c r="L39" s="32"/>
    </row>
    <row r="40" spans="1:12">
      <c r="A40" s="31" t="s">
        <v>167</v>
      </c>
      <c r="B40" s="29" t="s">
        <v>53</v>
      </c>
      <c r="C40" s="29" t="s">
        <v>4</v>
      </c>
      <c r="D40" s="30">
        <v>31500</v>
      </c>
      <c r="E40" s="30">
        <v>0</v>
      </c>
      <c r="F40" s="30">
        <f t="shared" si="0"/>
        <v>31500</v>
      </c>
      <c r="G40" s="30" t="str">
        <f>IFERROR(_xlfn.XLOOKUP(A40,data!A:A,data!D:D)," ")</f>
        <v>Vảy HD ép</v>
      </c>
      <c r="H40" s="30" t="str">
        <f>IFERROR(_xlfn.XLOOKUP(A40,data!A:A,data!E:E)," ")</f>
        <v>Đen</v>
      </c>
      <c r="I40" s="30">
        <v>2250</v>
      </c>
      <c r="J40" s="32">
        <f t="shared" si="1"/>
        <v>750</v>
      </c>
      <c r="K40" s="29" t="str">
        <f>VLOOKUP(A40,'Trình bày'!B:B,1,0)</f>
        <v>110000412</v>
      </c>
      <c r="L40" s="32"/>
    </row>
    <row r="41" spans="1:12">
      <c r="A41" s="31" t="s">
        <v>168</v>
      </c>
      <c r="B41" s="29" t="s">
        <v>54</v>
      </c>
      <c r="C41" s="29" t="s">
        <v>4</v>
      </c>
      <c r="D41" s="30">
        <v>144899.5</v>
      </c>
      <c r="E41" s="30">
        <v>20250</v>
      </c>
      <c r="F41" s="30">
        <f t="shared" si="0"/>
        <v>165149.5</v>
      </c>
      <c r="G41" s="30" t="str">
        <f>IFERROR(_xlfn.XLOOKUP(A41,data!A:A,data!D:D)," ")</f>
        <v>Vảy HD ép</v>
      </c>
      <c r="H41" s="30" t="str">
        <f>IFERROR(_xlfn.XLOOKUP(A41,data!A:A,data!E:E)," ")</f>
        <v>Đồng</v>
      </c>
      <c r="I41" s="30">
        <v>0</v>
      </c>
      <c r="J41" s="32">
        <f t="shared" si="1"/>
        <v>0</v>
      </c>
      <c r="K41" s="29" t="str">
        <f>VLOOKUP(A41,'Trình bày'!B:B,1,0)</f>
        <v>110000413</v>
      </c>
      <c r="L41" s="32"/>
    </row>
    <row r="42" spans="1:12">
      <c r="A42" s="31" t="s">
        <v>169</v>
      </c>
      <c r="B42" s="29" t="s">
        <v>55</v>
      </c>
      <c r="C42" s="29" t="s">
        <v>4</v>
      </c>
      <c r="D42" s="30">
        <v>3930.1</v>
      </c>
      <c r="E42" s="30">
        <v>4500</v>
      </c>
      <c r="F42" s="30">
        <f t="shared" si="0"/>
        <v>8430.1</v>
      </c>
      <c r="G42" s="30" t="str">
        <f>IFERROR(_xlfn.XLOOKUP(A42,data!A:A,data!D:D)," ")</f>
        <v>Vảy PP</v>
      </c>
      <c r="H42" s="30" t="str">
        <f>IFERROR(_xlfn.XLOOKUP(A42,data!A:A,data!E:E)," ")</f>
        <v>Đỏ</v>
      </c>
      <c r="I42" s="30">
        <v>32750</v>
      </c>
      <c r="J42" s="32">
        <f t="shared" si="1"/>
        <v>10916.666666666666</v>
      </c>
      <c r="K42" s="29" t="str">
        <f>VLOOKUP(A42,'Trình bày'!B:B,1,0)</f>
        <v>110000421</v>
      </c>
      <c r="L42" s="32"/>
    </row>
    <row r="43" spans="1:12">
      <c r="A43" s="31" t="s">
        <v>170</v>
      </c>
      <c r="B43" s="29" t="s">
        <v>56</v>
      </c>
      <c r="C43" s="29" t="s">
        <v>4</v>
      </c>
      <c r="D43" s="30">
        <v>2250</v>
      </c>
      <c r="E43" s="30">
        <v>0</v>
      </c>
      <c r="F43" s="30">
        <f t="shared" si="0"/>
        <v>2250</v>
      </c>
      <c r="G43" s="30" t="str">
        <f>IFERROR(_xlfn.XLOOKUP(A43,data!A:A,data!D:D)," ")</f>
        <v>Vảy PP</v>
      </c>
      <c r="H43" s="30" t="str">
        <f>IFERROR(_xlfn.XLOOKUP(A43,data!A:A,data!E:E)," ")</f>
        <v>Đỏ</v>
      </c>
      <c r="I43" s="30">
        <v>0</v>
      </c>
      <c r="J43" s="32">
        <f t="shared" si="1"/>
        <v>0</v>
      </c>
      <c r="K43" s="29" t="str">
        <f>VLOOKUP(A43,'Trình bày'!B:B,1,0)</f>
        <v>110000422</v>
      </c>
      <c r="L43" s="32"/>
    </row>
    <row r="44" spans="1:12">
      <c r="A44" s="31" t="s">
        <v>171</v>
      </c>
      <c r="B44" s="29" t="s">
        <v>57</v>
      </c>
      <c r="C44" s="29" t="s">
        <v>4</v>
      </c>
      <c r="D44" s="30">
        <v>112193</v>
      </c>
      <c r="E44" s="30">
        <v>5250</v>
      </c>
      <c r="F44" s="30">
        <f t="shared" si="0"/>
        <v>117443</v>
      </c>
      <c r="G44" s="30" t="str">
        <f>IFERROR(_xlfn.XLOOKUP(A44,data!A:A,data!D:D)," ")</f>
        <v>Vảy PP</v>
      </c>
      <c r="H44" s="30" t="str">
        <f>IFERROR(_xlfn.XLOOKUP(A44,data!A:A,data!E:E)," ")</f>
        <v>Dương</v>
      </c>
      <c r="I44" s="30">
        <v>0</v>
      </c>
      <c r="J44" s="32">
        <f t="shared" si="1"/>
        <v>0</v>
      </c>
      <c r="K44" s="29" t="str">
        <f>VLOOKUP(A44,'Trình bày'!B:B,1,0)</f>
        <v>110000423</v>
      </c>
      <c r="L44" s="32"/>
    </row>
    <row r="45" spans="1:12">
      <c r="A45" s="31" t="s">
        <v>288</v>
      </c>
      <c r="B45" s="29" t="s">
        <v>287</v>
      </c>
      <c r="C45" s="29" t="s">
        <v>4</v>
      </c>
      <c r="D45" s="30">
        <v>750</v>
      </c>
      <c r="E45" s="30">
        <v>0</v>
      </c>
      <c r="F45" s="30">
        <f t="shared" si="0"/>
        <v>750</v>
      </c>
      <c r="G45" s="30" t="str">
        <f>IFERROR(_xlfn.XLOOKUP(A45,data!A:A,data!D:D)," ")</f>
        <v>rPP</v>
      </c>
      <c r="H45" s="30" t="str">
        <f>IFERROR(_xlfn.XLOOKUP(A45,data!A:A,data!E:E)," ")</f>
        <v>Dương</v>
      </c>
      <c r="I45" s="30">
        <v>0</v>
      </c>
      <c r="J45" s="32">
        <f t="shared" si="1"/>
        <v>0</v>
      </c>
      <c r="K45" s="29" t="str">
        <f>VLOOKUP(A45,'Trình bày'!B:B,1,0)</f>
        <v>110000424</v>
      </c>
      <c r="L45" s="32"/>
    </row>
    <row r="46" spans="1:12">
      <c r="A46" s="31" t="s">
        <v>172</v>
      </c>
      <c r="B46" s="29" t="s">
        <v>58</v>
      </c>
      <c r="C46" s="29" t="s">
        <v>4</v>
      </c>
      <c r="D46" s="30">
        <v>2051</v>
      </c>
      <c r="E46" s="30">
        <v>1528</v>
      </c>
      <c r="F46" s="30">
        <f t="shared" si="0"/>
        <v>3579</v>
      </c>
      <c r="G46" s="30" t="str">
        <f>IFERROR(_xlfn.XLOOKUP(A46,data!A:A,data!D:D)," ")</f>
        <v>HD thổi</v>
      </c>
      <c r="H46" s="30" t="str">
        <f>IFERROR(_xlfn.XLOOKUP(A46,data!A:A,data!E:E)," ")</f>
        <v>Trắng</v>
      </c>
      <c r="I46" s="30">
        <v>132000</v>
      </c>
      <c r="J46" s="32">
        <f t="shared" si="1"/>
        <v>44000</v>
      </c>
      <c r="K46" s="29" t="str">
        <f>VLOOKUP(A46,'Trình bày'!B:B,1,0)</f>
        <v>110000425</v>
      </c>
      <c r="L46" s="32"/>
    </row>
    <row r="47" spans="1:12">
      <c r="A47" s="31" t="s">
        <v>173</v>
      </c>
      <c r="B47" s="29" t="s">
        <v>59</v>
      </c>
      <c r="C47" s="29" t="s">
        <v>4</v>
      </c>
      <c r="D47" s="30">
        <v>16653</v>
      </c>
      <c r="E47" s="30">
        <v>23894</v>
      </c>
      <c r="F47" s="30">
        <f t="shared" si="0"/>
        <v>40547</v>
      </c>
      <c r="G47" s="30" t="str">
        <f>IFERROR(_xlfn.XLOOKUP(A47,data!A:A,data!D:D)," ")</f>
        <v>HD thổi</v>
      </c>
      <c r="H47" s="30" t="str">
        <f>IFERROR(_xlfn.XLOOKUP(A47,data!A:A,data!E:E)," ")</f>
        <v>Vàng</v>
      </c>
      <c r="I47" s="30">
        <v>0</v>
      </c>
      <c r="J47" s="32">
        <f t="shared" si="1"/>
        <v>0</v>
      </c>
      <c r="K47" s="29" t="str">
        <f>VLOOKUP(A47,'Trình bày'!B:B,1,0)</f>
        <v>110000426</v>
      </c>
      <c r="L47" s="32"/>
    </row>
    <row r="48" spans="1:12">
      <c r="A48" s="31" t="s">
        <v>174</v>
      </c>
      <c r="B48" s="29" t="s">
        <v>60</v>
      </c>
      <c r="C48" s="29" t="s">
        <v>4</v>
      </c>
      <c r="D48" s="30">
        <v>17100</v>
      </c>
      <c r="E48" s="30">
        <v>1674</v>
      </c>
      <c r="F48" s="30">
        <f t="shared" si="0"/>
        <v>18774</v>
      </c>
      <c r="G48" s="30" t="str">
        <f>IFERROR(_xlfn.XLOOKUP(A48,data!A:A,data!D:D)," ")</f>
        <v>HD thổi</v>
      </c>
      <c r="H48" s="30" t="str">
        <f>IFERROR(_xlfn.XLOOKUP(A48,data!A:A,data!E:E)," ")</f>
        <v>Lá</v>
      </c>
      <c r="I48" s="30">
        <v>0</v>
      </c>
      <c r="J48" s="32">
        <f t="shared" si="1"/>
        <v>0</v>
      </c>
      <c r="K48" s="29" t="str">
        <f>VLOOKUP(A48,'Trình bày'!B:B,1,0)</f>
        <v>110000427</v>
      </c>
      <c r="L48" s="32"/>
    </row>
    <row r="49" spans="1:12">
      <c r="A49" s="31" t="s">
        <v>175</v>
      </c>
      <c r="B49" s="29" t="s">
        <v>61</v>
      </c>
      <c r="C49" s="29" t="s">
        <v>4</v>
      </c>
      <c r="D49" s="30">
        <v>131092</v>
      </c>
      <c r="E49" s="30">
        <v>0</v>
      </c>
      <c r="F49" s="30">
        <f t="shared" si="0"/>
        <v>131092</v>
      </c>
      <c r="G49" s="30">
        <f>IFERROR(_xlfn.XLOOKUP(A49,data!A:A,data!D:D)," ")</f>
        <v>0</v>
      </c>
      <c r="H49" s="30">
        <f>IFERROR(_xlfn.XLOOKUP(A49,data!A:A,data!E:E)," ")</f>
        <v>0</v>
      </c>
      <c r="I49" s="30">
        <v>155600</v>
      </c>
      <c r="J49" s="32">
        <f t="shared" si="1"/>
        <v>51866.666666666664</v>
      </c>
      <c r="K49" s="29" t="e">
        <f>VLOOKUP(A49,'Trình bày'!B:B,1,0)</f>
        <v>#N/A</v>
      </c>
      <c r="L49" s="32"/>
    </row>
    <row r="50" spans="1:12">
      <c r="A50" s="31" t="s">
        <v>177</v>
      </c>
      <c r="B50" s="29" t="s">
        <v>63</v>
      </c>
      <c r="C50" s="29" t="s">
        <v>4</v>
      </c>
      <c r="D50" s="30">
        <v>37397.800000000003</v>
      </c>
      <c r="E50" s="30">
        <v>0</v>
      </c>
      <c r="F50" s="30">
        <f t="shared" si="0"/>
        <v>37397.800000000003</v>
      </c>
      <c r="G50" s="30" t="str">
        <f>IFERROR(_xlfn.XLOOKUP(A50,data!A:A,data!D:D)," ")</f>
        <v>rPET</v>
      </c>
      <c r="H50" s="30">
        <f>IFERROR(_xlfn.XLOOKUP(A50,data!A:A,data!E:E)," ")</f>
        <v>0</v>
      </c>
      <c r="I50" s="30">
        <v>0</v>
      </c>
      <c r="J50" s="32">
        <f t="shared" si="1"/>
        <v>0</v>
      </c>
      <c r="K50" s="29" t="str">
        <f>VLOOKUP(A50,'Trình bày'!B:B,1,0)</f>
        <v>110000430</v>
      </c>
      <c r="L50" s="32"/>
    </row>
    <row r="51" spans="1:12">
      <c r="A51" s="31" t="s">
        <v>178</v>
      </c>
      <c r="B51" s="29" t="s">
        <v>64</v>
      </c>
      <c r="C51" s="29" t="s">
        <v>4</v>
      </c>
      <c r="D51" s="30">
        <v>27225</v>
      </c>
      <c r="E51" s="30">
        <v>1227</v>
      </c>
      <c r="F51" s="30">
        <f t="shared" si="0"/>
        <v>28452</v>
      </c>
      <c r="G51" s="30" t="str">
        <f>IFERROR(_xlfn.XLOOKUP(A51,data!A:A,data!D:D)," ")</f>
        <v>HD ép</v>
      </c>
      <c r="H51" s="30" t="str">
        <f>IFERROR(_xlfn.XLOOKUP(A51,data!A:A,data!E:E)," ")</f>
        <v>Xám</v>
      </c>
      <c r="I51" s="30">
        <v>11000</v>
      </c>
      <c r="J51" s="32">
        <f t="shared" si="1"/>
        <v>3666.6666666666665</v>
      </c>
      <c r="K51" s="29" t="str">
        <f>VLOOKUP(A51,'Trình bày'!B:B,1,0)</f>
        <v>110000431</v>
      </c>
      <c r="L51" s="32"/>
    </row>
    <row r="52" spans="1:12">
      <c r="A52" s="31" t="s">
        <v>181</v>
      </c>
      <c r="B52" s="29" t="s">
        <v>67</v>
      </c>
      <c r="C52" s="29" t="s">
        <v>4</v>
      </c>
      <c r="D52" s="30">
        <v>573</v>
      </c>
      <c r="E52" s="30">
        <v>1192</v>
      </c>
      <c r="F52" s="30">
        <f t="shared" si="0"/>
        <v>1765</v>
      </c>
      <c r="G52" s="30" t="str">
        <f>IFERROR(_xlfn.XLOOKUP(A52,data!A:A,data!D:D)," ")</f>
        <v>rPP</v>
      </c>
      <c r="H52" s="30" t="str">
        <f>IFERROR(_xlfn.XLOOKUP(A52,data!A:A,data!E:E)," ")</f>
        <v>Dương</v>
      </c>
      <c r="I52" s="30">
        <v>200</v>
      </c>
      <c r="J52" s="32">
        <f t="shared" si="1"/>
        <v>66.666666666666671</v>
      </c>
      <c r="K52" s="29" t="str">
        <f>VLOOKUP(A52,'Trình bày'!B:B,1,0)</f>
        <v>110000435</v>
      </c>
      <c r="L52" s="32"/>
    </row>
    <row r="53" spans="1:12">
      <c r="A53" s="31" t="s">
        <v>182</v>
      </c>
      <c r="B53" s="29" t="s">
        <v>68</v>
      </c>
      <c r="C53" s="29" t="s">
        <v>4</v>
      </c>
      <c r="D53" s="30">
        <v>140297.70000000001</v>
      </c>
      <c r="E53" s="30">
        <v>10625</v>
      </c>
      <c r="F53" s="30">
        <f t="shared" si="0"/>
        <v>150922.70000000001</v>
      </c>
      <c r="G53" s="30" t="str">
        <f>IFERROR(_xlfn.XLOOKUP(A53,data!A:A,data!D:D)," ")</f>
        <v>Xơ sợi</v>
      </c>
      <c r="H53" s="30">
        <f>IFERROR(_xlfn.XLOOKUP(A53,data!A:A,data!E:E)," ")</f>
        <v>0</v>
      </c>
      <c r="I53" s="30">
        <v>432800</v>
      </c>
      <c r="J53" s="32">
        <f t="shared" si="1"/>
        <v>144266.66666666666</v>
      </c>
      <c r="K53" s="29" t="str">
        <f>VLOOKUP(A53,'Trình bày'!B:B,1,0)</f>
        <v>110000436</v>
      </c>
      <c r="L53" s="32"/>
    </row>
    <row r="54" spans="1:12">
      <c r="A54" s="31" t="s">
        <v>183</v>
      </c>
      <c r="B54" s="29" t="s">
        <v>69</v>
      </c>
      <c r="C54" s="29" t="s">
        <v>4</v>
      </c>
      <c r="D54" s="30">
        <v>0</v>
      </c>
      <c r="E54" s="30">
        <v>5250</v>
      </c>
      <c r="F54" s="30">
        <f t="shared" si="0"/>
        <v>5250</v>
      </c>
      <c r="G54" s="30" t="str">
        <f>IFERROR(_xlfn.XLOOKUP(A54,data!A:A,data!D:D)," ")</f>
        <v>Vảy PP</v>
      </c>
      <c r="H54" s="30" t="str">
        <f>IFERROR(_xlfn.XLOOKUP(A54,data!A:A,data!E:E)," ")</f>
        <v>Trắng</v>
      </c>
      <c r="I54" s="30">
        <v>0</v>
      </c>
      <c r="J54" s="32">
        <f t="shared" si="1"/>
        <v>0</v>
      </c>
      <c r="K54" s="29" t="str">
        <f>VLOOKUP(A54,'Trình bày'!B:B,1,0)</f>
        <v>110000439</v>
      </c>
      <c r="L54" s="32"/>
    </row>
    <row r="55" spans="1:12">
      <c r="A55" s="31" t="s">
        <v>185</v>
      </c>
      <c r="B55" s="29" t="s">
        <v>71</v>
      </c>
      <c r="C55" s="29" t="s">
        <v>4</v>
      </c>
      <c r="D55" s="30">
        <v>3090.6</v>
      </c>
      <c r="E55" s="30">
        <v>2725</v>
      </c>
      <c r="F55" s="30">
        <f t="shared" si="0"/>
        <v>5815.6</v>
      </c>
      <c r="G55" s="30" t="str">
        <f>IFERROR(_xlfn.XLOOKUP(A55,data!A:A,data!D:D)," ")</f>
        <v>rPP</v>
      </c>
      <c r="H55" s="30">
        <f>IFERROR(_xlfn.XLOOKUP(A55,data!A:A,data!E:E)," ")</f>
        <v>0</v>
      </c>
      <c r="I55" s="30">
        <v>0</v>
      </c>
      <c r="J55" s="32">
        <f t="shared" si="1"/>
        <v>0</v>
      </c>
      <c r="K55" s="29" t="str">
        <f>VLOOKUP(A55,'Trình bày'!B:B,1,0)</f>
        <v>110000441</v>
      </c>
      <c r="L55" s="32"/>
    </row>
    <row r="56" spans="1:12">
      <c r="A56" s="31" t="s">
        <v>309</v>
      </c>
      <c r="B56" s="29" t="s">
        <v>307</v>
      </c>
      <c r="C56" s="29" t="s">
        <v>4</v>
      </c>
      <c r="D56" s="30">
        <v>450</v>
      </c>
      <c r="E56" s="30">
        <v>0</v>
      </c>
      <c r="F56" s="30">
        <f t="shared" si="0"/>
        <v>450</v>
      </c>
      <c r="G56" s="30" t="str">
        <f>IFERROR(_xlfn.XLOOKUP(A56,data!A:A,data!D:D)," ")</f>
        <v xml:space="preserve"> </v>
      </c>
      <c r="H56" s="30" t="str">
        <f>IFERROR(_xlfn.XLOOKUP(A56,data!A:A,data!E:E)," ")</f>
        <v xml:space="preserve"> </v>
      </c>
      <c r="I56" s="30">
        <v>0</v>
      </c>
      <c r="J56" s="32">
        <f t="shared" si="1"/>
        <v>0</v>
      </c>
      <c r="K56" s="29" t="e">
        <f>VLOOKUP(A56,'Trình bày'!B:B,1,0)</f>
        <v>#N/A</v>
      </c>
      <c r="L56" s="32"/>
    </row>
    <row r="57" spans="1:12">
      <c r="A57" s="31" t="s">
        <v>278</v>
      </c>
      <c r="B57" s="29" t="s">
        <v>279</v>
      </c>
      <c r="C57" s="29" t="s">
        <v>4</v>
      </c>
      <c r="D57" s="30">
        <v>1599</v>
      </c>
      <c r="E57" s="30">
        <v>0</v>
      </c>
      <c r="F57" s="30">
        <f t="shared" si="0"/>
        <v>1599</v>
      </c>
      <c r="G57" s="30" t="str">
        <f>IFERROR(_xlfn.XLOOKUP(A57,data!A:A,data!D:D)," ")</f>
        <v>HD thổi</v>
      </c>
      <c r="H57" s="30" t="str">
        <f>IFERROR(_xlfn.XLOOKUP(A57,data!A:A,data!E:E)," ")</f>
        <v>Trong</v>
      </c>
      <c r="I57" s="30">
        <v>150</v>
      </c>
      <c r="J57" s="32">
        <f t="shared" si="1"/>
        <v>50</v>
      </c>
      <c r="K57" s="29" t="str">
        <f>VLOOKUP(A57,'Trình bày'!B:B,1,0)</f>
        <v>110000443</v>
      </c>
      <c r="L57" s="32"/>
    </row>
    <row r="58" spans="1:12">
      <c r="A58" s="31" t="s">
        <v>186</v>
      </c>
      <c r="B58" s="29" t="s">
        <v>72</v>
      </c>
      <c r="C58" s="29" t="s">
        <v>4</v>
      </c>
      <c r="D58" s="30">
        <v>0</v>
      </c>
      <c r="E58" s="30">
        <v>18243</v>
      </c>
      <c r="F58" s="30">
        <f t="shared" si="0"/>
        <v>18243</v>
      </c>
      <c r="G58" s="30">
        <f>IFERROR(_xlfn.XLOOKUP(A58,data!A:A,data!D:D)," ")</f>
        <v>0</v>
      </c>
      <c r="H58" s="30">
        <f>IFERROR(_xlfn.XLOOKUP(A58,data!A:A,data!E:E)," ")</f>
        <v>0</v>
      </c>
      <c r="I58" s="30">
        <v>0</v>
      </c>
      <c r="J58" s="32">
        <f t="shared" si="1"/>
        <v>0</v>
      </c>
      <c r="K58" s="29" t="e">
        <f>VLOOKUP(A58,'Trình bày'!B:B,1,0)</f>
        <v>#N/A</v>
      </c>
      <c r="L58" s="32"/>
    </row>
    <row r="59" spans="1:12">
      <c r="A59" s="31" t="s">
        <v>188</v>
      </c>
      <c r="B59" s="29" t="s">
        <v>74</v>
      </c>
      <c r="C59" s="29" t="s">
        <v>4</v>
      </c>
      <c r="D59" s="30">
        <v>0</v>
      </c>
      <c r="E59" s="30">
        <v>760</v>
      </c>
      <c r="F59" s="30">
        <f t="shared" si="0"/>
        <v>760</v>
      </c>
      <c r="G59" s="30">
        <f>IFERROR(_xlfn.XLOOKUP(A59,data!A:A,data!D:D)," ")</f>
        <v>0</v>
      </c>
      <c r="H59" s="30">
        <f>IFERROR(_xlfn.XLOOKUP(A59,data!A:A,data!E:E)," ")</f>
        <v>0</v>
      </c>
      <c r="I59" s="30">
        <v>0</v>
      </c>
      <c r="J59" s="32">
        <f t="shared" si="1"/>
        <v>0</v>
      </c>
      <c r="K59" s="29" t="e">
        <f>VLOOKUP(A59,'Trình bày'!B:B,1,0)</f>
        <v>#N/A</v>
      </c>
      <c r="L59" s="32"/>
    </row>
    <row r="60" spans="1:12">
      <c r="A60" s="31" t="s">
        <v>191</v>
      </c>
      <c r="B60" s="29" t="s">
        <v>77</v>
      </c>
      <c r="C60" s="29" t="s">
        <v>4</v>
      </c>
      <c r="D60" s="30">
        <v>0</v>
      </c>
      <c r="E60" s="30">
        <v>943</v>
      </c>
      <c r="F60" s="30">
        <f t="shared" si="0"/>
        <v>943</v>
      </c>
      <c r="G60" s="30">
        <f>IFERROR(_xlfn.XLOOKUP(A60,data!A:A,data!D:D)," ")</f>
        <v>0</v>
      </c>
      <c r="H60" s="30">
        <f>IFERROR(_xlfn.XLOOKUP(A60,data!A:A,data!E:E)," ")</f>
        <v>0</v>
      </c>
      <c r="I60" s="30">
        <v>0</v>
      </c>
      <c r="J60" s="32">
        <f t="shared" si="1"/>
        <v>0</v>
      </c>
      <c r="K60" s="29" t="e">
        <f>VLOOKUP(A60,'Trình bày'!B:B,1,0)</f>
        <v>#N/A</v>
      </c>
      <c r="L60" s="32"/>
    </row>
    <row r="61" spans="1:12">
      <c r="A61" s="31" t="s">
        <v>196</v>
      </c>
      <c r="B61" s="29" t="s">
        <v>82</v>
      </c>
      <c r="C61" s="29" t="s">
        <v>4</v>
      </c>
      <c r="D61" s="30">
        <v>0</v>
      </c>
      <c r="E61" s="30">
        <v>1223</v>
      </c>
      <c r="F61" s="30">
        <f t="shared" si="0"/>
        <v>1223</v>
      </c>
      <c r="G61" s="30">
        <f>IFERROR(_xlfn.XLOOKUP(A61,data!A:A,data!D:D)," ")</f>
        <v>0</v>
      </c>
      <c r="H61" s="30">
        <f>IFERROR(_xlfn.XLOOKUP(A61,data!A:A,data!E:E)," ")</f>
        <v>0</v>
      </c>
      <c r="I61" s="30">
        <v>0</v>
      </c>
      <c r="J61" s="32">
        <f t="shared" si="1"/>
        <v>0</v>
      </c>
      <c r="K61" s="29" t="e">
        <f>VLOOKUP(A61,'Trình bày'!B:B,1,0)</f>
        <v>#N/A</v>
      </c>
      <c r="L61" s="32"/>
    </row>
    <row r="62" spans="1:12">
      <c r="A62" s="31" t="s">
        <v>200</v>
      </c>
      <c r="B62" s="29" t="s">
        <v>86</v>
      </c>
      <c r="C62" s="29" t="s">
        <v>4</v>
      </c>
      <c r="D62" s="30">
        <v>99540.5</v>
      </c>
      <c r="E62" s="30">
        <v>4250</v>
      </c>
      <c r="F62" s="30">
        <f t="shared" si="0"/>
        <v>103790.5</v>
      </c>
      <c r="G62" s="30" t="str">
        <f>IFERROR(_xlfn.XLOOKUP(A62,data!A:A,data!D:D)," ")</f>
        <v>Xơ sợi</v>
      </c>
      <c r="H62" s="30">
        <f>IFERROR(_xlfn.XLOOKUP(A62,data!A:A,data!E:E)," ")</f>
        <v>0</v>
      </c>
      <c r="I62" s="30">
        <v>0</v>
      </c>
      <c r="J62" s="32">
        <f t="shared" si="1"/>
        <v>0</v>
      </c>
      <c r="K62" s="29" t="str">
        <f>VLOOKUP(A62,'Trình bày'!B:B,1,0)</f>
        <v>110000464</v>
      </c>
      <c r="L62" s="32"/>
    </row>
    <row r="63" spans="1:12">
      <c r="A63" s="31" t="s">
        <v>201</v>
      </c>
      <c r="B63" s="29" t="s">
        <v>87</v>
      </c>
      <c r="C63" s="29" t="s">
        <v>4</v>
      </c>
      <c r="D63" s="30">
        <v>11899</v>
      </c>
      <c r="E63" s="30">
        <v>0</v>
      </c>
      <c r="F63" s="30">
        <f t="shared" si="0"/>
        <v>11899</v>
      </c>
      <c r="G63" s="30" t="str">
        <f>IFERROR(_xlfn.XLOOKUP(A63,data!A:A,data!D:D)," ")</f>
        <v>Xơ sợi</v>
      </c>
      <c r="H63" s="30">
        <f>IFERROR(_xlfn.XLOOKUP(A63,data!A:A,data!E:E)," ")</f>
        <v>0</v>
      </c>
      <c r="I63" s="30">
        <v>0</v>
      </c>
      <c r="J63" s="32">
        <f t="shared" si="1"/>
        <v>0</v>
      </c>
      <c r="K63" s="29" t="str">
        <f>VLOOKUP(A63,'Trình bày'!B:B,1,0)</f>
        <v>110000466</v>
      </c>
      <c r="L63" s="32"/>
    </row>
    <row r="64" spans="1:12">
      <c r="A64" s="31" t="s">
        <v>202</v>
      </c>
      <c r="B64" s="29" t="s">
        <v>88</v>
      </c>
      <c r="C64" s="29" t="s">
        <v>4</v>
      </c>
      <c r="D64" s="30">
        <v>41800</v>
      </c>
      <c r="E64" s="30">
        <v>8800</v>
      </c>
      <c r="F64" s="30">
        <f t="shared" si="0"/>
        <v>50600</v>
      </c>
      <c r="G64" s="30" t="str">
        <f>IFERROR(_xlfn.XLOOKUP(A64,data!A:A,data!D:D)," ")</f>
        <v>rPET</v>
      </c>
      <c r="H64" s="30">
        <f>IFERROR(_xlfn.XLOOKUP(A64,data!A:A,data!E:E)," ")</f>
        <v>0</v>
      </c>
      <c r="I64" s="30">
        <v>0</v>
      </c>
      <c r="J64" s="32">
        <f t="shared" si="1"/>
        <v>0</v>
      </c>
      <c r="K64" s="29" t="str">
        <f>VLOOKUP(A64,'Trình bày'!B:B,1,0)</f>
        <v>110000468</v>
      </c>
      <c r="L64" s="32"/>
    </row>
    <row r="65" spans="1:12">
      <c r="A65" s="31" t="s">
        <v>203</v>
      </c>
      <c r="B65" s="29" t="s">
        <v>89</v>
      </c>
      <c r="C65" s="29" t="s">
        <v>4</v>
      </c>
      <c r="D65" s="30">
        <v>4950</v>
      </c>
      <c r="E65" s="30">
        <v>750</v>
      </c>
      <c r="F65" s="30">
        <f t="shared" si="0"/>
        <v>5700</v>
      </c>
      <c r="G65" s="30" t="str">
        <f>IFERROR(_xlfn.XLOOKUP(A65,data!A:A,data!D:D)," ")</f>
        <v>Vảy HD ép</v>
      </c>
      <c r="H65" s="30" t="str">
        <f>IFERROR(_xlfn.XLOOKUP(A65,data!A:A,data!E:E)," ")</f>
        <v>Dương</v>
      </c>
      <c r="I65" s="30">
        <v>0</v>
      </c>
      <c r="J65" s="32">
        <f t="shared" si="1"/>
        <v>0</v>
      </c>
      <c r="K65" s="29" t="str">
        <f>VLOOKUP(A65,'Trình bày'!B:B,1,0)</f>
        <v>110000469</v>
      </c>
      <c r="L65" s="32"/>
    </row>
    <row r="66" spans="1:12">
      <c r="A66" s="31" t="s">
        <v>280</v>
      </c>
      <c r="B66" s="29" t="s">
        <v>281</v>
      </c>
      <c r="C66" s="29" t="s">
        <v>4</v>
      </c>
      <c r="D66" s="30">
        <v>200</v>
      </c>
      <c r="E66" s="30">
        <v>1300</v>
      </c>
      <c r="F66" s="30">
        <f t="shared" si="0"/>
        <v>1500</v>
      </c>
      <c r="G66" s="30" t="str">
        <f>IFERROR(_xlfn.XLOOKUP(A66,data!A:A,data!D:D)," ")</f>
        <v>rPP</v>
      </c>
      <c r="H66" s="30" t="str">
        <f>IFERROR(_xlfn.XLOOKUP(A66,data!A:A,data!E:E)," ")</f>
        <v>Dương</v>
      </c>
      <c r="I66" s="30">
        <v>0</v>
      </c>
      <c r="J66" s="32">
        <f t="shared" si="1"/>
        <v>0</v>
      </c>
      <c r="K66" s="29" t="str">
        <f>VLOOKUP(A66,'Trình bày'!B:B,1,0)</f>
        <v>110000470</v>
      </c>
      <c r="L66" s="32"/>
    </row>
    <row r="67" spans="1:12">
      <c r="A67" s="31" t="s">
        <v>204</v>
      </c>
      <c r="B67" s="29" t="s">
        <v>90</v>
      </c>
      <c r="C67" s="29" t="s">
        <v>4</v>
      </c>
      <c r="D67" s="30">
        <v>2575</v>
      </c>
      <c r="E67" s="30">
        <v>0</v>
      </c>
      <c r="F67" s="30">
        <f t="shared" si="0"/>
        <v>2575</v>
      </c>
      <c r="G67" s="30" t="str">
        <f>IFERROR(_xlfn.XLOOKUP(A67,data!A:A,data!D:D)," ")</f>
        <v>rPP</v>
      </c>
      <c r="H67" s="30" t="str">
        <f>IFERROR(_xlfn.XLOOKUP(A67,data!A:A,data!E:E)," ")</f>
        <v>Dương</v>
      </c>
      <c r="I67" s="30">
        <v>18000</v>
      </c>
      <c r="J67" s="32">
        <f t="shared" si="1"/>
        <v>6000</v>
      </c>
      <c r="K67" s="29" t="str">
        <f>VLOOKUP(A67,'Trình bày'!B:B,1,0)</f>
        <v>110000471</v>
      </c>
      <c r="L67" s="32"/>
    </row>
    <row r="68" spans="1:12">
      <c r="A68" s="31" t="s">
        <v>205</v>
      </c>
      <c r="B68" s="29" t="s">
        <v>91</v>
      </c>
      <c r="C68" s="29" t="s">
        <v>4</v>
      </c>
      <c r="D68" s="30">
        <v>2375</v>
      </c>
      <c r="E68" s="30">
        <v>4125</v>
      </c>
      <c r="F68" s="30">
        <f t="shared" ref="F68:F86" si="2">+D68+E68</f>
        <v>6500</v>
      </c>
      <c r="G68" s="30" t="str">
        <f>IFERROR(_xlfn.XLOOKUP(A68,data!A:A,data!D:D)," ")</f>
        <v>rPP</v>
      </c>
      <c r="H68" s="30" t="str">
        <f>IFERROR(_xlfn.XLOOKUP(A68,data!A:A,data!E:E)," ")</f>
        <v>Xám</v>
      </c>
      <c r="I68" s="30">
        <v>6000</v>
      </c>
      <c r="J68" s="32">
        <f t="shared" ref="J68:J90" si="3">IFERROR(I68/$J$1,0)</f>
        <v>2000</v>
      </c>
      <c r="K68" s="29" t="str">
        <f>VLOOKUP(A68,'Trình bày'!B:B,1,0)</f>
        <v>110000472</v>
      </c>
      <c r="L68" s="32"/>
    </row>
    <row r="69" spans="1:12">
      <c r="A69" s="31" t="s">
        <v>310</v>
      </c>
      <c r="B69" s="29" t="s">
        <v>308</v>
      </c>
      <c r="C69" s="29" t="s">
        <v>4</v>
      </c>
      <c r="D69" s="30">
        <v>0</v>
      </c>
      <c r="E69" s="30">
        <v>4902</v>
      </c>
      <c r="F69" s="30">
        <f t="shared" si="2"/>
        <v>4902</v>
      </c>
      <c r="G69" s="30" t="str">
        <f>IFERROR(_xlfn.XLOOKUP(A69,data!A:A,data!D:D)," ")</f>
        <v xml:space="preserve"> </v>
      </c>
      <c r="H69" s="30" t="str">
        <f>IFERROR(_xlfn.XLOOKUP(A69,data!A:A,data!E:E)," ")</f>
        <v xml:space="preserve"> </v>
      </c>
      <c r="I69" s="30">
        <v>0</v>
      </c>
      <c r="J69" s="32">
        <f t="shared" si="3"/>
        <v>0</v>
      </c>
      <c r="K69" s="29" t="e">
        <f>VLOOKUP(A69,'Trình bày'!B:B,1,0)</f>
        <v>#N/A</v>
      </c>
      <c r="L69" s="32"/>
    </row>
    <row r="70" spans="1:12">
      <c r="A70" s="31" t="s">
        <v>207</v>
      </c>
      <c r="B70" s="29" t="s">
        <v>93</v>
      </c>
      <c r="C70" s="29" t="s">
        <v>4</v>
      </c>
      <c r="D70" s="30">
        <v>210633</v>
      </c>
      <c r="E70" s="30">
        <v>1375</v>
      </c>
      <c r="F70" s="30">
        <f t="shared" si="2"/>
        <v>212008</v>
      </c>
      <c r="G70" s="30" t="str">
        <f>IFERROR(_xlfn.XLOOKUP(A70,data!A:A,data!D:D)," ")</f>
        <v>HD thổi</v>
      </c>
      <c r="H70" s="30" t="str">
        <f>IFERROR(_xlfn.XLOOKUP(A70,data!A:A,data!E:E)," ")</f>
        <v>Trong</v>
      </c>
      <c r="I70" s="30">
        <v>81125</v>
      </c>
      <c r="J70" s="32">
        <f t="shared" si="3"/>
        <v>27041.666666666668</v>
      </c>
      <c r="K70" s="29" t="str">
        <f>VLOOKUP(A70,'Trình bày'!B:B,1,0)</f>
        <v>110000481</v>
      </c>
      <c r="L70" s="32"/>
    </row>
    <row r="71" spans="1:12">
      <c r="A71" s="31" t="s">
        <v>208</v>
      </c>
      <c r="B71" s="29" t="s">
        <v>94</v>
      </c>
      <c r="C71" s="29" t="s">
        <v>4</v>
      </c>
      <c r="D71" s="30">
        <v>3587</v>
      </c>
      <c r="E71" s="30">
        <v>0</v>
      </c>
      <c r="F71" s="30">
        <f t="shared" si="2"/>
        <v>3587</v>
      </c>
      <c r="G71" s="30" t="str">
        <f>IFERROR(_xlfn.XLOOKUP(A71,data!A:A,data!D:D)," ")</f>
        <v>rPP</v>
      </c>
      <c r="H71" s="30" t="str">
        <f>IFERROR(_xlfn.XLOOKUP(A71,data!A:A,data!E:E)," ")</f>
        <v>Trắng</v>
      </c>
      <c r="I71" s="30">
        <v>50</v>
      </c>
      <c r="J71" s="32">
        <f t="shared" si="3"/>
        <v>16.666666666666668</v>
      </c>
      <c r="K71" s="29" t="str">
        <f>VLOOKUP(A71,'Trình bày'!B:B,1,0)</f>
        <v>110000482</v>
      </c>
      <c r="L71" s="32"/>
    </row>
    <row r="72" spans="1:12">
      <c r="A72" s="31" t="s">
        <v>209</v>
      </c>
      <c r="B72" s="33" t="s">
        <v>95</v>
      </c>
      <c r="C72" s="29" t="s">
        <v>4</v>
      </c>
      <c r="D72" s="30">
        <v>0</v>
      </c>
      <c r="E72" s="30">
        <v>1035.5</v>
      </c>
      <c r="F72" s="30">
        <f t="shared" si="2"/>
        <v>1035.5</v>
      </c>
      <c r="G72" s="30" t="str">
        <f>IFERROR(_xlfn.XLOOKUP(A72,data!A:A,data!D:D)," ")</f>
        <v>rPET</v>
      </c>
      <c r="H72" s="30">
        <f>IFERROR(_xlfn.XLOOKUP(A72,data!A:A,data!E:E)," ")</f>
        <v>0</v>
      </c>
      <c r="I72" s="30">
        <v>6600</v>
      </c>
      <c r="J72" s="32">
        <f t="shared" si="3"/>
        <v>2200</v>
      </c>
      <c r="K72" s="29" t="str">
        <f>VLOOKUP(A72,'Trình bày'!B:B,1,0)</f>
        <v>110000483</v>
      </c>
      <c r="L72" s="32"/>
    </row>
    <row r="73" spans="1:12">
      <c r="A73" s="31" t="s">
        <v>210</v>
      </c>
      <c r="B73" s="29" t="s">
        <v>96</v>
      </c>
      <c r="C73" s="29" t="s">
        <v>4</v>
      </c>
      <c r="D73" s="30">
        <v>2200</v>
      </c>
      <c r="E73" s="30">
        <v>0</v>
      </c>
      <c r="F73" s="30">
        <f t="shared" si="2"/>
        <v>2200</v>
      </c>
      <c r="G73" s="30" t="str">
        <f>IFERROR(_xlfn.XLOOKUP(A73,data!A:A,data!D:D)," ")</f>
        <v>rPET</v>
      </c>
      <c r="H73" s="30">
        <f>IFERROR(_xlfn.XLOOKUP(A73,data!A:A,data!E:E)," ")</f>
        <v>0</v>
      </c>
      <c r="I73" s="30">
        <v>0</v>
      </c>
      <c r="J73" s="32">
        <f t="shared" si="3"/>
        <v>0</v>
      </c>
      <c r="K73" s="29" t="e">
        <f>VLOOKUP(A73,'Trình bày'!B:B,1,0)</f>
        <v>#N/A</v>
      </c>
      <c r="L73" s="32"/>
    </row>
    <row r="74" spans="1:12">
      <c r="A74" s="31" t="s">
        <v>211</v>
      </c>
      <c r="B74" s="29" t="s">
        <v>97</v>
      </c>
      <c r="C74" s="29" t="s">
        <v>4</v>
      </c>
      <c r="D74" s="30">
        <v>1100</v>
      </c>
      <c r="E74" s="30">
        <v>0</v>
      </c>
      <c r="F74" s="30">
        <f t="shared" si="2"/>
        <v>1100</v>
      </c>
      <c r="G74" s="30" t="str">
        <f>IFERROR(_xlfn.XLOOKUP(A74,data!A:A,data!D:D)," ")</f>
        <v>rPET</v>
      </c>
      <c r="H74" s="30">
        <f>IFERROR(_xlfn.XLOOKUP(A74,data!A:A,data!E:E)," ")</f>
        <v>0</v>
      </c>
      <c r="I74" s="30">
        <v>0</v>
      </c>
      <c r="J74" s="32">
        <f t="shared" si="3"/>
        <v>0</v>
      </c>
      <c r="K74" s="29" t="e">
        <f>VLOOKUP(A74,'Trình bày'!B:B,1,0)</f>
        <v>#N/A</v>
      </c>
      <c r="L74" s="32"/>
    </row>
    <row r="75" spans="1:12">
      <c r="A75" s="31" t="s">
        <v>212</v>
      </c>
      <c r="B75" s="29" t="s">
        <v>98</v>
      </c>
      <c r="C75" s="29" t="s">
        <v>4</v>
      </c>
      <c r="D75" s="30">
        <v>12100</v>
      </c>
      <c r="E75" s="30">
        <v>0</v>
      </c>
      <c r="F75" s="30">
        <f t="shared" si="2"/>
        <v>12100</v>
      </c>
      <c r="G75" s="30" t="str">
        <f>IFERROR(_xlfn.XLOOKUP(A75,data!A:A,data!D:D)," ")</f>
        <v>rPET</v>
      </c>
      <c r="H75" s="30">
        <f>IFERROR(_xlfn.XLOOKUP(A75,data!A:A,data!E:E)," ")</f>
        <v>0</v>
      </c>
      <c r="I75" s="30">
        <v>0</v>
      </c>
      <c r="J75" s="32">
        <f t="shared" si="3"/>
        <v>0</v>
      </c>
      <c r="K75" s="29" t="e">
        <f>VLOOKUP(A75,'Trình bày'!B:B,1,0)</f>
        <v>#N/A</v>
      </c>
      <c r="L75" s="32"/>
    </row>
    <row r="76" spans="1:12">
      <c r="A76" s="31" t="s">
        <v>213</v>
      </c>
      <c r="B76" s="29" t="s">
        <v>99</v>
      </c>
      <c r="C76" s="29" t="s">
        <v>4</v>
      </c>
      <c r="D76" s="30">
        <v>9100</v>
      </c>
      <c r="E76" s="30">
        <v>0</v>
      </c>
      <c r="F76" s="30">
        <f t="shared" si="2"/>
        <v>9100</v>
      </c>
      <c r="G76" s="30" t="str">
        <f>IFERROR(_xlfn.XLOOKUP(A76,data!A:A,data!D:D)," ")</f>
        <v>rPET</v>
      </c>
      <c r="H76" s="30">
        <f>IFERROR(_xlfn.XLOOKUP(A76,data!A:A,data!E:E)," ")</f>
        <v>0</v>
      </c>
      <c r="I76" s="30">
        <v>0</v>
      </c>
      <c r="J76" s="32">
        <f t="shared" si="3"/>
        <v>0</v>
      </c>
      <c r="K76" s="29" t="e">
        <f>VLOOKUP(A76,'Trình bày'!B:B,1,0)</f>
        <v>#N/A</v>
      </c>
      <c r="L76" s="32"/>
    </row>
    <row r="77" spans="1:12">
      <c r="A77" s="31" t="s">
        <v>216</v>
      </c>
      <c r="B77" s="29" t="s">
        <v>102</v>
      </c>
      <c r="C77" s="29" t="s">
        <v>4</v>
      </c>
      <c r="D77" s="30">
        <v>151079.70000000001</v>
      </c>
      <c r="E77" s="30">
        <v>722</v>
      </c>
      <c r="F77" s="30">
        <f t="shared" si="2"/>
        <v>151801.70000000001</v>
      </c>
      <c r="G77" s="30" t="str">
        <f>IFERROR(_xlfn.XLOOKUP(A77,data!A:A,data!D:D)," ")</f>
        <v>rPET</v>
      </c>
      <c r="H77" s="30">
        <f>IFERROR(_xlfn.XLOOKUP(A77,data!A:A,data!E:E)," ")</f>
        <v>0</v>
      </c>
      <c r="I77" s="30">
        <v>0</v>
      </c>
      <c r="J77" s="32">
        <f t="shared" si="3"/>
        <v>0</v>
      </c>
      <c r="K77" s="29" t="e">
        <f>VLOOKUP(A77,'Trình bày'!B:B,1,0)</f>
        <v>#N/A</v>
      </c>
      <c r="L77" s="32"/>
    </row>
    <row r="78" spans="1:12">
      <c r="A78" s="31" t="s">
        <v>217</v>
      </c>
      <c r="B78" s="29" t="s">
        <v>103</v>
      </c>
      <c r="C78" s="29" t="s">
        <v>4</v>
      </c>
      <c r="D78" s="30">
        <v>20898</v>
      </c>
      <c r="E78" s="30">
        <v>0</v>
      </c>
      <c r="F78" s="30">
        <f t="shared" si="2"/>
        <v>20898</v>
      </c>
      <c r="G78" s="30" t="str">
        <f>IFERROR(_xlfn.XLOOKUP(A78,data!A:A,data!D:D)," ")</f>
        <v>rPET</v>
      </c>
      <c r="H78" s="30">
        <f>IFERROR(_xlfn.XLOOKUP(A78,data!A:A,data!E:E)," ")</f>
        <v>0</v>
      </c>
      <c r="I78" s="30">
        <v>0</v>
      </c>
      <c r="J78" s="32">
        <f t="shared" si="3"/>
        <v>0</v>
      </c>
      <c r="K78" s="29" t="e">
        <f>VLOOKUP(A78,'Trình bày'!B:B,1,0)</f>
        <v>#N/A</v>
      </c>
      <c r="L78" s="32"/>
    </row>
    <row r="79" spans="1:12">
      <c r="A79" s="31" t="s">
        <v>218</v>
      </c>
      <c r="B79" s="29" t="s">
        <v>104</v>
      </c>
      <c r="C79" s="29" t="s">
        <v>4</v>
      </c>
      <c r="D79" s="30">
        <v>8920</v>
      </c>
      <c r="E79" s="30">
        <v>0</v>
      </c>
      <c r="F79" s="30">
        <f t="shared" si="2"/>
        <v>8920</v>
      </c>
      <c r="G79" s="30" t="str">
        <f>IFERROR(_xlfn.XLOOKUP(A79,data!A:A,data!D:D)," ")</f>
        <v>HD thổi</v>
      </c>
      <c r="H79" s="30" t="str">
        <f>IFERROR(_xlfn.XLOOKUP(A79,data!A:A,data!E:E)," ")</f>
        <v>Trắng</v>
      </c>
      <c r="I79" s="30">
        <v>0</v>
      </c>
      <c r="J79" s="32">
        <f t="shared" si="3"/>
        <v>0</v>
      </c>
      <c r="K79" s="29" t="str">
        <f>VLOOKUP(A79,'Trình bày'!B:B,1,0)</f>
        <v>110000495</v>
      </c>
      <c r="L79" s="32"/>
    </row>
    <row r="80" spans="1:12">
      <c r="A80" s="31" t="s">
        <v>219</v>
      </c>
      <c r="B80" s="29" t="s">
        <v>105</v>
      </c>
      <c r="C80" s="29" t="s">
        <v>4</v>
      </c>
      <c r="D80" s="30">
        <v>1448</v>
      </c>
      <c r="E80" s="30">
        <v>0</v>
      </c>
      <c r="F80" s="30">
        <f t="shared" si="2"/>
        <v>1448</v>
      </c>
      <c r="G80" s="30" t="str">
        <f>IFERROR(_xlfn.XLOOKUP(A80,data!A:A,data!D:D)," ")</f>
        <v>HD ép</v>
      </c>
      <c r="H80" s="30" t="str">
        <f>IFERROR(_xlfn.XLOOKUP(A80,data!A:A,data!E:E)," ")</f>
        <v>Dương</v>
      </c>
      <c r="I80" s="30">
        <v>0</v>
      </c>
      <c r="J80" s="32">
        <f t="shared" si="3"/>
        <v>0</v>
      </c>
      <c r="K80" s="29" t="str">
        <f>VLOOKUP(A80,'Trình bày'!B:B,1,0)</f>
        <v>110000496</v>
      </c>
      <c r="L80" s="32"/>
    </row>
    <row r="81" spans="1:12">
      <c r="A81" s="31" t="s">
        <v>221</v>
      </c>
      <c r="B81" s="33" t="s">
        <v>107</v>
      </c>
      <c r="C81" s="29" t="s">
        <v>4</v>
      </c>
      <c r="D81" s="30">
        <v>28530</v>
      </c>
      <c r="E81" s="30">
        <v>0</v>
      </c>
      <c r="F81" s="30">
        <f t="shared" si="2"/>
        <v>28530</v>
      </c>
      <c r="G81" s="30" t="str">
        <f>IFERROR(_xlfn.XLOOKUP(A81,data!A:A,data!D:D)," ")</f>
        <v>rPET</v>
      </c>
      <c r="H81" s="30">
        <f>IFERROR(_xlfn.XLOOKUP(A81,data!A:A,data!E:E)," ")</f>
        <v>0</v>
      </c>
      <c r="I81" s="30">
        <v>5500</v>
      </c>
      <c r="J81" s="32">
        <f t="shared" si="3"/>
        <v>1833.3333333333333</v>
      </c>
      <c r="K81" s="29" t="str">
        <f>VLOOKUP(A81,'Trình bày'!B:B,1,0)</f>
        <v>110000499</v>
      </c>
      <c r="L81" s="32"/>
    </row>
    <row r="82" spans="1:12">
      <c r="A82" s="31" t="s">
        <v>222</v>
      </c>
      <c r="B82" s="33" t="s">
        <v>108</v>
      </c>
      <c r="C82" s="29" t="s">
        <v>4</v>
      </c>
      <c r="D82" s="30">
        <v>17597</v>
      </c>
      <c r="E82" s="30">
        <v>0</v>
      </c>
      <c r="F82" s="30">
        <f t="shared" si="2"/>
        <v>17597</v>
      </c>
      <c r="G82" s="30" t="str">
        <f>IFERROR(_xlfn.XLOOKUP(A82,data!A:A,data!D:D)," ")</f>
        <v>rPET</v>
      </c>
      <c r="H82" s="30">
        <f>IFERROR(_xlfn.XLOOKUP(A82,data!A:A,data!E:E)," ")</f>
        <v>0</v>
      </c>
      <c r="I82" s="30">
        <v>0</v>
      </c>
      <c r="J82" s="32">
        <f t="shared" si="3"/>
        <v>0</v>
      </c>
      <c r="K82" s="29" t="e">
        <f>VLOOKUP(A82,'Trình bày'!B:B,1,0)</f>
        <v>#N/A</v>
      </c>
      <c r="L82" s="32"/>
    </row>
    <row r="83" spans="1:12">
      <c r="A83" s="31" t="s">
        <v>223</v>
      </c>
      <c r="B83" s="29" t="s">
        <v>109</v>
      </c>
      <c r="C83" s="29" t="s">
        <v>4</v>
      </c>
      <c r="D83" s="30">
        <v>5370</v>
      </c>
      <c r="E83" s="30">
        <v>0</v>
      </c>
      <c r="F83" s="30">
        <f t="shared" si="2"/>
        <v>5370</v>
      </c>
      <c r="G83" s="30" t="str">
        <f>IFERROR(_xlfn.XLOOKUP(A83,data!A:A,data!D:D)," ")</f>
        <v>LDPE</v>
      </c>
      <c r="H83" s="30">
        <f>IFERROR(_xlfn.XLOOKUP(A83,data!A:A,data!E:E)," ")</f>
        <v>0</v>
      </c>
      <c r="I83" s="30">
        <v>0</v>
      </c>
      <c r="J83" s="32">
        <f t="shared" si="3"/>
        <v>0</v>
      </c>
      <c r="K83" s="29" t="e">
        <f>VLOOKUP(A83,'Trình bày'!B:B,1,0)</f>
        <v>#N/A</v>
      </c>
      <c r="L83" s="32"/>
    </row>
    <row r="84" spans="1:12">
      <c r="A84" s="31" t="s">
        <v>275</v>
      </c>
      <c r="B84" s="29" t="s">
        <v>276</v>
      </c>
      <c r="C84" s="29" t="s">
        <v>4</v>
      </c>
      <c r="D84" s="30">
        <v>65840</v>
      </c>
      <c r="E84" s="30">
        <v>0</v>
      </c>
      <c r="F84" s="30">
        <f t="shared" si="2"/>
        <v>65840</v>
      </c>
      <c r="G84" s="30" t="str">
        <f>IFERROR(_xlfn.XLOOKUP(A84,data!A:A,data!D:D)," ")</f>
        <v>rPET</v>
      </c>
      <c r="H84" s="30">
        <f>IFERROR(_xlfn.XLOOKUP(A84,data!A:A,data!E:E)," ")</f>
        <v>0</v>
      </c>
      <c r="I84" s="30">
        <v>0</v>
      </c>
      <c r="J84" s="32">
        <f t="shared" si="3"/>
        <v>0</v>
      </c>
      <c r="K84" s="29" t="str">
        <f>VLOOKUP(A84,'Trình bày'!B:B,1,0)</f>
        <v>110000506</v>
      </c>
      <c r="L84" s="32"/>
    </row>
    <row r="85" spans="1:12">
      <c r="A85" s="31" t="s">
        <v>296</v>
      </c>
      <c r="B85" s="29" t="s">
        <v>300</v>
      </c>
      <c r="C85" s="29" t="s">
        <v>4</v>
      </c>
      <c r="D85" s="30">
        <v>265836</v>
      </c>
      <c r="E85" s="30">
        <v>0</v>
      </c>
      <c r="F85" s="30">
        <f t="shared" si="2"/>
        <v>265836</v>
      </c>
      <c r="G85" s="30" t="str">
        <f>IFERROR(_xlfn.XLOOKUP(A85,data!A:A,data!D:D)," ")</f>
        <v>rPET</v>
      </c>
      <c r="H85" s="30">
        <f>IFERROR(_xlfn.XLOOKUP(A85,data!A:A,data!E:E)," ")</f>
        <v>0</v>
      </c>
      <c r="I85" s="30">
        <v>0</v>
      </c>
      <c r="J85" s="32">
        <f t="shared" si="3"/>
        <v>0</v>
      </c>
      <c r="K85" s="29" t="str">
        <f>VLOOKUP(A85,'Trình bày'!B:B,1,0)</f>
        <v>110000507</v>
      </c>
      <c r="L85" s="32"/>
    </row>
    <row r="86" spans="1:12">
      <c r="A86" s="31" t="s">
        <v>297</v>
      </c>
      <c r="B86" s="29" t="s">
        <v>295</v>
      </c>
      <c r="C86" s="29" t="s">
        <v>4</v>
      </c>
      <c r="D86" s="30">
        <v>768.7</v>
      </c>
      <c r="E86" s="30">
        <v>0</v>
      </c>
      <c r="F86" s="30">
        <f t="shared" si="2"/>
        <v>768.7</v>
      </c>
      <c r="G86" s="30" t="str">
        <f>IFERROR(_xlfn.XLOOKUP(A86,data!A:A,data!D:D)," ")</f>
        <v>rPP</v>
      </c>
      <c r="H86" s="30" t="str">
        <f>IFERROR(_xlfn.XLOOKUP(A86,data!A:A,data!E:E)," ")</f>
        <v>Trắng</v>
      </c>
      <c r="I86" s="30">
        <v>0</v>
      </c>
      <c r="J86" s="32">
        <f t="shared" si="3"/>
        <v>0</v>
      </c>
      <c r="K86" s="29" t="str">
        <f>VLOOKUP(A86,'Trình bày'!B:B,1,0)</f>
        <v>110000508</v>
      </c>
      <c r="L86" s="32"/>
    </row>
    <row r="87" spans="1:12">
      <c r="A87" s="34" t="s">
        <v>302</v>
      </c>
      <c r="B87" s="35" t="s">
        <v>303</v>
      </c>
      <c r="C87" s="29" t="s">
        <v>4</v>
      </c>
      <c r="D87" s="30">
        <v>2575</v>
      </c>
      <c r="E87" s="30">
        <v>0</v>
      </c>
      <c r="F87" s="30">
        <f t="shared" ref="F87:F90" si="4">+D87+E87</f>
        <v>2575</v>
      </c>
      <c r="G87" s="30" t="str">
        <f>IFERROR(_xlfn.XLOOKUP(A87,data!A:A,data!D:D)," ")</f>
        <v>HD thổi</v>
      </c>
      <c r="H87" s="30" t="str">
        <f>IFERROR(_xlfn.XLOOKUP(A87,data!A:A,data!E:E)," ")</f>
        <v>Đen</v>
      </c>
      <c r="I87" s="30">
        <v>0</v>
      </c>
      <c r="J87" s="32">
        <f t="shared" si="3"/>
        <v>0</v>
      </c>
      <c r="K87" s="29" t="str">
        <f>VLOOKUP(A87,'Trình bày'!B:B,1,0)</f>
        <v>110000509</v>
      </c>
    </row>
    <row r="88" spans="1:12">
      <c r="A88" s="29" t="s">
        <v>304</v>
      </c>
      <c r="B88" s="29" t="s">
        <v>305</v>
      </c>
      <c r="C88" s="29" t="s">
        <v>4</v>
      </c>
      <c r="D88" s="30">
        <v>36053</v>
      </c>
      <c r="E88" s="30">
        <v>0</v>
      </c>
      <c r="F88" s="30">
        <f t="shared" si="4"/>
        <v>36053</v>
      </c>
      <c r="G88" s="30" t="str">
        <f>IFERROR(_xlfn.XLOOKUP(A88,data!A:A,data!D:D)," ")</f>
        <v>Xơ sợi</v>
      </c>
      <c r="H88" s="30">
        <f>IFERROR(_xlfn.XLOOKUP(A88,data!A:A,data!E:E)," ")</f>
        <v>0</v>
      </c>
      <c r="I88" s="30">
        <v>0</v>
      </c>
      <c r="J88" s="32">
        <f t="shared" si="3"/>
        <v>0</v>
      </c>
      <c r="K88" s="29" t="e">
        <f>VLOOKUP(A88,'Trình bày'!B:B,1,0)</f>
        <v>#N/A</v>
      </c>
    </row>
    <row r="89" spans="1:12">
      <c r="A89" s="29" t="s">
        <v>329</v>
      </c>
      <c r="B89" s="29" t="s">
        <v>330</v>
      </c>
      <c r="C89" s="29" t="s">
        <v>4</v>
      </c>
      <c r="D89" s="30">
        <v>60</v>
      </c>
      <c r="E89" s="30">
        <v>0</v>
      </c>
      <c r="F89" s="30">
        <f t="shared" si="4"/>
        <v>60</v>
      </c>
      <c r="G89" s="30" t="str">
        <f>IFERROR(_xlfn.XLOOKUP(A89,data!A:A,data!D:D)," ")</f>
        <v xml:space="preserve"> </v>
      </c>
      <c r="H89" s="30" t="str">
        <f>IFERROR(_xlfn.XLOOKUP(A89,data!A:A,data!E:E)," ")</f>
        <v xml:space="preserve"> </v>
      </c>
      <c r="I89" s="30">
        <v>0</v>
      </c>
      <c r="J89" s="32">
        <f t="shared" si="3"/>
        <v>0</v>
      </c>
      <c r="K89" s="29" t="e">
        <f>VLOOKUP(A89,'Trình bày'!B:B,1,0)</f>
        <v>#N/A</v>
      </c>
    </row>
    <row r="90" spans="1:12">
      <c r="A90" s="29" t="s">
        <v>331</v>
      </c>
      <c r="B90" s="29" t="s">
        <v>332</v>
      </c>
      <c r="C90" s="29" t="s">
        <v>4</v>
      </c>
      <c r="D90" s="30">
        <v>50</v>
      </c>
      <c r="E90" s="30">
        <v>0</v>
      </c>
      <c r="F90" s="30">
        <f t="shared" si="4"/>
        <v>50</v>
      </c>
      <c r="G90" s="30" t="str">
        <f>IFERROR(_xlfn.XLOOKUP(A90,data!A:A,data!D:D)," ")</f>
        <v xml:space="preserve"> </v>
      </c>
      <c r="H90" s="30" t="str">
        <f>IFERROR(_xlfn.XLOOKUP(A90,data!A:A,data!E:E)," ")</f>
        <v xml:space="preserve"> </v>
      </c>
      <c r="I90" s="30">
        <v>0</v>
      </c>
      <c r="J90" s="32">
        <f t="shared" si="3"/>
        <v>0</v>
      </c>
      <c r="K90" s="29" t="str">
        <f>VLOOKUP(A90,'Trình bày'!B:B,1,0)</f>
        <v>110000522</v>
      </c>
    </row>
  </sheetData>
  <autoFilter ref="A2:R90" xr:uid="{13A89E84-2634-4B88-A7A8-80D474A5A188}"/>
  <conditionalFormatting sqref="A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0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179687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293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293</v>
      </c>
      <c r="E107" s="1"/>
    </row>
    <row r="108" spans="1:5">
      <c r="A108" t="s">
        <v>275</v>
      </c>
      <c r="B108" t="s">
        <v>276</v>
      </c>
      <c r="C108" s="1" t="s">
        <v>4</v>
      </c>
      <c r="D108" s="1" t="s">
        <v>111</v>
      </c>
    </row>
    <row r="109" spans="1:5">
      <c r="A109" t="s">
        <v>273</v>
      </c>
      <c r="B109" t="s">
        <v>274</v>
      </c>
      <c r="C109" s="1" t="s">
        <v>4</v>
      </c>
      <c r="D109" s="1" t="s">
        <v>111</v>
      </c>
    </row>
    <row r="110" spans="1:5">
      <c r="A110" t="s">
        <v>288</v>
      </c>
      <c r="B110" t="s">
        <v>287</v>
      </c>
      <c r="C110" s="1" t="s">
        <v>4</v>
      </c>
      <c r="D110" s="1" t="s">
        <v>115</v>
      </c>
      <c r="E110" t="s">
        <v>228</v>
      </c>
    </row>
    <row r="111" spans="1:5">
      <c r="A111" t="s">
        <v>278</v>
      </c>
      <c r="B111" t="s">
        <v>279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296</v>
      </c>
      <c r="B113" t="s">
        <v>300</v>
      </c>
      <c r="C113" s="1" t="s">
        <v>4</v>
      </c>
      <c r="D113" s="1" t="s">
        <v>111</v>
      </c>
    </row>
    <row r="114" spans="1:5">
      <c r="A114" t="s">
        <v>297</v>
      </c>
      <c r="B114" t="s">
        <v>295</v>
      </c>
      <c r="C114" s="1" t="s">
        <v>4</v>
      </c>
      <c r="D114" s="1" t="s">
        <v>115</v>
      </c>
      <c r="E114" t="s">
        <v>225</v>
      </c>
    </row>
    <row r="115" spans="1:5">
      <c r="A115" t="s">
        <v>302</v>
      </c>
      <c r="B115" t="s">
        <v>303</v>
      </c>
      <c r="C115" s="1" t="s">
        <v>4</v>
      </c>
      <c r="D115" s="1" t="s">
        <v>113</v>
      </c>
      <c r="E115" s="1" t="s">
        <v>229</v>
      </c>
    </row>
    <row r="116" spans="1:5">
      <c r="A116" t="s">
        <v>304</v>
      </c>
      <c r="B116" t="s">
        <v>305</v>
      </c>
      <c r="C116" s="1" t="s">
        <v>4</v>
      </c>
      <c r="D116" s="1" t="s">
        <v>112</v>
      </c>
    </row>
    <row r="117" spans="1:5">
      <c r="A117" s="29" t="s">
        <v>280</v>
      </c>
      <c r="B117" s="29" t="s">
        <v>281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Trình bày</vt:lpstr>
      <vt:lpstr>tồn TP 17.04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2025-06-23T08:27:31Z</dcterms:created>
  <dcterms:modified xsi:type="dcterms:W3CDTF">2026-05-25T15:21:21Z</dcterms:modified>
</cp:coreProperties>
</file>