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Desktop/"/>
    </mc:Choice>
  </mc:AlternateContent>
  <xr:revisionPtr revIDLastSave="30" documentId="8_{CE91B330-22F9-46CF-8A5C-A5031D54EB75}" xr6:coauthVersionLast="47" xr6:coauthVersionMax="47" xr10:uidLastSave="{00D11B48-73E1-409A-B469-DBBDC218903D}"/>
  <bookViews>
    <workbookView xWindow="-110" yWindow="-110" windowWidth="19420" windowHeight="10300" xr2:uid="{99A35458-5929-4846-8E91-0D69AD785FA4}"/>
  </bookViews>
  <sheets>
    <sheet name="5. Giá bán theo cơ cấu (BOM)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2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C9" i="1"/>
  <c r="C11" i="1" s="1"/>
  <c r="G21" i="1" l="1"/>
  <c r="L14" i="1"/>
  <c r="H14" i="1"/>
  <c r="H15" i="1"/>
  <c r="I15" i="1" s="1"/>
  <c r="L15" i="1"/>
  <c r="L16" i="1"/>
  <c r="H16" i="1"/>
  <c r="I16" i="1" s="1"/>
  <c r="L17" i="1"/>
  <c r="H17" i="1"/>
  <c r="I17" i="1" s="1"/>
  <c r="L18" i="1"/>
  <c r="H18" i="1"/>
  <c r="I18" i="1" s="1"/>
  <c r="H19" i="1"/>
  <c r="I19" i="1" s="1"/>
  <c r="L19" i="1"/>
  <c r="H20" i="1"/>
  <c r="I20" i="1" s="1"/>
  <c r="L20" i="1"/>
  <c r="F21" i="1"/>
  <c r="F23" i="1" s="1"/>
  <c r="C10" i="1"/>
  <c r="J15" i="1" l="1"/>
  <c r="K15" i="1" s="1"/>
  <c r="J20" i="1"/>
  <c r="K20" i="1" s="1"/>
  <c r="N20" i="1" s="1"/>
  <c r="P20" i="1" s="1"/>
  <c r="Q20" i="1" s="1"/>
  <c r="J16" i="1"/>
  <c r="K16" i="1" s="1"/>
  <c r="J17" i="1"/>
  <c r="K17" i="1" s="1"/>
  <c r="J18" i="1"/>
  <c r="K18" i="1" s="1"/>
  <c r="J14" i="1"/>
  <c r="J19" i="1"/>
  <c r="K19" i="1" s="1"/>
  <c r="H21" i="1"/>
  <c r="I14" i="1"/>
  <c r="L21" i="1"/>
  <c r="N19" i="1" l="1"/>
  <c r="P19" i="1" s="1"/>
  <c r="Q19" i="1" s="1"/>
  <c r="M19" i="1"/>
  <c r="N18" i="1"/>
  <c r="P18" i="1" s="1"/>
  <c r="Q18" i="1" s="1"/>
  <c r="M18" i="1"/>
  <c r="N17" i="1"/>
  <c r="P17" i="1" s="1"/>
  <c r="Q17" i="1" s="1"/>
  <c r="M17" i="1"/>
  <c r="N16" i="1"/>
  <c r="P16" i="1" s="1"/>
  <c r="Q16" i="1" s="1"/>
  <c r="M16" i="1"/>
  <c r="N15" i="1"/>
  <c r="P15" i="1" s="1"/>
  <c r="Q15" i="1" s="1"/>
  <c r="M15" i="1"/>
  <c r="I21" i="1"/>
  <c r="K14" i="1"/>
  <c r="J21" i="1"/>
  <c r="M20" i="1"/>
  <c r="K21" i="1" l="1"/>
  <c r="N14" i="1"/>
  <c r="P14" i="1" s="1"/>
  <c r="Q14" i="1" s="1"/>
  <c r="M14" i="1"/>
  <c r="M21" i="1" s="1"/>
</calcChain>
</file>

<file path=xl/sharedStrings.xml><?xml version="1.0" encoding="utf-8"?>
<sst xmlns="http://schemas.openxmlformats.org/spreadsheetml/2006/main" count="30" uniqueCount="29">
  <si>
    <t>Giá chai B0</t>
  </si>
  <si>
    <t>Chi phí phân loại</t>
  </si>
  <si>
    <t>Tỷ lệ hao hụt thực tế</t>
  </si>
  <si>
    <t>Tổng chi phí</t>
  </si>
  <si>
    <t>Chi phí hao hụt</t>
  </si>
  <si>
    <t>Giá bán hòa vốn đơn vị</t>
  </si>
  <si>
    <t>STT</t>
  </si>
  <si>
    <t>Tên vật tư</t>
  </si>
  <si>
    <t>Giá bán 3 trạm về DTR</t>
  </si>
  <si>
    <t>Cơ cấu thành phẩm thực tế</t>
  </si>
  <si>
    <t>Tỷ trọng giá trị</t>
  </si>
  <si>
    <t>Phân bổ giá B0</t>
  </si>
  <si>
    <t>Phân bổ chi phí phân loại</t>
  </si>
  <si>
    <t>Chi phí sau phân loại</t>
  </si>
  <si>
    <t>Doanh thu đơn vị</t>
  </si>
  <si>
    <t>Lợi nhuận đơn vị</t>
  </si>
  <si>
    <t>Giá thành 1kg sau phân loại</t>
  </si>
  <si>
    <t>Diff</t>
  </si>
  <si>
    <t>Chai PET B1</t>
  </si>
  <si>
    <t>Chai PET B2.2</t>
  </si>
  <si>
    <t>Chai PET B4</t>
  </si>
  <si>
    <t>Chai PET B5</t>
  </si>
  <si>
    <t>Chai PET B6.2</t>
  </si>
  <si>
    <t>Nắp HD ép, cổ chai</t>
  </si>
  <si>
    <t>Thành phẩm thu được sau lựa</t>
  </si>
  <si>
    <t>Hao hụt (%)</t>
  </si>
  <si>
    <t>Hao hụt (gram_BOM)</t>
  </si>
  <si>
    <r>
      <t>Cơ cấu thành phẩm theo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FFFF00"/>
        <rFont val="Calibri"/>
        <family val="2"/>
        <scheme val="minor"/>
      </rPr>
      <t>BOM</t>
    </r>
  </si>
  <si>
    <r>
      <t xml:space="preserve">Cơ cấu nguyên vật liệu </t>
    </r>
    <r>
      <rPr>
        <b/>
        <sz val="12"/>
        <color rgb="FFFFFF00"/>
        <rFont val="Calibri"/>
        <family val="2"/>
        <scheme val="minor"/>
      </rPr>
      <t>BOM</t>
    </r>
    <r>
      <rPr>
        <b/>
        <sz val="12"/>
        <color theme="0"/>
        <rFont val="Calibri"/>
        <family val="2"/>
        <scheme val="minor"/>
      </rPr>
      <t xml:space="preserve"> (gram)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</si>
</sst>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%;[Red]\-0%;_(* &quot;&quot;??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theme="8"/>
      </patternFill>
    </fill>
    <fill>
      <patternFill patternType="solid">
        <fgColor rgb="FFFFFF00"/>
        <bgColor theme="8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0" borderId="1" xfId="0" applyBorder="1"/>
    <xf numFmtId="164" fontId="0" fillId="2" borderId="1" xfId="1" applyNumberFormat="1" applyFont="1" applyFill="1" applyBorder="1"/>
    <xf numFmtId="9" fontId="0" fillId="2" borderId="1" xfId="0" applyNumberFormat="1" applyFill="1" applyBorder="1"/>
    <xf numFmtId="164" fontId="0" fillId="3" borderId="1" xfId="1" applyNumberFormat="1" applyFont="1" applyFill="1" applyBorder="1"/>
    <xf numFmtId="49" fontId="5" fillId="4" borderId="2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3" fillId="0" borderId="3" xfId="0" applyNumberFormat="1" applyFont="1" applyBorder="1"/>
    <xf numFmtId="0" fontId="3" fillId="0" borderId="4" xfId="0" applyFont="1" applyBorder="1"/>
    <xf numFmtId="165" fontId="3" fillId="0" borderId="5" xfId="2" applyNumberFormat="1" applyFont="1" applyFill="1" applyBorder="1"/>
    <xf numFmtId="164" fontId="2" fillId="0" borderId="0" xfId="1" applyNumberFormat="1" applyFont="1"/>
    <xf numFmtId="164" fontId="0" fillId="3" borderId="0" xfId="1" applyNumberFormat="1" applyFont="1" applyFill="1"/>
    <xf numFmtId="9" fontId="0" fillId="3" borderId="0" xfId="2" applyFont="1" applyFill="1"/>
    <xf numFmtId="164" fontId="0" fillId="3" borderId="0" xfId="0" applyNumberFormat="1" applyFill="1"/>
    <xf numFmtId="164" fontId="0" fillId="0" borderId="0" xfId="0" applyNumberFormat="1"/>
    <xf numFmtId="10" fontId="0" fillId="0" borderId="0" xfId="2" applyNumberFormat="1" applyFont="1"/>
    <xf numFmtId="165" fontId="3" fillId="0" borderId="5" xfId="2" applyNumberFormat="1" applyFont="1" applyBorder="1"/>
    <xf numFmtId="0" fontId="3" fillId="0" borderId="6" xfId="0" applyFont="1" applyBorder="1"/>
    <xf numFmtId="165" fontId="3" fillId="0" borderId="7" xfId="2" applyNumberFormat="1" applyFont="1" applyBorder="1"/>
    <xf numFmtId="164" fontId="4" fillId="0" borderId="0" xfId="0" applyNumberFormat="1" applyFont="1"/>
    <xf numFmtId="10" fontId="4" fillId="0" borderId="0" xfId="2" applyNumberFormat="1" applyFont="1"/>
    <xf numFmtId="0" fontId="3" fillId="0" borderId="0" xfId="0" applyFont="1"/>
    <xf numFmtId="0" fontId="7" fillId="0" borderId="0" xfId="0" applyFont="1" applyAlignment="1">
      <alignment wrapText="1"/>
    </xf>
    <xf numFmtId="165" fontId="3" fillId="0" borderId="0" xfId="0" applyNumberFormat="1" applyFont="1"/>
    <xf numFmtId="164" fontId="3" fillId="0" borderId="0" xfId="1" applyNumberFormat="1" applyFont="1" applyFill="1"/>
    <xf numFmtId="9" fontId="3" fillId="0" borderId="0" xfId="0" applyNumberFormat="1" applyFont="1"/>
    <xf numFmtId="164" fontId="3" fillId="6" borderId="0" xfId="1" applyNumberFormat="1" applyFont="1" applyFill="1"/>
    <xf numFmtId="9" fontId="0" fillId="6" borderId="0" xfId="2" applyFont="1" applyFill="1"/>
    <xf numFmtId="164" fontId="2" fillId="2" borderId="1" xfId="1" applyNumberFormat="1" applyFont="1" applyFill="1" applyBorder="1"/>
    <xf numFmtId="0" fontId="2" fillId="0" borderId="1" xfId="0" applyFont="1" applyBorder="1"/>
    <xf numFmtId="164" fontId="2" fillId="3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6" fmlaLink="$A$3" max="12" min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2</xdr:col>
          <xdr:colOff>0</xdr:colOff>
          <xdr:row>4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219D858-F833-4225-A29D-08D6211D7D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9EFC-E078-4F4E-ADAD-31575103C5BD}">
  <dimension ref="A2:Q23"/>
  <sheetViews>
    <sheetView tabSelected="1" topLeftCell="A4" zoomScale="85" zoomScaleNormal="85" workbookViewId="0">
      <selection activeCell="A2" sqref="A2:Q23"/>
    </sheetView>
  </sheetViews>
  <sheetFormatPr defaultRowHeight="14.5" x14ac:dyDescent="0.35"/>
  <cols>
    <col min="1" max="1" width="5.90625" customWidth="1"/>
    <col min="2" max="2" width="24.08984375" customWidth="1"/>
    <col min="3" max="3" width="16.36328125" customWidth="1"/>
    <col min="4" max="4" width="1.6328125" customWidth="1"/>
    <col min="5" max="5" width="15" hidden="1" customWidth="1"/>
    <col min="6" max="6" width="14.81640625" bestFit="1" customWidth="1"/>
    <col min="7" max="7" width="13.54296875" bestFit="1" customWidth="1"/>
    <col min="8" max="8" width="12" bestFit="1" customWidth="1"/>
    <col min="9" max="9" width="12.08984375" customWidth="1"/>
    <col min="10" max="10" width="12.81640625" bestFit="1" customWidth="1"/>
    <col min="11" max="11" width="10.08984375" customWidth="1"/>
    <col min="12" max="12" width="8.81640625" bestFit="1" customWidth="1"/>
    <col min="13" max="13" width="7.26953125" bestFit="1" customWidth="1"/>
    <col min="14" max="14" width="14.08984375" bestFit="1" customWidth="1"/>
    <col min="15" max="15" width="15" bestFit="1" customWidth="1"/>
    <col min="16" max="17" width="7.453125" bestFit="1" customWidth="1"/>
    <col min="23" max="23" width="9.08984375" bestFit="1" customWidth="1"/>
    <col min="25" max="25" width="10.08984375" bestFit="1" customWidth="1"/>
    <col min="26" max="26" width="9.6328125" bestFit="1" customWidth="1"/>
    <col min="30" max="30" width="9.54296875" customWidth="1"/>
    <col min="31" max="31" width="11.08984375" bestFit="1" customWidth="1"/>
    <col min="32" max="32" width="11.08984375" customWidth="1"/>
    <col min="33" max="33" width="13.453125" customWidth="1"/>
    <col min="36" max="36" width="14" customWidth="1"/>
  </cols>
  <sheetData>
    <row r="2" spans="1:17" x14ac:dyDescent="0.35">
      <c r="A2" s="1">
        <v>2026</v>
      </c>
    </row>
    <row r="3" spans="1:17" x14ac:dyDescent="0.35">
      <c r="A3" s="1">
        <v>1</v>
      </c>
    </row>
    <row r="5" spans="1:17" ht="7" customHeight="1" x14ac:dyDescent="0.35"/>
    <row r="6" spans="1:17" x14ac:dyDescent="0.35">
      <c r="B6" s="2" t="s">
        <v>0</v>
      </c>
      <c r="C6" s="3">
        <v>9700</v>
      </c>
    </row>
    <row r="7" spans="1:17" x14ac:dyDescent="0.35">
      <c r="B7" s="32" t="s">
        <v>1</v>
      </c>
      <c r="C7" s="31">
        <v>3000</v>
      </c>
    </row>
    <row r="8" spans="1:17" x14ac:dyDescent="0.35">
      <c r="B8" s="2" t="s">
        <v>2</v>
      </c>
      <c r="C8" s="4">
        <v>0.11</v>
      </c>
    </row>
    <row r="9" spans="1:17" x14ac:dyDescent="0.35">
      <c r="B9" s="2" t="s">
        <v>3</v>
      </c>
      <c r="C9" s="5">
        <f>SUM(C6:C7)</f>
        <v>12700</v>
      </c>
    </row>
    <row r="10" spans="1:17" x14ac:dyDescent="0.35">
      <c r="B10" s="32" t="s">
        <v>4</v>
      </c>
      <c r="C10" s="33">
        <f>C9*C8/(1-C8)</f>
        <v>1569.6629213483145</v>
      </c>
    </row>
    <row r="11" spans="1:17" x14ac:dyDescent="0.35">
      <c r="B11" s="2" t="s">
        <v>5</v>
      </c>
      <c r="C11" s="5">
        <f>+C9/(1-C8)</f>
        <v>14269.662921348314</v>
      </c>
    </row>
    <row r="12" spans="1:17" ht="5" customHeight="1" x14ac:dyDescent="0.35"/>
    <row r="13" spans="1:17" ht="46.5" x14ac:dyDescent="0.35">
      <c r="A13" s="6" t="s">
        <v>6</v>
      </c>
      <c r="B13" s="6" t="s">
        <v>7</v>
      </c>
      <c r="C13" s="6" t="s">
        <v>27</v>
      </c>
      <c r="E13" s="7" t="s">
        <v>8</v>
      </c>
      <c r="F13" s="8" t="s">
        <v>28</v>
      </c>
      <c r="G13" s="8" t="s">
        <v>9</v>
      </c>
      <c r="H13" s="8" t="s">
        <v>10</v>
      </c>
      <c r="I13" s="8" t="s">
        <v>11</v>
      </c>
      <c r="J13" s="8" t="s">
        <v>12</v>
      </c>
      <c r="K13" s="8" t="s">
        <v>13</v>
      </c>
      <c r="L13" s="8" t="s">
        <v>14</v>
      </c>
      <c r="M13" s="8" t="s">
        <v>15</v>
      </c>
      <c r="N13" s="8" t="s">
        <v>16</v>
      </c>
      <c r="O13" s="7" t="s">
        <v>8</v>
      </c>
      <c r="P13" s="9" t="s">
        <v>17</v>
      </c>
      <c r="Q13" s="9"/>
    </row>
    <row r="14" spans="1:17" x14ac:dyDescent="0.35">
      <c r="A14" s="10">
        <v>1</v>
      </c>
      <c r="B14" s="11" t="s">
        <v>18</v>
      </c>
      <c r="C14" s="12">
        <v>0.54</v>
      </c>
      <c r="E14" s="13">
        <v>15000</v>
      </c>
      <c r="F14" s="14">
        <f>C14*1000</f>
        <v>540</v>
      </c>
      <c r="G14" s="15">
        <f>F14/1000/(1-$C$8)</f>
        <v>0.6067415730337079</v>
      </c>
      <c r="H14" s="15">
        <f>E14*G14/SUMPRODUCT($E$14:$E$20,$G$14:$G$20)</f>
        <v>0.63804647499015366</v>
      </c>
      <c r="I14" s="14">
        <f t="shared" ref="I14:I20" si="0">$C$6*H14</f>
        <v>6189.0508074044901</v>
      </c>
      <c r="J14" s="16">
        <f>($C$7+$C$10)*H14</f>
        <v>2915.6573188594998</v>
      </c>
      <c r="K14" s="14">
        <f>I14+J14</f>
        <v>9104.7081262639895</v>
      </c>
      <c r="L14" s="14">
        <f>E14*G14</f>
        <v>9101.1235955056181</v>
      </c>
      <c r="M14" s="14">
        <f>L14-K14</f>
        <v>-3.5845307583713293</v>
      </c>
      <c r="N14" s="14">
        <f t="shared" ref="N14:N20" si="1">K14/(F14/(1-$C$8))*1000</f>
        <v>15005.907837731391</v>
      </c>
      <c r="O14" s="13">
        <v>15000</v>
      </c>
      <c r="P14" s="17">
        <f>O14-N14</f>
        <v>-5.9078377313908277</v>
      </c>
      <c r="Q14" s="18">
        <f>P14/E14</f>
        <v>-3.9385584875938849E-4</v>
      </c>
    </row>
    <row r="15" spans="1:17" x14ac:dyDescent="0.35">
      <c r="A15" s="10">
        <v>5</v>
      </c>
      <c r="B15" s="11" t="s">
        <v>19</v>
      </c>
      <c r="C15" s="19">
        <v>0.03</v>
      </c>
      <c r="E15" s="13">
        <v>13500</v>
      </c>
      <c r="F15" s="14">
        <f>C15*1000</f>
        <v>30</v>
      </c>
      <c r="G15" s="15">
        <f t="shared" ref="G15:G20" si="2">F15/1000/(1-$C$8)</f>
        <v>3.3707865168539325E-2</v>
      </c>
      <c r="H15" s="15">
        <f>E15*G15/SUMPRODUCT($E$14:$E$20,$G$14:$G$20)</f>
        <v>3.1902323749507681E-2</v>
      </c>
      <c r="I15" s="14">
        <f t="shared" si="0"/>
        <v>309.45254037022448</v>
      </c>
      <c r="J15" s="16">
        <f t="shared" ref="J15:J20" si="3">($C$7+$C$10)*H15</f>
        <v>145.78286594297498</v>
      </c>
      <c r="K15" s="14">
        <f t="shared" ref="K15:K20" si="4">I15+J15</f>
        <v>455.23540631319946</v>
      </c>
      <c r="L15" s="14">
        <f>E15*G15</f>
        <v>455.0561797752809</v>
      </c>
      <c r="M15" s="14">
        <f t="shared" ref="M15:M20" si="5">L15-K15</f>
        <v>-0.17922653791856646</v>
      </c>
      <c r="N15" s="14">
        <f t="shared" si="1"/>
        <v>13505.31705395825</v>
      </c>
      <c r="O15" s="13">
        <v>13500</v>
      </c>
      <c r="P15" s="17">
        <f t="shared" ref="P15:P19" si="6">O15-N15</f>
        <v>-5.317053958249744</v>
      </c>
      <c r="Q15" s="18">
        <f>P15/E15</f>
        <v>-3.9385584875924027E-4</v>
      </c>
    </row>
    <row r="16" spans="1:17" x14ac:dyDescent="0.35">
      <c r="A16" s="10">
        <v>7</v>
      </c>
      <c r="B16" s="11" t="s">
        <v>20</v>
      </c>
      <c r="C16" s="19">
        <v>0.02</v>
      </c>
      <c r="E16" s="13">
        <v>12000</v>
      </c>
      <c r="F16" s="14">
        <f>C16*1000</f>
        <v>20</v>
      </c>
      <c r="G16" s="15">
        <f t="shared" si="2"/>
        <v>2.247191011235955E-2</v>
      </c>
      <c r="H16" s="15">
        <f>E16*G16/SUMPRODUCT($E$14:$E$20,$G$14:$G$20)</f>
        <v>1.8905080740448998E-2</v>
      </c>
      <c r="I16" s="14">
        <f t="shared" si="0"/>
        <v>183.37928318235529</v>
      </c>
      <c r="J16" s="16">
        <f t="shared" si="3"/>
        <v>86.389846484725936</v>
      </c>
      <c r="K16" s="14">
        <f t="shared" si="4"/>
        <v>269.76912966708124</v>
      </c>
      <c r="L16" s="14">
        <f>E16*G16</f>
        <v>269.66292134831463</v>
      </c>
      <c r="M16" s="14">
        <f t="shared" si="5"/>
        <v>-0.10620831876661896</v>
      </c>
      <c r="N16" s="14">
        <f t="shared" si="1"/>
        <v>12004.726270185116</v>
      </c>
      <c r="O16" s="13">
        <v>12000</v>
      </c>
      <c r="P16" s="17">
        <f t="shared" si="6"/>
        <v>-4.7262701851159363</v>
      </c>
      <c r="Q16" s="18">
        <f>P16/E16</f>
        <v>-3.9385584875966138E-4</v>
      </c>
    </row>
    <row r="17" spans="1:17" x14ac:dyDescent="0.35">
      <c r="A17" s="10">
        <v>8</v>
      </c>
      <c r="B17" s="11" t="s">
        <v>21</v>
      </c>
      <c r="C17" s="19">
        <v>0.02</v>
      </c>
      <c r="E17" s="13">
        <v>12000</v>
      </c>
      <c r="F17" s="14">
        <f>C17*1000</f>
        <v>20</v>
      </c>
      <c r="G17" s="15">
        <f t="shared" si="2"/>
        <v>2.247191011235955E-2</v>
      </c>
      <c r="H17" s="15">
        <f>E17*G17/SUMPRODUCT($E$14:$E$20,$G$14:$G$20)</f>
        <v>1.8905080740448998E-2</v>
      </c>
      <c r="I17" s="14">
        <f t="shared" si="0"/>
        <v>183.37928318235529</v>
      </c>
      <c r="J17" s="16">
        <f t="shared" si="3"/>
        <v>86.389846484725936</v>
      </c>
      <c r="K17" s="14">
        <f t="shared" si="4"/>
        <v>269.76912966708124</v>
      </c>
      <c r="L17" s="14">
        <f>E17*G17</f>
        <v>269.66292134831463</v>
      </c>
      <c r="M17" s="14">
        <f t="shared" si="5"/>
        <v>-0.10620831876661896</v>
      </c>
      <c r="N17" s="14">
        <f t="shared" si="1"/>
        <v>12004.726270185116</v>
      </c>
      <c r="O17" s="13">
        <v>12000</v>
      </c>
      <c r="P17" s="17">
        <f t="shared" si="6"/>
        <v>-4.7262701851159363</v>
      </c>
      <c r="Q17" s="18">
        <f>P17/E17</f>
        <v>-3.9385584875966138E-4</v>
      </c>
    </row>
    <row r="18" spans="1:17" x14ac:dyDescent="0.35">
      <c r="A18" s="10">
        <v>10</v>
      </c>
      <c r="B18" s="11" t="s">
        <v>22</v>
      </c>
      <c r="C18" s="19">
        <v>0.27</v>
      </c>
      <c r="E18" s="13">
        <v>13500</v>
      </c>
      <c r="F18" s="14">
        <f>C18*1000</f>
        <v>270</v>
      </c>
      <c r="G18" s="15">
        <f t="shared" si="2"/>
        <v>0.30337078651685395</v>
      </c>
      <c r="H18" s="15">
        <f>E18*G18/SUMPRODUCT($E$14:$E$20,$G$14:$G$20)</f>
        <v>0.2871209137455692</v>
      </c>
      <c r="I18" s="14">
        <f t="shared" si="0"/>
        <v>2785.0728633320214</v>
      </c>
      <c r="J18" s="16">
        <f t="shared" si="3"/>
        <v>1312.0457934867752</v>
      </c>
      <c r="K18" s="14">
        <f t="shared" si="4"/>
        <v>4097.1186568187968</v>
      </c>
      <c r="L18" s="14">
        <f>E18*G18</f>
        <v>4095.5056179775283</v>
      </c>
      <c r="M18" s="14">
        <f t="shared" si="5"/>
        <v>-1.6130388412684624</v>
      </c>
      <c r="N18" s="14">
        <f t="shared" si="1"/>
        <v>13505.317053958257</v>
      </c>
      <c r="O18" s="13">
        <v>13500</v>
      </c>
      <c r="P18" s="17">
        <f t="shared" si="6"/>
        <v>-5.31705395825702</v>
      </c>
      <c r="Q18" s="18">
        <f>P18/E18</f>
        <v>-3.9385584875977923E-4</v>
      </c>
    </row>
    <row r="19" spans="1:17" x14ac:dyDescent="0.35">
      <c r="A19" s="10">
        <v>11</v>
      </c>
      <c r="B19" s="11" t="s">
        <v>23</v>
      </c>
      <c r="C19" s="19">
        <v>0.01</v>
      </c>
      <c r="E19" s="13">
        <v>6500</v>
      </c>
      <c r="F19" s="14">
        <f>C19*1000</f>
        <v>10</v>
      </c>
      <c r="G19" s="15">
        <f t="shared" si="2"/>
        <v>1.1235955056179775E-2</v>
      </c>
      <c r="H19" s="15">
        <f>E19*G19/SUMPRODUCT($E$14:$E$20,$G$14:$G$20)</f>
        <v>5.1201260338716035E-3</v>
      </c>
      <c r="I19" s="14">
        <f t="shared" si="0"/>
        <v>49.665222528554551</v>
      </c>
      <c r="J19" s="16">
        <f t="shared" si="3"/>
        <v>23.397250089613273</v>
      </c>
      <c r="K19" s="14">
        <f>I19+J19</f>
        <v>73.062472618167817</v>
      </c>
      <c r="L19" s="14">
        <f>E19*G19</f>
        <v>73.033707865168537</v>
      </c>
      <c r="M19" s="14">
        <f t="shared" si="5"/>
        <v>-2.8764752999279608E-2</v>
      </c>
      <c r="N19" s="14">
        <f t="shared" si="1"/>
        <v>6502.5600630169365</v>
      </c>
      <c r="O19" s="13">
        <v>6500</v>
      </c>
      <c r="P19" s="17">
        <f t="shared" si="6"/>
        <v>-2.5600630169365104</v>
      </c>
      <c r="Q19" s="18">
        <f>P19/E19</f>
        <v>-3.9385584875946313E-4</v>
      </c>
    </row>
    <row r="20" spans="1:17" hidden="1" x14ac:dyDescent="0.35">
      <c r="A20" s="10"/>
      <c r="B20" s="20"/>
      <c r="C20" s="21"/>
      <c r="E20" s="13"/>
      <c r="F20" s="22">
        <f>C20*1000</f>
        <v>0</v>
      </c>
      <c r="G20" s="22">
        <f t="shared" si="2"/>
        <v>0</v>
      </c>
      <c r="H20" s="22">
        <f>E20*G20/SUMPRODUCT($E$14:$E$20,$G$14:$G$20)</f>
        <v>0</v>
      </c>
      <c r="I20" s="22">
        <f t="shared" si="0"/>
        <v>0</v>
      </c>
      <c r="J20" s="22">
        <f t="shared" si="3"/>
        <v>0</v>
      </c>
      <c r="K20" s="22">
        <f t="shared" si="4"/>
        <v>0</v>
      </c>
      <c r="L20" s="22">
        <f>E20*G20</f>
        <v>0</v>
      </c>
      <c r="M20" s="22">
        <f t="shared" si="5"/>
        <v>0</v>
      </c>
      <c r="N20" s="22" t="e">
        <f t="shared" si="1"/>
        <v>#DIV/0!</v>
      </c>
      <c r="O20" s="22"/>
      <c r="P20" s="22" t="e">
        <f>O20-N20</f>
        <v>#DIV/0!</v>
      </c>
      <c r="Q20" s="23" t="e">
        <f>P20/E20</f>
        <v>#DIV/0!</v>
      </c>
    </row>
    <row r="21" spans="1:17" s="24" customFormat="1" ht="29" x14ac:dyDescent="0.35">
      <c r="B21" s="25" t="s">
        <v>24</v>
      </c>
      <c r="C21" s="26">
        <f>SUM(C14:C20)</f>
        <v>0.89000000000000012</v>
      </c>
      <c r="F21" s="27">
        <f>SUM(F14:F20)</f>
        <v>890</v>
      </c>
      <c r="G21" s="28">
        <f t="shared" ref="G21:M21" si="7">SUM(G14:G20)</f>
        <v>1.0000000000000002</v>
      </c>
      <c r="H21" s="28">
        <f t="shared" si="7"/>
        <v>1</v>
      </c>
      <c r="I21" s="29">
        <f t="shared" si="7"/>
        <v>9700.0000000000018</v>
      </c>
      <c r="J21" s="29">
        <f t="shared" si="7"/>
        <v>4569.6629213483156</v>
      </c>
      <c r="K21" s="27">
        <f t="shared" si="7"/>
        <v>14269.662921348317</v>
      </c>
      <c r="L21" s="27">
        <f t="shared" si="7"/>
        <v>14264.044943820223</v>
      </c>
      <c r="M21" s="27">
        <f t="shared" si="7"/>
        <v>-5.6179775280908757</v>
      </c>
    </row>
    <row r="22" spans="1:17" x14ac:dyDescent="0.35">
      <c r="B22" t="s">
        <v>25</v>
      </c>
      <c r="C22" s="30">
        <f>100%-C21</f>
        <v>0.10999999999999988</v>
      </c>
    </row>
    <row r="23" spans="1:17" x14ac:dyDescent="0.35">
      <c r="B23" t="s">
        <v>26</v>
      </c>
      <c r="F23" s="14">
        <f>1000-F21</f>
        <v>110</v>
      </c>
    </row>
  </sheetData>
  <mergeCells count="1">
    <mergeCell ref="P13:Q1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Giá bán theo cơ cấu (BOM)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2026-02-04T07:27:15Z</dcterms:created>
  <dcterms:modified xsi:type="dcterms:W3CDTF">2026-02-04T07:41:44Z</dcterms:modified>
</cp:coreProperties>
</file>