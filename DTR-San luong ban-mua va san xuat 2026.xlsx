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Sản lượng mua và bán 2020-2024/"/>
    </mc:Choice>
  </mc:AlternateContent>
  <xr:revisionPtr revIDLastSave="1198" documentId="13_ncr:1_{432720BB-2722-40AB-85DB-DFF454D4D175}" xr6:coauthVersionLast="47" xr6:coauthVersionMax="47" xr10:uidLastSave="{84AB1747-A4AB-46A4-8951-B6D3C4EF6D28}"/>
  <bookViews>
    <workbookView xWindow="-110" yWindow="-110" windowWidth="19420" windowHeight="10300" tabRatio="898" activeTab="2" xr2:uid="{00000000-000D-0000-FFFF-FFFF00000000}"/>
  </bookViews>
  <sheets>
    <sheet name="Tổng mua và bán" sheetId="57" r:id="rId1"/>
    <sheet name="Mua-bán PET" sheetId="59" r:id="rId2"/>
    <sheet name="Mua-bán HD" sheetId="61" r:id="rId3"/>
    <sheet name="Mua-bán-PP" sheetId="68" r:id="rId4"/>
    <sheet name="Tổng SX và bán" sheetId="62" r:id="rId5"/>
    <sheet name="SX và bán PET" sheetId="69" r:id="rId6"/>
    <sheet name="SX và bán HD" sheetId="70" r:id="rId7"/>
    <sheet name="SX và bán PP" sheetId="71" r:id="rId8"/>
    <sheet name="SX và bán xơ sợi" sheetId="7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Jan02">'[5]FG waste'!#REF!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>#REF!</definedName>
    <definedName name="Asset">[12]Capex!$G$6:$I$13</definedName>
    <definedName name="aù0">'[13]bang tien luong'!#REF!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>#REF!</definedName>
    <definedName name="C_">#REF!</definedName>
    <definedName name="cap">#REF!</definedName>
    <definedName name="cap0.7">#REF!</definedName>
    <definedName name="CCNK">[15]QMCT!#REF!</definedName>
    <definedName name="CL">#REF!</definedName>
    <definedName name="CLTMP">[15]QMCT!#REF!</definedName>
    <definedName name="CLVC">[16]CHITIET!$D$3</definedName>
    <definedName name="Contingency">[17]Summary!$AR$1</definedName>
    <definedName name="cong_bq">'[4]truc tiep'!#REF!</definedName>
    <definedName name="cong_bv">'[4]truc tiep'!#REF!</definedName>
    <definedName name="cong_ck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>{"Book1"}</definedName>
    <definedName name="DocumentYear">[18]P3!#REF!</definedName>
    <definedName name="domestic">#REF!</definedName>
    <definedName name="domesticcost">[19]Domestic!#REF!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[15]QMCT!#REF!</definedName>
    <definedName name="G">#REF!</definedName>
    <definedName name="G23_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>[15]QMCT!#REF!</definedName>
    <definedName name="HDCD">[15]QMCT!#REF!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>#REF!</definedName>
    <definedName name="Jul">#REF!</definedName>
    <definedName name="Jun">#REF!</definedName>
    <definedName name="Justification">[12]Capex!$B$6:$C$9</definedName>
    <definedName name="K">#REF!</definedName>
    <definedName name="K_1" localSheetId="1">[24]!K_1</definedName>
    <definedName name="K_1" localSheetId="3">[24]!K_1</definedName>
    <definedName name="K_1" localSheetId="6">[24]!K_1</definedName>
    <definedName name="K_1" localSheetId="5">[24]!K_1</definedName>
    <definedName name="K_1" localSheetId="7">[24]!K_1</definedName>
    <definedName name="K_1" localSheetId="8">[24]!K_1</definedName>
    <definedName name="K_1" localSheetId="0">[24]!K_1</definedName>
    <definedName name="K_1" localSheetId="4">[24]!K_1</definedName>
    <definedName name="K_1">[24]!K_1</definedName>
    <definedName name="K_2" localSheetId="1">[24]!K_2</definedName>
    <definedName name="K_2" localSheetId="3">[24]!K_2</definedName>
    <definedName name="K_2" localSheetId="6">[24]!K_2</definedName>
    <definedName name="K_2" localSheetId="5">[24]!K_2</definedName>
    <definedName name="K_2" localSheetId="7">[24]!K_2</definedName>
    <definedName name="K_2" localSheetId="8">[24]!K_2</definedName>
    <definedName name="K_2" localSheetId="0">[24]!K_2</definedName>
    <definedName name="K_2" localSheetId="4">[24]!K_2</definedName>
    <definedName name="K_2">[24]!K_2</definedName>
    <definedName name="KCSCM">#REF!</definedName>
    <definedName name="KVC">#REF!</definedName>
    <definedName name="L">#REF!</definedName>
    <definedName name="Lab_supplies_lists">'[25]List(Add only)'!#REF!</definedName>
    <definedName name="Labsupplieslist">#REF!</definedName>
    <definedName name="lanh_bq">'[4]truc tiep'!#REF!</definedName>
    <definedName name="lanh_bv">'[4]truc tiep'!#REF!</definedName>
    <definedName name="lanh_ck">'[4]truc tiep'!#REF!</definedName>
    <definedName name="lanh_d1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>[18]P3!#REF!</definedName>
    <definedName name="mar">#REF!</definedName>
    <definedName name="mat">[26]Tke!$AD$10:$AR$96</definedName>
    <definedName name="may">#REF!</definedName>
    <definedName name="MPETABLE">#REF!</definedName>
    <definedName name="NCcap0.7">#REF!</definedName>
    <definedName name="NCcap1">#REF!</definedName>
    <definedName name="NOIDUNG">OFFSET([21]NGUON!$H:$H,COUNTA([21]NGUON!$H:$H)-1,0,1)</definedName>
    <definedName name="Nov">#REF!</definedName>
    <definedName name="NToS" localSheetId="1">[27]!NToS</definedName>
    <definedName name="NToS" localSheetId="3">[27]!NToS</definedName>
    <definedName name="NToS" localSheetId="6">[27]!NToS</definedName>
    <definedName name="NToS" localSheetId="5">[27]!NToS</definedName>
    <definedName name="NToS" localSheetId="7">[27]!NToS</definedName>
    <definedName name="NToS" localSheetId="8">[27]!NToS</definedName>
    <definedName name="NToS" localSheetId="0">[27]!NToS</definedName>
    <definedName name="NToS" localSheetId="4">[27]!NToS</definedName>
    <definedName name="NToS">[27]!NToS</definedName>
    <definedName name="NGANHANG">OFFSET([21]NGUON!$F:$F,COUNTIF([21]NGUON!$F:$F,"&lt;&gt;0")-1,0,1)</definedName>
    <definedName name="NGAØY">#REF!</definedName>
    <definedName name="NGAY">OFFSET([21]NGUON!$B:$B,COUNTA([21]NGUON!$B:$B)-1,0,1)</definedName>
    <definedName name="nghi_bq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>#REF!</definedName>
    <definedName name="OneTwoThree">#REF!</definedName>
    <definedName name="oo">[28]Overseas!$B$20:$L$29</definedName>
    <definedName name="ooo">[29]Overseas!$B$20:$L$29</definedName>
    <definedName name="Other_Lab_Supplies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Print_Area_MI">[31]ESTI.!$A$1:$U$52</definedName>
    <definedName name="_xlnm.Print_Titles">#N/A</definedName>
    <definedName name="PHUONG" hidden="1">[9]Sheet1!#REF!</definedName>
    <definedName name="QUYLUONG">'[4]truc tiep'!#REF!</definedName>
    <definedName name="RawMat">[30]RM!$A$2:$D$65</definedName>
    <definedName name="re">#REF!</definedName>
    <definedName name="ree">#REF!</definedName>
    <definedName name="rr">[32]Capex!$B$17:$Y$41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hidden="1">#REF!</definedName>
    <definedName name="sencount" hidden="1">1</definedName>
    <definedName name="Sep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>#REF!</definedName>
    <definedName name="tdtrnc">[16]CHITIET!$G$513</definedName>
    <definedName name="tdtrvl">[16]CHITIET!$G$507</definedName>
    <definedName name="TG">#REF!</definedName>
    <definedName name="TGxayduong">#REF!</definedName>
    <definedName name="TINHTP">OFFSET([21]NGUON!$G:$G,COUNTIF([21]NGUON!$G:$G,"&lt;&gt;0")-1,0,1)</definedName>
    <definedName name="tluong">#REF!</definedName>
    <definedName name="tnh_bq">'[4]truc tiep'!#REF!</definedName>
    <definedName name="tnh_bv">'[4]truc tiep'!#REF!</definedName>
    <definedName name="tnh_ck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>#REF!</definedName>
    <definedName name="TSSlist">#REF!</definedName>
    <definedName name="ttbt">#REF!</definedName>
    <definedName name="ttt">'[1]CT Thang Mo'!$B$309:$M$309</definedName>
    <definedName name="tttb">'[1]CT Thang Mo'!$B$431:$I$431</definedName>
    <definedName name="thgian_bq">'[4]truc tiep'!#REF!</definedName>
    <definedName name="thgian_bv">'[4]truc tiep'!#REF!</definedName>
    <definedName name="thgian_ck">'[4]truc tiep'!#REF!</definedName>
    <definedName name="thgian_d1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hidden="1">[9]Sheet1!#REF!</definedName>
    <definedName name="vc3.">'[1]CT  PL'!$B$125:$H$125</definedName>
    <definedName name="vca">'[1]CT  PL'!$B$25:$H$25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>#REF!</definedName>
    <definedName name="VLcap1">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70" l="1"/>
  <c r="B28" i="69"/>
  <c r="C26" i="62"/>
  <c r="D26" i="62"/>
  <c r="E26" i="62"/>
  <c r="F26" i="62"/>
  <c r="G26" i="62"/>
  <c r="H26" i="62"/>
  <c r="I26" i="62"/>
  <c r="J26" i="62"/>
  <c r="K26" i="62"/>
  <c r="L26" i="62"/>
  <c r="M26" i="62"/>
  <c r="C27" i="62"/>
  <c r="D27" i="62"/>
  <c r="E27" i="62"/>
  <c r="F27" i="62"/>
  <c r="G27" i="62"/>
  <c r="H27" i="62"/>
  <c r="I27" i="62"/>
  <c r="J27" i="62"/>
  <c r="K27" i="62"/>
  <c r="L27" i="62"/>
  <c r="M27" i="62"/>
  <c r="N30" i="69"/>
  <c r="N30" i="70"/>
  <c r="N30" i="71"/>
  <c r="N30" i="73"/>
  <c r="M35" i="57" l="1"/>
  <c r="F36" i="57" l="1"/>
  <c r="J36" i="57"/>
  <c r="N27" i="70" l="1"/>
  <c r="H29" i="59"/>
  <c r="G35" i="57"/>
  <c r="N32" i="61"/>
  <c r="N30" i="61"/>
  <c r="F29" i="61"/>
  <c r="D35" i="57"/>
  <c r="G36" i="57"/>
  <c r="C29" i="59"/>
  <c r="D29" i="59"/>
  <c r="E29" i="59"/>
  <c r="F29" i="59"/>
  <c r="G29" i="59"/>
  <c r="I29" i="59"/>
  <c r="J29" i="59"/>
  <c r="K29" i="59"/>
  <c r="L29" i="59"/>
  <c r="M29" i="59"/>
  <c r="B29" i="59"/>
  <c r="B32" i="59"/>
  <c r="C31" i="59"/>
  <c r="D31" i="59"/>
  <c r="E31" i="59"/>
  <c r="F31" i="59"/>
  <c r="G31" i="59"/>
  <c r="H31" i="59"/>
  <c r="H38" i="57" s="1"/>
  <c r="I31" i="59"/>
  <c r="J31" i="59"/>
  <c r="J38" i="57" s="1"/>
  <c r="K31" i="59"/>
  <c r="K38" i="57" s="1"/>
  <c r="L31" i="59"/>
  <c r="L38" i="57" s="1"/>
  <c r="M31" i="59"/>
  <c r="M38" i="57" s="1"/>
  <c r="B31" i="59"/>
  <c r="N31" i="59" s="1"/>
  <c r="B29" i="61"/>
  <c r="C32" i="61"/>
  <c r="D32" i="61"/>
  <c r="E32" i="61"/>
  <c r="F32" i="61"/>
  <c r="G32" i="61"/>
  <c r="H32" i="61"/>
  <c r="I32" i="61"/>
  <c r="J32" i="61"/>
  <c r="K32" i="61"/>
  <c r="L32" i="61"/>
  <c r="M32" i="61"/>
  <c r="B32" i="61"/>
  <c r="C31" i="61"/>
  <c r="C38" i="57" s="1"/>
  <c r="D31" i="61"/>
  <c r="E31" i="61"/>
  <c r="E38" i="57" s="1"/>
  <c r="F31" i="61"/>
  <c r="G31" i="61"/>
  <c r="H31" i="61"/>
  <c r="I31" i="61"/>
  <c r="J31" i="61"/>
  <c r="K31" i="61"/>
  <c r="L31" i="61"/>
  <c r="M31" i="61"/>
  <c r="B31" i="61"/>
  <c r="B28" i="68"/>
  <c r="B31" i="68"/>
  <c r="C30" i="68"/>
  <c r="D30" i="68"/>
  <c r="E30" i="68"/>
  <c r="F30" i="68"/>
  <c r="G30" i="68"/>
  <c r="H30" i="68"/>
  <c r="I30" i="68"/>
  <c r="J30" i="68"/>
  <c r="K30" i="68"/>
  <c r="L30" i="68"/>
  <c r="M30" i="68"/>
  <c r="B30" i="68"/>
  <c r="J32" i="59"/>
  <c r="K32" i="59"/>
  <c r="L32" i="59"/>
  <c r="M32" i="59"/>
  <c r="I29" i="61"/>
  <c r="I32" i="59"/>
  <c r="H32" i="59"/>
  <c r="G29" i="61"/>
  <c r="G32" i="59"/>
  <c r="F32" i="59"/>
  <c r="E32" i="59"/>
  <c r="D29" i="62"/>
  <c r="F29" i="62"/>
  <c r="G29" i="62"/>
  <c r="H29" i="62"/>
  <c r="I29" i="62"/>
  <c r="J29" i="62"/>
  <c r="K29" i="62"/>
  <c r="L29" i="62"/>
  <c r="M29" i="62"/>
  <c r="E29" i="62"/>
  <c r="D32" i="59"/>
  <c r="D29" i="61"/>
  <c r="E29" i="61"/>
  <c r="H29" i="61"/>
  <c r="J29" i="61"/>
  <c r="K29" i="61"/>
  <c r="L29" i="61"/>
  <c r="M29" i="61"/>
  <c r="D31" i="68"/>
  <c r="E31" i="68"/>
  <c r="F31" i="68"/>
  <c r="G31" i="68"/>
  <c r="H31" i="68"/>
  <c r="I31" i="68"/>
  <c r="J31" i="68"/>
  <c r="K31" i="68"/>
  <c r="L31" i="68"/>
  <c r="M31" i="68"/>
  <c r="D28" i="68"/>
  <c r="E28" i="68"/>
  <c r="F28" i="68"/>
  <c r="G28" i="68"/>
  <c r="H28" i="68"/>
  <c r="I28" i="68"/>
  <c r="J28" i="68"/>
  <c r="K28" i="68"/>
  <c r="L28" i="68"/>
  <c r="M28" i="68"/>
  <c r="C29" i="61"/>
  <c r="C28" i="68"/>
  <c r="C36" i="57"/>
  <c r="D36" i="57"/>
  <c r="E36" i="57"/>
  <c r="M36" i="57"/>
  <c r="C31" i="68"/>
  <c r="C29" i="62"/>
  <c r="C32" i="59"/>
  <c r="C28" i="62"/>
  <c r="D28" i="62"/>
  <c r="E28" i="62"/>
  <c r="F28" i="62"/>
  <c r="G28" i="62"/>
  <c r="H28" i="62"/>
  <c r="I28" i="62"/>
  <c r="J28" i="62"/>
  <c r="K28" i="62"/>
  <c r="L28" i="62"/>
  <c r="M28" i="62"/>
  <c r="B28" i="62"/>
  <c r="N29" i="73"/>
  <c r="N27" i="73"/>
  <c r="N28" i="73"/>
  <c r="B26" i="62"/>
  <c r="B29" i="62"/>
  <c r="N27" i="71"/>
  <c r="N29" i="69"/>
  <c r="N29" i="70"/>
  <c r="N29" i="71"/>
  <c r="B27" i="62"/>
  <c r="B36" i="57" s="1"/>
  <c r="N28" i="71"/>
  <c r="N27" i="69"/>
  <c r="N28" i="70"/>
  <c r="H35" i="57"/>
  <c r="I35" i="57"/>
  <c r="J35" i="57"/>
  <c r="K35" i="57"/>
  <c r="L35" i="57"/>
  <c r="N28" i="69"/>
  <c r="E35" i="57"/>
  <c r="C35" i="57"/>
  <c r="B35" i="57"/>
  <c r="N29" i="68"/>
  <c r="W23" i="68"/>
  <c r="W3" i="68"/>
  <c r="W6" i="68"/>
  <c r="W25" i="61"/>
  <c r="W3" i="61"/>
  <c r="W6" i="61"/>
  <c r="N30" i="59"/>
  <c r="W23" i="59"/>
  <c r="W3" i="59"/>
  <c r="W6" i="59"/>
  <c r="W23" i="57"/>
  <c r="W3" i="57"/>
  <c r="W6" i="57"/>
  <c r="F39" i="57"/>
  <c r="N32" i="59"/>
  <c r="N29" i="62"/>
  <c r="N31" i="68"/>
  <c r="D39" i="57" l="1"/>
  <c r="B37" i="57"/>
  <c r="E37" i="57"/>
  <c r="C37" i="57"/>
  <c r="G38" i="57"/>
  <c r="F38" i="57"/>
  <c r="E39" i="57"/>
  <c r="G39" i="57"/>
  <c r="N31" i="61"/>
  <c r="F35" i="57"/>
  <c r="F37" i="57" s="1"/>
  <c r="B38" i="57"/>
  <c r="G37" i="57"/>
  <c r="C39" i="57"/>
  <c r="D37" i="57"/>
  <c r="I38" i="57"/>
  <c r="D38" i="57"/>
  <c r="B39" i="57"/>
  <c r="N28" i="62"/>
  <c r="N30" i="68"/>
  <c r="H36" i="57"/>
  <c r="H37" i="57" s="1"/>
  <c r="I36" i="57"/>
  <c r="I37" i="57" s="1"/>
  <c r="M39" i="57"/>
  <c r="M37" i="57"/>
  <c r="L36" i="57"/>
  <c r="L37" i="57" s="1"/>
  <c r="L39" i="57"/>
  <c r="K36" i="57"/>
  <c r="K37" i="57" s="1"/>
  <c r="K39" i="57"/>
  <c r="J37" i="57"/>
  <c r="J39" i="57"/>
  <c r="N28" i="68"/>
  <c r="I39" i="57"/>
  <c r="N29" i="61"/>
  <c r="N39" i="57"/>
  <c r="H39" i="57"/>
  <c r="N29" i="59"/>
  <c r="N27" i="62"/>
  <c r="N36" i="57" s="1"/>
  <c r="N35" i="57" l="1"/>
  <c r="N37" i="57" s="1"/>
  <c r="N38" i="57"/>
  <c r="N26" i="62"/>
</calcChain>
</file>

<file path=xl/sharedStrings.xml><?xml version="1.0" encoding="utf-8"?>
<sst xmlns="http://schemas.openxmlformats.org/spreadsheetml/2006/main" count="186" uniqueCount="34">
  <si>
    <t>T1</t>
  </si>
  <si>
    <t>T2</t>
  </si>
  <si>
    <t>T3</t>
  </si>
  <si>
    <t>T4</t>
  </si>
  <si>
    <t>T5</t>
  </si>
  <si>
    <t>T6</t>
  </si>
  <si>
    <t>T8</t>
  </si>
  <si>
    <t>T7</t>
  </si>
  <si>
    <t>T9</t>
  </si>
  <si>
    <t>T10</t>
  </si>
  <si>
    <t>T11</t>
  </si>
  <si>
    <t>BTP PET</t>
  </si>
  <si>
    <t>Chai PET</t>
  </si>
  <si>
    <t>Vảy PET</t>
  </si>
  <si>
    <t>Tổng</t>
  </si>
  <si>
    <t>BTP HD</t>
  </si>
  <si>
    <t>Vảy HD</t>
  </si>
  <si>
    <t>RPET</t>
  </si>
  <si>
    <t>T12</t>
  </si>
  <si>
    <t>Lũy kế</t>
  </si>
  <si>
    <t>RHDPE</t>
  </si>
  <si>
    <t>SL Bán</t>
  </si>
  <si>
    <t>Tổng mua</t>
  </si>
  <si>
    <t>Tổng bán</t>
  </si>
  <si>
    <t>Chênh lệch mua so với bán</t>
  </si>
  <si>
    <t>SL SX</t>
  </si>
  <si>
    <t>SL Bán dự báo</t>
  </si>
  <si>
    <t>Mua vô</t>
  </si>
  <si>
    <t>Dự báo</t>
  </si>
  <si>
    <t>Bán thực tế</t>
  </si>
  <si>
    <t>Tồn kho TP</t>
  </si>
  <si>
    <t>Tổng tồn TP</t>
  </si>
  <si>
    <t>Tồn TP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</si>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</sst>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_(* #,##0_);_(* \(#,##0\);_(* &quot;-&quot;??_);_(@_)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0\ _₫_-;\-* #,##0.0000\ _₫_-;_-* &quot;-&quot;??\ _₫_-;_-@_-"/>
    <numFmt numFmtId="171" formatCode="_-* #,##0.0000_-;\-* #,##0.0000_-;_-* &quot;-&quot;??_-;_-@_-"/>
    <numFmt numFmtId="172" formatCode="0.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.VnArial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segoe UI"/>
      <family val="2"/>
      <charset val="163"/>
    </font>
    <font>
      <b/>
      <i/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  <charset val="163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0000FF"/>
      <name val="segoe UI"/>
      <family val="2"/>
      <charset val="163"/>
    </font>
    <font>
      <b/>
      <sz val="11"/>
      <color rgb="FF0000FF"/>
      <name val="Calibri"/>
      <family val="2"/>
      <charset val="163"/>
      <scheme val="minor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6"/>
      <color theme="1"/>
      <name val="segoe UI"/>
      <family val="2"/>
      <charset val="163"/>
    </font>
    <font>
      <sz val="8"/>
      <color theme="1"/>
      <name val="segoe UI"/>
      <family val="2"/>
      <charset val="163"/>
    </font>
    <font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8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166" fontId="3" fillId="0" borderId="0" xfId="1" applyNumberFormat="1" applyFont="1"/>
    <xf numFmtId="0" fontId="8" fillId="0" borderId="0" xfId="7"/>
    <xf numFmtId="0" fontId="4" fillId="0" borderId="1" xfId="7" applyFont="1" applyBorder="1"/>
    <xf numFmtId="167" fontId="4" fillId="0" borderId="1" xfId="8" applyNumberFormat="1" applyFont="1" applyBorder="1"/>
    <xf numFmtId="0" fontId="6" fillId="0" borderId="1" xfId="7" applyFont="1" applyBorder="1"/>
    <xf numFmtId="167" fontId="6" fillId="0" borderId="1" xfId="8" applyNumberFormat="1" applyFont="1" applyBorder="1"/>
    <xf numFmtId="0" fontId="9" fillId="0" borderId="0" xfId="7" applyFont="1" applyAlignment="1">
      <alignment horizontal="right" wrapText="1" indent="1"/>
    </xf>
    <xf numFmtId="166" fontId="10" fillId="0" borderId="0" xfId="7" applyNumberFormat="1" applyFont="1"/>
    <xf numFmtId="167" fontId="0" fillId="0" borderId="0" xfId="8" applyNumberFormat="1" applyFont="1"/>
    <xf numFmtId="0" fontId="8" fillId="0" borderId="1" xfId="7" applyBorder="1"/>
    <xf numFmtId="167" fontId="0" fillId="0" borderId="1" xfId="8" applyNumberFormat="1" applyFont="1" applyBorder="1"/>
    <xf numFmtId="0" fontId="11" fillId="0" borderId="1" xfId="7" applyFont="1" applyBorder="1"/>
    <xf numFmtId="167" fontId="11" fillId="0" borderId="1" xfId="8" applyNumberFormat="1" applyFont="1" applyBorder="1"/>
    <xf numFmtId="167" fontId="0" fillId="0" borderId="0" xfId="8" applyNumberFormat="1" applyFont="1" applyBorder="1"/>
    <xf numFmtId="0" fontId="11" fillId="2" borderId="1" xfId="7" applyFont="1" applyFill="1" applyBorder="1" applyAlignment="1">
      <alignment horizontal="center" vertical="center"/>
    </xf>
    <xf numFmtId="0" fontId="11" fillId="3" borderId="1" xfId="7" applyFont="1" applyFill="1" applyBorder="1" applyAlignment="1">
      <alignment horizontal="center" vertical="center"/>
    </xf>
    <xf numFmtId="0" fontId="12" fillId="0" borderId="1" xfId="7" applyFont="1" applyBorder="1" applyAlignment="1">
      <alignment horizontal="left" indent="1"/>
    </xf>
    <xf numFmtId="167" fontId="12" fillId="0" borderId="1" xfId="8" applyNumberFormat="1" applyFont="1" applyFill="1" applyBorder="1"/>
    <xf numFmtId="167" fontId="10" fillId="0" borderId="1" xfId="8" applyNumberFormat="1" applyFont="1" applyFill="1" applyBorder="1"/>
    <xf numFmtId="167" fontId="8" fillId="0" borderId="0" xfId="7" applyNumberFormat="1"/>
    <xf numFmtId="0" fontId="6" fillId="3" borderId="1" xfId="7" applyFont="1" applyFill="1" applyBorder="1" applyAlignment="1">
      <alignment horizontal="center" vertical="center"/>
    </xf>
    <xf numFmtId="0" fontId="3" fillId="0" borderId="1" xfId="0" applyFont="1" applyBorder="1"/>
    <xf numFmtId="167" fontId="3" fillId="0" borderId="1" xfId="9" applyNumberFormat="1" applyFont="1" applyBorder="1"/>
    <xf numFmtId="0" fontId="13" fillId="0" borderId="0" xfId="7" applyFont="1"/>
    <xf numFmtId="167" fontId="13" fillId="0" borderId="0" xfId="7" applyNumberFormat="1" applyFont="1"/>
    <xf numFmtId="167" fontId="14" fillId="0" borderId="0" xfId="7" applyNumberFormat="1" applyFont="1"/>
    <xf numFmtId="167" fontId="15" fillId="0" borderId="0" xfId="8" applyNumberFormat="1" applyFont="1"/>
    <xf numFmtId="167" fontId="3" fillId="0" borderId="0" xfId="0" applyNumberFormat="1" applyFont="1"/>
    <xf numFmtId="0" fontId="16" fillId="0" borderId="0" xfId="7" applyFont="1"/>
    <xf numFmtId="167" fontId="16" fillId="0" borderId="0" xfId="7" applyNumberFormat="1" applyFont="1"/>
    <xf numFmtId="167" fontId="17" fillId="0" borderId="0" xfId="8" applyNumberFormat="1" applyFont="1"/>
    <xf numFmtId="0" fontId="11" fillId="0" borderId="0" xfId="7" applyFont="1"/>
    <xf numFmtId="0" fontId="7" fillId="0" borderId="0" xfId="0" applyFont="1" applyAlignment="1">
      <alignment horizontal="center"/>
    </xf>
    <xf numFmtId="1" fontId="3" fillId="0" borderId="0" xfId="0" applyNumberFormat="1" applyFont="1"/>
    <xf numFmtId="9" fontId="3" fillId="0" borderId="0" xfId="5" applyFont="1"/>
    <xf numFmtId="167" fontId="3" fillId="0" borderId="1" xfId="9" applyNumberFormat="1" applyFont="1" applyFill="1" applyBorder="1"/>
    <xf numFmtId="4" fontId="3" fillId="0" borderId="0" xfId="0" applyNumberFormat="1" applyFont="1"/>
    <xf numFmtId="1" fontId="13" fillId="0" borderId="0" xfId="7" applyNumberFormat="1" applyFont="1"/>
    <xf numFmtId="167" fontId="18" fillId="0" borderId="0" xfId="7" applyNumberFormat="1" applyFont="1"/>
    <xf numFmtId="3" fontId="8" fillId="0" borderId="0" xfId="7" applyNumberFormat="1"/>
    <xf numFmtId="4" fontId="8" fillId="0" borderId="0" xfId="7" applyNumberFormat="1"/>
    <xf numFmtId="167" fontId="11" fillId="0" borderId="0" xfId="8" applyNumberFormat="1" applyFont="1" applyBorder="1"/>
    <xf numFmtId="0" fontId="12" fillId="0" borderId="1" xfId="7" applyFont="1" applyBorder="1"/>
    <xf numFmtId="10" fontId="3" fillId="0" borderId="0" xfId="5" applyNumberFormat="1" applyFont="1"/>
    <xf numFmtId="165" fontId="8" fillId="0" borderId="0" xfId="7" applyNumberFormat="1"/>
    <xf numFmtId="4" fontId="21" fillId="0" borderId="0" xfId="7" applyNumberFormat="1" applyFont="1"/>
    <xf numFmtId="9" fontId="8" fillId="0" borderId="0" xfId="5" applyFont="1" applyBorder="1"/>
    <xf numFmtId="9" fontId="8" fillId="0" borderId="0" xfId="7" applyNumberFormat="1"/>
    <xf numFmtId="167" fontId="22" fillId="0" borderId="1" xfId="8" applyNumberFormat="1" applyFont="1" applyBorder="1"/>
    <xf numFmtId="165" fontId="23" fillId="0" borderId="0" xfId="7" applyNumberFormat="1" applyFont="1"/>
    <xf numFmtId="168" fontId="8" fillId="0" borderId="0" xfId="7" applyNumberFormat="1"/>
    <xf numFmtId="165" fontId="24" fillId="0" borderId="0" xfId="7" applyNumberFormat="1" applyFont="1"/>
    <xf numFmtId="3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9" fontId="3" fillId="0" borderId="0" xfId="5" applyFont="1" applyBorder="1"/>
    <xf numFmtId="165" fontId="3" fillId="0" borderId="0" xfId="0" applyNumberFormat="1" applyFont="1"/>
    <xf numFmtId="171" fontId="8" fillId="0" borderId="0" xfId="7" applyNumberFormat="1"/>
    <xf numFmtId="3" fontId="8" fillId="0" borderId="0" xfId="7" applyNumberFormat="1" applyAlignment="1">
      <alignment wrapText="1"/>
    </xf>
    <xf numFmtId="9" fontId="8" fillId="0" borderId="0" xfId="5" applyFont="1"/>
    <xf numFmtId="166" fontId="8" fillId="0" borderId="0" xfId="1" applyNumberFormat="1" applyFont="1"/>
    <xf numFmtId="0" fontId="25" fillId="0" borderId="0" xfId="0" applyFont="1"/>
    <xf numFmtId="166" fontId="3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23" fillId="0" borderId="0" xfId="1" applyNumberFormat="1" applyFont="1"/>
    <xf numFmtId="41" fontId="8" fillId="0" borderId="0" xfId="14" applyFont="1"/>
    <xf numFmtId="41" fontId="23" fillId="0" borderId="0" xfId="14" applyFont="1"/>
    <xf numFmtId="41" fontId="3" fillId="0" borderId="0" xfId="14" applyFont="1"/>
    <xf numFmtId="172" fontId="3" fillId="0" borderId="0" xfId="5" applyNumberFormat="1" applyFont="1"/>
  </cellXfs>
  <cellStyles count="15">
    <cellStyle name="Comma" xfId="1" builtinId="3"/>
    <cellStyle name="Comma [0]" xfId="14" builtinId="6"/>
    <cellStyle name="Comma 2" xfId="3" xr:uid="{194E7761-03A8-44F9-BB05-263B1C78CC73}"/>
    <cellStyle name="Comma 2 2" xfId="8" xr:uid="{B070CB0A-E990-438F-9A05-4D2B8B00BB61}"/>
    <cellStyle name="Comma 3" xfId="9" xr:uid="{C6CF9922-71FF-4B02-ABBC-976A0C2F44D2}"/>
    <cellStyle name="Comma 4" xfId="13" xr:uid="{41706825-7D02-4CED-A836-0572959B3845}"/>
    <cellStyle name="Normal" xfId="0" builtinId="0"/>
    <cellStyle name="Normal 10" xfId="6" xr:uid="{71E9BD72-641B-468E-ADC3-E2C0EE31EE9B}"/>
    <cellStyle name="Normal 2" xfId="2" xr:uid="{991F7F03-A84D-4AE6-9014-83531200038C}"/>
    <cellStyle name="Normal 2 2" xfId="7" xr:uid="{CF5ABDB8-0502-48EC-812C-10BF2A0C0E15}"/>
    <cellStyle name="Normal 3" xfId="10" xr:uid="{F5403120-556B-402E-80FC-9E4945468064}"/>
    <cellStyle name="Normal 4" xfId="11" xr:uid="{13C362C1-B5D5-4B5C-98B0-B146F8EF7A73}"/>
    <cellStyle name="Normal 5" xfId="12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6600"/>
      <color rgb="FFFF3399"/>
      <color rgb="FFFFCC00"/>
      <color rgb="FF84ACE8"/>
      <color rgb="FF0000FF"/>
      <color rgb="FFFF5050"/>
      <color rgb="FF639D69"/>
      <color rgb="FF2CD8D4"/>
      <color rgb="FFCCCC00"/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400" b="1" i="0" u="none" strike="noStrike" kern="1200" spc="0" baseline="0">
                <a:solidFill>
                  <a:srgbClr val="0000FF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rgbClr val="0000FF"/>
                </a:solidFill>
                <a:effectLst/>
              </a:rPr>
              <a:t>SẢN LƯỢNG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MUA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 SO VỚI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BÁN</a:t>
            </a:r>
            <a:r>
              <a:rPr lang="en-US" sz="2400" b="1" i="0" baseline="0">
                <a:solidFill>
                  <a:srgbClr val="0000FF"/>
                </a:solidFill>
                <a:effectLst/>
              </a:rPr>
              <a:t>-NĂM 2026 (TẤN) </a:t>
            </a:r>
            <a:endParaRPr lang="en-US" sz="2400" b="1">
              <a:solidFill>
                <a:srgbClr val="0000FF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400" b="1" i="0" u="none" strike="noStrike" kern="1200" spc="0" baseline="0">
              <a:solidFill>
                <a:srgbClr val="0000FF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97127380792358E-2"/>
          <c:y val="0.11264986998776841"/>
          <c:w val="0.84903188289513898"/>
          <c:h val="0.821108379730017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'Tổng mua và bán'!$A$35</c:f>
              <c:strCache>
                <c:ptCount val="1"/>
                <c:pt idx="0">
                  <c:v>Tổng mua</c:v>
                </c:pt>
              </c:strCache>
            </c:strRef>
          </c:tx>
          <c:spPr>
            <a:solidFill>
              <a:srgbClr val="00B0F0">
                <a:alpha val="80000"/>
              </a:srgbClr>
            </a:solidFill>
            <a:ln w="508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7"/>
              <c:layout>
                <c:manualLayout>
                  <c:x val="-7.7756865738821367E-3"/>
                  <c:y val="4.17179309455133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C9-4E90-8C51-D120EC36E6B8}"/>
                </c:ext>
              </c:extLst>
            </c:dLbl>
            <c:dLbl>
              <c:idx val="8"/>
              <c:layout>
                <c:manualLayout>
                  <c:x val="-1.926528530343824E-3"/>
                  <c:y val="3.84938094625723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BB-478C-954A-EF81AE25DD3D}"/>
                </c:ext>
              </c:extLst>
            </c:dLbl>
            <c:dLbl>
              <c:idx val="11"/>
              <c:layout>
                <c:manualLayout>
                  <c:x val="-8.3310927577307722E-3"/>
                  <c:y val="3.090623656216952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63-4326-BBF4-D2520563E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bán'!$B$35:$N$35</c:f>
              <c:numCache>
                <c:formatCode>_-* #,##0_-;\-* #,##0_-;_-* "-"??_-;_-@_-</c:formatCode>
                <c:ptCount val="13"/>
                <c:pt idx="0">
                  <c:v>972.87652000000003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972.87652000000003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DB-4FE7-BB00-A7E025FF45DF}"/>
            </c:ext>
          </c:extLst>
        </c:ser>
        <c:ser>
          <c:idx val="3"/>
          <c:order val="1"/>
          <c:tx>
            <c:strRef>
              <c:f>'Tổng mua và bán'!$A$38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bán'!$B$38:$N$38</c:f>
              <c:numCache>
                <c:formatCode>_-* #,##0_-;\-* #,##0_-;_-* "-"??_-;_-@_-</c:formatCode>
                <c:ptCount val="13"/>
                <c:pt idx="0">
                  <c:v>4307.2229326761371</c:v>
                </c:pt>
                <c:pt idx="1">
                  <c:v>4242.3145678240326</c:v>
                </c:pt>
                <c:pt idx="2">
                  <c:v>4667.5574034757392</c:v>
                </c:pt>
                <c:pt idx="3">
                  <c:v>4383.231518676721</c:v>
                </c:pt>
                <c:pt idx="4">
                  <c:v>4652.4364391825357</c:v>
                </c:pt>
                <c:pt idx="5">
                  <c:v>4680.9521822275929</c:v>
                </c:pt>
                <c:pt idx="6">
                  <c:v>4678.4225169732681</c:v>
                </c:pt>
                <c:pt idx="7">
                  <c:v>4551.8494989087394</c:v>
                </c:pt>
                <c:pt idx="8">
                  <c:v>4763.6231018888848</c:v>
                </c:pt>
                <c:pt idx="9">
                  <c:v>4457.6262974285746</c:v>
                </c:pt>
                <c:pt idx="10">
                  <c:v>4709.2431243544625</c:v>
                </c:pt>
                <c:pt idx="11">
                  <c:v>4773.5204185700313</c:v>
                </c:pt>
                <c:pt idx="12">
                  <c:v>54868.000002186731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9-4E90-8C51-D120EC36E6B8}"/>
            </c:ext>
          </c:extLst>
        </c:ser>
        <c:ser>
          <c:idx val="2"/>
          <c:order val="2"/>
          <c:tx>
            <c:strRef>
              <c:f>'Tổng mua và bán'!$A$36</c:f>
              <c:strCache>
                <c:ptCount val="1"/>
                <c:pt idx="0">
                  <c:v>Tổng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381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8"/>
              <c:layout>
                <c:manualLayout>
                  <c:x val="3.5887986030703552E-3"/>
                  <c:y val="8.81460468124840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BB-478C-954A-EF81AE25DD3D}"/>
                </c:ext>
              </c:extLst>
            </c:dLbl>
            <c:dLbl>
              <c:idx val="11"/>
              <c:layout>
                <c:manualLayout>
                  <c:x val="-8.4195857083874603E-4"/>
                  <c:y val="5.87215338526222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63-4326-BBF4-D2520563E011}"/>
                </c:ext>
              </c:extLst>
            </c:dLbl>
            <c:dLbl>
              <c:idx val="12"/>
              <c:layout>
                <c:manualLayout>
                  <c:x val="0"/>
                  <c:y val="6.18126451185838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DB-4FE7-BB00-A7E025FF45D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mua và bán'!$B$34:$N$34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mua và bán'!$B$36:$N$36</c:f>
              <c:numCache>
                <c:formatCode>_-* #,##0_-;\-* #,##0_-;_-* "-"??_-;_-@_-</c:formatCode>
                <c:ptCount val="13"/>
                <c:pt idx="0">
                  <c:v>1296.7750000000001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1296.7750000000001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DB-4FE7-BB00-A7E025FF45DF}"/>
            </c:ext>
          </c:extLst>
        </c:ser>
        <c:ser>
          <c:idx val="0"/>
          <c:order val="3"/>
          <c:tx>
            <c:strRef>
              <c:f>'Tổng mua và bán'!$A$39</c:f>
              <c:strCache>
                <c:ptCount val="1"/>
                <c:pt idx="0">
                  <c:v>Tổng tồn TP</c:v>
                </c:pt>
              </c:strCache>
            </c:strRef>
          </c:tx>
          <c:spPr>
            <a:solidFill>
              <a:srgbClr val="FF6600"/>
            </a:solidFill>
            <a:ln w="63500"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2.2216247353947097E-3"/>
                  <c:y val="5.1765288032047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C9-4E90-8C51-D120EC36E6B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5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mua và bán'!$B$39:$N$39</c:f>
              <c:numCache>
                <c:formatCode>_-* #,##0_-;\-* #,##0_-;_-* "-"??_-;_-@_-</c:formatCode>
                <c:ptCount val="13"/>
                <c:pt idx="0">
                  <c:v>11005.27195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11005.27195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B-490F-868A-0C93F2C7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5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16288602697757"/>
          <c:y val="0.16242727379027561"/>
          <c:w val="0.1038326175445029"/>
          <c:h val="0.47426415795094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 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 </a:t>
            </a:r>
          </a:p>
        </c:rich>
      </c:tx>
      <c:layout>
        <c:manualLayout>
          <c:xMode val="edge"/>
          <c:yMode val="edge"/>
          <c:x val="0.26603200439226593"/>
          <c:y val="1.3733026750522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92330697014924E-2"/>
          <c:y val="0.14867457473853971"/>
          <c:w val="0.86229417648039308"/>
          <c:h val="0.711849250127221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 PET'!$A$30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PET'!$B$30:$N$30</c:f>
              <c:numCache>
                <c:formatCode>_-* #,##0_-;\-* #,##0_-;_-* "-"??_-;_-@_-</c:formatCode>
                <c:ptCount val="13"/>
                <c:pt idx="0">
                  <c:v>969.09652000000006</c:v>
                </c:pt>
                <c:pt idx="12">
                  <c:v>969.09652000000006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6-42F3-ADD3-A27FAB974ADD}"/>
            </c:ext>
          </c:extLst>
        </c:ser>
        <c:ser>
          <c:idx val="2"/>
          <c:order val="1"/>
          <c:tx>
            <c:strRef>
              <c:f>'Mua-bán PET'!$A$31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PET'!$B$31:$N$31</c:f>
              <c:numCache>
                <c:formatCode>_-* #,##0_-;\-* #,##0_-;_-* "-"??_-;_-@_-</c:formatCode>
                <c:ptCount val="13"/>
                <c:pt idx="0">
                  <c:v>3841.2229326761376</c:v>
                </c:pt>
                <c:pt idx="1">
                  <c:v>3741.3145678240321</c:v>
                </c:pt>
                <c:pt idx="2">
                  <c:v>3959.5574034757396</c:v>
                </c:pt>
                <c:pt idx="3">
                  <c:v>3860.231518676721</c:v>
                </c:pt>
                <c:pt idx="4">
                  <c:v>4120.4364391825357</c:v>
                </c:pt>
                <c:pt idx="5">
                  <c:v>3935.9521822275933</c:v>
                </c:pt>
                <c:pt idx="6">
                  <c:v>4094.4225169732681</c:v>
                </c:pt>
                <c:pt idx="7">
                  <c:v>3954.8494989087399</c:v>
                </c:pt>
                <c:pt idx="8">
                  <c:v>3959.6231018888843</c:v>
                </c:pt>
                <c:pt idx="9">
                  <c:v>3836.6262974285742</c:v>
                </c:pt>
                <c:pt idx="10">
                  <c:v>4103.2431243544625</c:v>
                </c:pt>
                <c:pt idx="11">
                  <c:v>3978.5204185700309</c:v>
                </c:pt>
                <c:pt idx="12">
                  <c:v>47386.000002186716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6-42F3-ADD3-A27FAB974ADD}"/>
            </c:ext>
          </c:extLst>
        </c:ser>
        <c:ser>
          <c:idx val="0"/>
          <c:order val="2"/>
          <c:tx>
            <c:strRef>
              <c:f>'Mua-bán PET'!$A$29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PET'!$B$28:$N$28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PET'!$B$29:$N$29</c:f>
              <c:numCache>
                <c:formatCode>_-* #,##0_-;\-* #,##0_-;_-* "-"??_-;_-@_-</c:formatCode>
                <c:ptCount val="13"/>
                <c:pt idx="0">
                  <c:v>1142.9000000000001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1142.9000000000001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6-42F3-ADD3-A27FAB974ADD}"/>
            </c:ext>
          </c:extLst>
        </c:ser>
        <c:ser>
          <c:idx val="3"/>
          <c:order val="3"/>
          <c:tx>
            <c:strRef>
              <c:f>'Mua-bán PET'!$A$32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PET'!$B$32:$N$32</c:f>
              <c:numCache>
                <c:formatCode>_-* #,##0_-;\-* #,##0_-;_-* "-"??_-;_-@_-</c:formatCode>
                <c:ptCount val="13"/>
                <c:pt idx="0">
                  <c:v>8110.1344500000005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8110.1344500000005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9-4074-8E2F-9EA67E71C8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111854000267467"/>
          <c:y val="0.30452664810473068"/>
          <c:w val="8.3399714963646038E-2"/>
          <c:h val="0.3350873395617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LƯỢNG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950361024599367E-2"/>
          <c:y val="0.10031708095827303"/>
          <c:w val="0.86109140489445024"/>
          <c:h val="0.83105296723682531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'Mua-bán HD'!$A$30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HD'!$B$30:$N$30</c:f>
              <c:numCache>
                <c:formatCode>_-* #,##0_-;\-* #,##0_-;_-* "-"??_-;_-@_-</c:formatCode>
                <c:ptCount val="13"/>
                <c:pt idx="0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957-94C1-C64CB0A15014}"/>
            </c:ext>
          </c:extLst>
        </c:ser>
        <c:ser>
          <c:idx val="5"/>
          <c:order val="1"/>
          <c:tx>
            <c:strRef>
              <c:f>'Mua-bán HD'!$A$31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2.3065763215228516E-3"/>
                  <c:y val="-8.428606416839269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HD'!$B$31:$N$31</c:f>
              <c:numCache>
                <c:formatCode>_-* #,##0_-;\-* #,##0_-;_-* "-"??_-;_-@_-</c:formatCode>
                <c:ptCount val="13"/>
                <c:pt idx="0">
                  <c:v>394</c:v>
                </c:pt>
                <c:pt idx="1">
                  <c:v>438</c:v>
                </c:pt>
                <c:pt idx="2">
                  <c:v>636</c:v>
                </c:pt>
                <c:pt idx="3">
                  <c:v>460</c:v>
                </c:pt>
                <c:pt idx="4">
                  <c:v>460</c:v>
                </c:pt>
                <c:pt idx="5">
                  <c:v>658</c:v>
                </c:pt>
                <c:pt idx="6">
                  <c:v>512</c:v>
                </c:pt>
                <c:pt idx="7">
                  <c:v>534</c:v>
                </c:pt>
                <c:pt idx="8">
                  <c:v>732</c:v>
                </c:pt>
                <c:pt idx="9">
                  <c:v>534</c:v>
                </c:pt>
                <c:pt idx="10">
                  <c:v>534</c:v>
                </c:pt>
                <c:pt idx="11">
                  <c:v>732</c:v>
                </c:pt>
                <c:pt idx="12">
                  <c:v>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957-94C1-C64CB0A15014}"/>
            </c:ext>
          </c:extLst>
        </c:ser>
        <c:ser>
          <c:idx val="3"/>
          <c:order val="2"/>
          <c:tx>
            <c:strRef>
              <c:f>'Mua-bán HD'!$A$29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1.1532881607613835E-3"/>
                  <c:y val="-2.2987373958599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60-470B-BF51-0E5A5EC15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 HD'!$B$28:$N$28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 HD'!$B$29:$N$29</c:f>
              <c:numCache>
                <c:formatCode>_-* #,##0_-;\-* #,##0_-;_-* "-"??_-;_-@_-</c:formatCode>
                <c:ptCount val="13"/>
                <c:pt idx="0">
                  <c:v>149.375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8-4957-94C1-C64CB0A15014}"/>
            </c:ext>
          </c:extLst>
        </c:ser>
        <c:ser>
          <c:idx val="0"/>
          <c:order val="3"/>
          <c:tx>
            <c:strRef>
              <c:f>'Mua-bán HD'!$A$32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'Mua-bán HD'!$B$32:$N$32</c:f>
              <c:numCache>
                <c:formatCode>_-* #,##0_-;\-* #,##0_-;_-* "-"??_-;_-@_-</c:formatCode>
                <c:ptCount val="13"/>
                <c:pt idx="0">
                  <c:v>2611.9949999999994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2611.9949999999994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0-4574-9063-455F29603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94735"/>
        <c:axId val="1592692655"/>
      </c:barChart>
      <c:catAx>
        <c:axId val="159269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2655"/>
        <c:crosses val="autoZero"/>
        <c:auto val="1"/>
        <c:lblAlgn val="ctr"/>
        <c:lblOffset val="100"/>
        <c:noMultiLvlLbl val="0"/>
      </c:catAx>
      <c:valAx>
        <c:axId val="1592692655"/>
        <c:scaling>
          <c:orientation val="minMax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269473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563948012321938"/>
          <c:y val="0.31604528686302047"/>
          <c:w val="7.8893479672080907E-2"/>
          <c:h val="0.31689820821303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MUA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-NĂM 2026 (TẤN)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16954070760351E-2"/>
          <c:y val="0.16094526412353796"/>
          <c:w val="0.84597374824308191"/>
          <c:h val="0.75132205106643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'Mua-bán-PP'!$A$29</c:f>
              <c:strCache>
                <c:ptCount val="1"/>
                <c:pt idx="0">
                  <c:v>Mua vô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F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'Mua-bán-PP'!$B$29:$N$29</c:f>
              <c:numCache>
                <c:formatCode>_-* #,##0_-;\-* #,##0_-;_-* "-"??_-;_-@_-</c:formatCode>
                <c:ptCount val="13"/>
                <c:pt idx="0">
                  <c:v>3.78</c:v>
                </c:pt>
                <c:pt idx="12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F-47DD-99C2-6ED9B6695E13}"/>
            </c:ext>
          </c:extLst>
        </c:ser>
        <c:ser>
          <c:idx val="2"/>
          <c:order val="1"/>
          <c:tx>
            <c:strRef>
              <c:f>'Mua-bán-PP'!$A$30</c:f>
              <c:strCache>
                <c:ptCount val="1"/>
                <c:pt idx="0">
                  <c:v>Dự báo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'Mua-bán-PP'!$B$30:$N$30</c:f>
              <c:numCache>
                <c:formatCode>_-* #,##0_-;\-* #,##0_-;_-* "-"??_-;_-@_-</c:formatCode>
                <c:ptCount val="13"/>
                <c:pt idx="0">
                  <c:v>72</c:v>
                </c:pt>
                <c:pt idx="1">
                  <c:v>63</c:v>
                </c:pt>
                <c:pt idx="2">
                  <c:v>72</c:v>
                </c:pt>
                <c:pt idx="3">
                  <c:v>63</c:v>
                </c:pt>
                <c:pt idx="4">
                  <c:v>72</c:v>
                </c:pt>
                <c:pt idx="5">
                  <c:v>87</c:v>
                </c:pt>
                <c:pt idx="6">
                  <c:v>72</c:v>
                </c:pt>
                <c:pt idx="7">
                  <c:v>63</c:v>
                </c:pt>
                <c:pt idx="8">
                  <c:v>72</c:v>
                </c:pt>
                <c:pt idx="9">
                  <c:v>87</c:v>
                </c:pt>
                <c:pt idx="10">
                  <c:v>72</c:v>
                </c:pt>
                <c:pt idx="11">
                  <c:v>63</c:v>
                </c:pt>
                <c:pt idx="12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F-47DD-99C2-6ED9B6695E13}"/>
            </c:ext>
          </c:extLst>
        </c:ser>
        <c:ser>
          <c:idx val="0"/>
          <c:order val="2"/>
          <c:tx>
            <c:strRef>
              <c:f>'Mua-bán-PP'!$A$28</c:f>
              <c:strCache>
                <c:ptCount val="1"/>
                <c:pt idx="0">
                  <c:v>Bán thực tế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'Mua-bán-PP'!$B$28:$N$28</c:f>
              <c:numCache>
                <c:formatCode>_-* #,##0_-;\-* #,##0_-;_-* "-"??_-;_-@_-</c:formatCode>
                <c:ptCount val="13"/>
                <c:pt idx="0">
                  <c:v>4.5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7DD-99C2-6ED9B6695E13}"/>
            </c:ext>
          </c:extLst>
        </c:ser>
        <c:ser>
          <c:idx val="3"/>
          <c:order val="3"/>
          <c:tx>
            <c:strRef>
              <c:f>'Mua-bán-PP'!$A$31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'Mua-bán-PP'!$B$27:$N$27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'Mua-bán-PP'!$B$31:$N$31</c:f>
              <c:numCache>
                <c:formatCode>_-* #,##0_-;\-* #,##0_-;_-* "-"??_-;_-@_-</c:formatCode>
                <c:ptCount val="13"/>
                <c:pt idx="0">
                  <c:v>283.14249999999998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283.14249999999998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F-47DD-99C2-6ED9B669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355729728"/>
        <c:axId val="355729248"/>
      </c:barChart>
      <c:catAx>
        <c:axId val="3557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248"/>
        <c:crosses val="autoZero"/>
        <c:auto val="1"/>
        <c:lblAlgn val="ctr"/>
        <c:lblOffset val="100"/>
        <c:noMultiLvlLbl val="0"/>
      </c:catAx>
      <c:valAx>
        <c:axId val="355729248"/>
        <c:scaling>
          <c:orientation val="minMax"/>
          <c:max val="1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57297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57649840512144"/>
          <c:y val="0.26900044994375705"/>
          <c:w val="9.8757779215275149E-2"/>
          <c:h val="0.39542767154105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2026 ( TẤN)</a:t>
            </a:r>
          </a:p>
        </c:rich>
      </c:tx>
      <c:layout>
        <c:manualLayout>
          <c:xMode val="edge"/>
          <c:yMode val="edge"/>
          <c:x val="0.21046213128941893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4340677756629E-2"/>
          <c:y val="0.14734294056248468"/>
          <c:w val="0.84683799348055666"/>
          <c:h val="0.7688759926695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'Tổng SX và bán'!$A$26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bán'!$B$26:$N$26</c:f>
              <c:numCache>
                <c:formatCode>_-* #,##0_-;\-* #,##0_-;_-* "-"??_-;_-@_-</c:formatCode>
                <c:ptCount val="13"/>
                <c:pt idx="0">
                  <c:v>484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C-4D58-AC19-00FCE5290A4F}"/>
            </c:ext>
          </c:extLst>
        </c:ser>
        <c:ser>
          <c:idx val="3"/>
          <c:order val="1"/>
          <c:tx>
            <c:strRef>
              <c:f>'Tổng SX và bán'!$A$27</c:f>
              <c:strCache>
                <c:ptCount val="1"/>
                <c:pt idx="0">
                  <c:v>SL Bán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4-4BDF-B8AA-583E0DBAF19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'Tổng SX và bán'!$B$25:$N$25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'Tổng SX và bán'!$B$27:$N$27</c:f>
              <c:numCache>
                <c:formatCode>_-* #,##0_-;\-* #,##0_-;_-* "-"??_-;_-@_-</c:formatCode>
                <c:ptCount val="13"/>
                <c:pt idx="0">
                  <c:v>1296.7750000000001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1296.7750000000001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0BF-41B0-99E8-8D9F414B5D7F}"/>
            </c:ext>
          </c:extLst>
        </c:ser>
        <c:ser>
          <c:idx val="1"/>
          <c:order val="2"/>
          <c:tx>
            <c:strRef>
              <c:f>'Tổng SX và bán'!$A$29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'Tổng SX và bán'!$B$29:$N$29</c:f>
              <c:numCache>
                <c:formatCode>_-* #,##0_-;\-* #,##0_-;_-* "-"??_-;_-@_-</c:formatCode>
                <c:ptCount val="13"/>
                <c:pt idx="0">
                  <c:v>11005.27195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11005.27195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3-4372-A209-E1A42D23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55000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0436029033328682"/>
          <c:w val="6.5851134664911687E-2"/>
          <c:h val="0.36056739089654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16190388902741129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224305510621261E-2"/>
          <c:y val="0.15377996046157028"/>
          <c:w val="0.85608088540939808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PET'!$A$27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PET'!$B$27:$N$27</c:f>
              <c:numCache>
                <c:formatCode>_-* #,##0_-;\-* #,##0_-;_-* "-"??_-;_-@_-</c:formatCode>
                <c:ptCount val="13"/>
                <c:pt idx="0">
                  <c:v>408</c:v>
                </c:pt>
                <c:pt idx="12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EBF-8D2D-AA94013D30F3}"/>
            </c:ext>
          </c:extLst>
        </c:ser>
        <c:ser>
          <c:idx val="3"/>
          <c:order val="1"/>
          <c:tx>
            <c:strRef>
              <c:f>'SX và bán PET'!$A$28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C0-4EBF-8D2D-AA94013D30F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PET'!$B$26:$N$26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PET'!$B$28:$N$28</c:f>
              <c:numCache>
                <c:formatCode>_-* #,##0_-;\-* #,##0_-;_-* "-"??_-;_-@_-</c:formatCode>
                <c:ptCount val="13"/>
                <c:pt idx="0">
                  <c:v>1160.5</c:v>
                </c:pt>
                <c:pt idx="12">
                  <c:v>1160.5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9C0-4EBF-8D2D-AA94013D30F3}"/>
            </c:ext>
          </c:extLst>
        </c:ser>
        <c:ser>
          <c:idx val="1"/>
          <c:order val="2"/>
          <c:tx>
            <c:strRef>
              <c:f>'SX và bán PET'!$A$30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PET'!$B$30:$N$30</c:f>
              <c:numCache>
                <c:formatCode>_-* #,##0_-;\-* #,##0_-;_-* "-"??_-;_-@_-</c:formatCode>
                <c:ptCount val="13"/>
                <c:pt idx="0">
                  <c:v>7062.8558500000008</c:v>
                </c:pt>
                <c:pt idx="12">
                  <c:v>7062.8558500000008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6-41DB-8EB0-A7F2C39B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45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6850201299669549"/>
          <c:w val="6.5851134664911687E-2"/>
          <c:h val="0.3086431392166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21894111692165971"/>
          <c:y val="1.8326206475259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30236764312123E-2"/>
          <c:y val="0.14767122496981708"/>
          <c:w val="0.85225760754935553"/>
          <c:h val="0.75484345764048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'SX và bán HD'!$A$27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HD'!$B$27:$N$27</c:f>
              <c:numCache>
                <c:formatCode>_-* #,##0_-;\-* #,##0_-;_-* "-"??_-;_-@_-</c:formatCode>
                <c:ptCount val="13"/>
                <c:pt idx="0">
                  <c:v>52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F-4138-B6A1-4DB96B465B89}"/>
            </c:ext>
          </c:extLst>
        </c:ser>
        <c:ser>
          <c:idx val="3"/>
          <c:order val="1"/>
          <c:tx>
            <c:strRef>
              <c:f>'SX và bán HD'!$A$28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1F-4138-B6A1-4DB96B465B8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HD'!$B$26:$N$26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HD'!$B$28:$N$28</c:f>
              <c:numCache>
                <c:formatCode>_-* #,##0_-;\-* #,##0_-;_-* "-"??_-;_-@_-</c:formatCode>
                <c:ptCount val="13"/>
                <c:pt idx="0">
                  <c:v>149.375</c:v>
                </c:pt>
                <c:pt idx="12">
                  <c:v>149.375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EE1F-4138-B6A1-4DB96B465B89}"/>
            </c:ext>
          </c:extLst>
        </c:ser>
        <c:ser>
          <c:idx val="1"/>
          <c:order val="2"/>
          <c:tx>
            <c:strRef>
              <c:f>'SX và bán HD'!$A$30</c:f>
              <c:strCache>
                <c:ptCount val="1"/>
                <c:pt idx="0">
                  <c:v>Tồn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HD'!$B$30:$N$30</c:f>
              <c:numCache>
                <c:formatCode>_-* #,##0_-;\-* #,##0_-;_-* "-"??_-;_-@_-</c:formatCode>
                <c:ptCount val="13"/>
                <c:pt idx="0">
                  <c:v>2611.9949999999994</c:v>
                </c:pt>
                <c:pt idx="12">
                  <c:v>2611.9949999999994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F-4F39-A3F5-8AFD1773E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6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27992534836627403"/>
          <c:w val="6.5851134664911687E-2"/>
          <c:h val="0.3514042876589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rPP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PP'!$A$27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5.2418909082704171E-3"/>
                  <c:y val="-1.139942269395230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55-47E5-9FAA-186F2A2B9DC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PP'!$B$27:$N$27</c:f>
              <c:numCache>
                <c:formatCode>_-* #,##0_-;\-* #,##0_-;_-* "-"??_-;_-@_-</c:formatCode>
                <c:ptCount val="13"/>
                <c:pt idx="0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493-A466-DCFA4E2A7B98}"/>
            </c:ext>
          </c:extLst>
        </c:ser>
        <c:ser>
          <c:idx val="3"/>
          <c:order val="1"/>
          <c:tx>
            <c:strRef>
              <c:f>'SX và bán PP'!$A$28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1-4493-A466-DCFA4E2A7B9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PP'!$B$26:$N$26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PP'!$B$28:$N$28</c:f>
              <c:numCache>
                <c:formatCode>_-* #,##0_-;\-* #,##0_-;_-* "-"??_-;_-@_-</c:formatCode>
                <c:ptCount val="13"/>
                <c:pt idx="0">
                  <c:v>4.5</c:v>
                </c:pt>
                <c:pt idx="12">
                  <c:v>4.5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1D41-4493-A466-DCFA4E2A7B98}"/>
            </c:ext>
          </c:extLst>
        </c:ser>
        <c:ser>
          <c:idx val="1"/>
          <c:order val="2"/>
          <c:tx>
            <c:strRef>
              <c:f>'SX và bán PP'!$A$30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PP'!$B$30:$N$30</c:f>
              <c:numCache>
                <c:formatCode>_-* #,##0_-;\-* #,##0_-;_-* "-"??_-;_-@_-</c:formatCode>
                <c:ptCount val="13"/>
                <c:pt idx="0">
                  <c:v>283.14249999999998</c:v>
                </c:pt>
                <c:pt idx="12">
                  <c:v>283.14249999999998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3F-4717-9D79-AA7BA6A9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1000"/>
          <c:min val="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7155638074257213"/>
          <c:w val="7.2188610815444587E-2"/>
          <c:h val="0.314751874708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 LƯỢNG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SẢN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XUẤT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&amp;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BÁN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XƠ</a:t>
            </a:r>
            <a:r>
              <a:rPr lang="en-US" sz="24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SỢI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(TẤN) </a:t>
            </a:r>
          </a:p>
        </c:rich>
      </c:tx>
      <c:layout>
        <c:manualLayout>
          <c:xMode val="edge"/>
          <c:yMode val="edge"/>
          <c:x val="0.34252177735919792"/>
          <c:y val="1.2217470983506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'SX và bán xơ sợi'!$A$27</c:f>
              <c:strCache>
                <c:ptCount val="1"/>
                <c:pt idx="0">
                  <c:v>SL SX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-5.241890908270545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C0-4052-8C4D-3CA4DCCB3F2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sợi'!$B$27:$N$27</c:f>
              <c:numCache>
                <c:formatCode>_-* #,##0_-;\-* #,##0_-;_-* "-"??_-;_-@_-</c:formatCode>
                <c:ptCount val="13"/>
                <c:pt idx="0">
                  <c:v>24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1-4DD8-A1B4-51C538637678}"/>
            </c:ext>
          </c:extLst>
        </c:ser>
        <c:ser>
          <c:idx val="3"/>
          <c:order val="1"/>
          <c:tx>
            <c:strRef>
              <c:f>'SX và bán xơ sợi'!$A$28</c:f>
              <c:strCache>
                <c:ptCount val="1"/>
                <c:pt idx="0">
                  <c:v>SL Bán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41-4DD8-A1B4-51C53863767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'SX và bán xơ sợi'!$B$26:$N$26</c:f>
              <c:strCache>
                <c:ptCount val="13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Lũy kế</c:v>
                </c:pt>
              </c:strCache>
            </c:strRef>
          </c:cat>
          <c:val>
            <c:numRef>
              <c:f>'SX và bán xơ sợi'!$B$28:$N$28</c:f>
              <c:numCache>
                <c:formatCode>_-* #,##0_-;\-* #,##0_-;_-* "-"??_-;_-@_-</c:formatCode>
                <c:ptCount val="13"/>
                <c:pt idx="0">
                  <c:v>-17.600000000000001</c:v>
                </c:pt>
                <c:pt idx="12">
                  <c:v>-17.600000000000001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341-4DD8-A1B4-51C538637678}"/>
            </c:ext>
          </c:extLst>
        </c:ser>
        <c:ser>
          <c:idx val="1"/>
          <c:order val="2"/>
          <c:tx>
            <c:strRef>
              <c:f>'SX và bán xơ sợi'!$A$30</c:f>
              <c:strCache>
                <c:ptCount val="1"/>
                <c:pt idx="0">
                  <c:v>Tồn kho TP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5.24189090827041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DF-4564-A94F-3923B4BA6A9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66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'SX và bán xơ sợi'!$B$30:$N$30</c:f>
              <c:numCache>
                <c:formatCode>_-* #,##0_-;\-* #,##0_-;_-* "-"??_-;_-@_-</c:formatCode>
                <c:ptCount val="13"/>
                <c:pt idx="0">
                  <c:v>1047.2785999999999</c:v>
                </c:pt>
                <c:pt idx="12">
                  <c:v>1047.2785999999999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4-4421-B205-05D5FF29E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5807"/>
        <c:axId val="1720356223"/>
        <c:extLst/>
      </c:barChart>
      <c:catAx>
        <c:axId val="17203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6223"/>
        <c:crosses val="autoZero"/>
        <c:auto val="1"/>
        <c:lblAlgn val="ctr"/>
        <c:lblOffset val="100"/>
        <c:noMultiLvlLbl val="0"/>
      </c:catAx>
      <c:valAx>
        <c:axId val="1720356223"/>
        <c:scaling>
          <c:orientation val="minMax"/>
          <c:max val="100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035580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781139556906067"/>
          <c:y val="0.3818627132979433"/>
          <c:w val="7.2188611214661011E-2"/>
          <c:h val="0.30794268235512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36614</xdr:colOff>
      <xdr:row>0</xdr:row>
      <xdr:rowOff>23059</xdr:rowOff>
    </xdr:from>
    <xdr:to>
      <xdr:col>20</xdr:col>
      <xdr:colOff>595313</xdr:colOff>
      <xdr:row>26</xdr:row>
      <xdr:rowOff>36512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16D9AEF-19EC-4BE3-8B17-C63330D94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60427</xdr:colOff>
      <xdr:row>0</xdr:row>
      <xdr:rowOff>44449</xdr:rowOff>
    </xdr:from>
    <xdr:to>
      <xdr:col>20</xdr:col>
      <xdr:colOff>403860</xdr:colOff>
      <xdr:row>26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F4691-023A-425E-9F8C-A802912F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30658</xdr:colOff>
      <xdr:row>0</xdr:row>
      <xdr:rowOff>37829</xdr:rowOff>
    </xdr:from>
    <xdr:to>
      <xdr:col>20</xdr:col>
      <xdr:colOff>411480</xdr:colOff>
      <xdr:row>26</xdr:row>
      <xdr:rowOff>169334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E4A4E13-8F45-4B2F-A701-172563EE3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57150</xdr:rowOff>
    </xdr:from>
    <xdr:to>
      <xdr:col>19</xdr:col>
      <xdr:colOff>577850</xdr:colOff>
      <xdr:row>25</xdr:row>
      <xdr:rowOff>135467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5CEA73B8-4241-98C8-9645-AEEEEBC9D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16</xdr:col>
      <xdr:colOff>590550</xdr:colOff>
      <xdr:row>23</xdr:row>
      <xdr:rowOff>21167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BC954E4-2D3A-480A-85D1-572E3766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17</xdr:col>
      <xdr:colOff>238126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9191A-D40B-42F8-8FF1-9CEF45CAC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38100</xdr:rowOff>
    </xdr:from>
    <xdr:to>
      <xdr:col>17</xdr:col>
      <xdr:colOff>266700</xdr:colOff>
      <xdr:row>23</xdr:row>
      <xdr:rowOff>106680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F769E1E-8E32-470B-B3A2-7C0448212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238CE-956C-42DC-B1C9-B19C40210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38100</xdr:rowOff>
    </xdr:from>
    <xdr:to>
      <xdr:col>21</xdr:col>
      <xdr:colOff>611187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C2983-60C6-4AA1-980B-C60DB73AD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ABF-E4BE-48E0-925A-9A22B412D27E}">
  <dimension ref="A3:W46"/>
  <sheetViews>
    <sheetView showGridLines="0" topLeftCell="A20" zoomScale="80" zoomScaleNormal="80" workbookViewId="0">
      <selection activeCell="G44" sqref="G44"/>
    </sheetView>
  </sheetViews>
  <sheetFormatPr defaultColWidth="8.81640625" defaultRowHeight="16"/>
  <cols>
    <col min="1" max="1" width="25.90625" style="3" bestFit="1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W24" s="15"/>
    </row>
    <row r="27" spans="1:23" ht="7.25" customHeight="1"/>
    <row r="28" spans="1:23" ht="7.25" customHeight="1"/>
    <row r="29" spans="1:23" ht="7.25" customHeight="1"/>
    <row r="30" spans="1:23" ht="7.25" customHeight="1"/>
    <row r="31" spans="1:23" ht="7.25" customHeight="1"/>
    <row r="32" spans="1:23" ht="7.25" customHeight="1"/>
    <row r="33" spans="1:23" ht="7.25" customHeight="1"/>
    <row r="34" spans="1:23">
      <c r="A34" s="16"/>
      <c r="B34" s="17" t="s">
        <v>0</v>
      </c>
      <c r="C34" s="17" t="s">
        <v>1</v>
      </c>
      <c r="D34" s="17" t="s">
        <v>2</v>
      </c>
      <c r="E34" s="17" t="s">
        <v>3</v>
      </c>
      <c r="F34" s="17" t="s">
        <v>4</v>
      </c>
      <c r="G34" s="17" t="s">
        <v>5</v>
      </c>
      <c r="H34" s="17" t="s">
        <v>7</v>
      </c>
      <c r="I34" s="17" t="s">
        <v>6</v>
      </c>
      <c r="J34" s="17" t="s">
        <v>8</v>
      </c>
      <c r="K34" s="17" t="s">
        <v>9</v>
      </c>
      <c r="L34" s="17" t="s">
        <v>10</v>
      </c>
      <c r="M34" s="17" t="s">
        <v>18</v>
      </c>
      <c r="N34" s="17" t="s">
        <v>19</v>
      </c>
      <c r="Q34" s="33"/>
    </row>
    <row r="35" spans="1:23" s="25" customFormat="1">
      <c r="A35" s="25" t="s">
        <v>22</v>
      </c>
      <c r="B35" s="26">
        <f>'Mua-bán PET'!B30+'Mua-bán HD'!B30+'Mua-bán-PP'!B29</f>
        <v>972.87652000000003</v>
      </c>
      <c r="C35" s="40">
        <f>'Mua-bán PET'!C30+'Mua-bán HD'!C30+'Mua-bán-PP'!C29</f>
        <v>0</v>
      </c>
      <c r="D35" s="27">
        <f>'Mua-bán PET'!D30+'Mua-bán HD'!D30+'Mua-bán-PP'!D29</f>
        <v>0</v>
      </c>
      <c r="E35" s="27">
        <f>'Mua-bán PET'!E30+'Mua-bán HD'!E30+'Mua-bán-PP'!E29</f>
        <v>0</v>
      </c>
      <c r="F35" s="27">
        <f>'Mua-bán PET'!F30+'Mua-bán HD'!F30+'Mua-bán-PP'!F29</f>
        <v>0</v>
      </c>
      <c r="G35" s="27">
        <f>'Mua-bán PET'!G30+'Mua-bán HD'!G30+'Mua-bán-PP'!G29</f>
        <v>0</v>
      </c>
      <c r="H35" s="27">
        <f>'Mua-bán PET'!H30+'Mua-bán HD'!H30+'Mua-bán-PP'!H29</f>
        <v>0</v>
      </c>
      <c r="I35" s="27">
        <f>'Mua-bán PET'!I30+'Mua-bán HD'!I30+'Mua-bán-PP'!I29</f>
        <v>0</v>
      </c>
      <c r="J35" s="27">
        <f>'Mua-bán PET'!J30+'Mua-bán HD'!J30+'Mua-bán-PP'!J29</f>
        <v>0</v>
      </c>
      <c r="K35" s="27">
        <f>'Mua-bán PET'!K30+'Mua-bán HD'!K30+'Mua-bán-PP'!K29</f>
        <v>0</v>
      </c>
      <c r="L35" s="27">
        <f>'Mua-bán PET'!L30+'Mua-bán HD'!L30+'Mua-bán-PP'!L29</f>
        <v>0</v>
      </c>
      <c r="M35" s="27">
        <f>'Mua-bán PET'!M30+'Mua-bán HD'!M30+'Mua-bán-PP'!M29</f>
        <v>0</v>
      </c>
      <c r="N35" s="26">
        <f>SUM(B35:M35)</f>
        <v>972.87652000000003</v>
      </c>
      <c r="O35" s="39"/>
      <c r="Q35" s="26"/>
      <c r="W35" s="28"/>
    </row>
    <row r="36" spans="1:23" s="25" customFormat="1">
      <c r="A36" s="25" t="s">
        <v>23</v>
      </c>
      <c r="B36" s="26">
        <f>'Tổng SX và bán'!B27</f>
        <v>1296.7750000000001</v>
      </c>
      <c r="C36" s="26">
        <f>'Tổng SX và bán'!C27</f>
        <v>0</v>
      </c>
      <c r="D36" s="26">
        <f>'Tổng SX và bán'!D27</f>
        <v>0</v>
      </c>
      <c r="E36" s="26">
        <f>'Tổng SX và bán'!E27</f>
        <v>0</v>
      </c>
      <c r="F36" s="26">
        <f>'Tổng SX và bán'!F27</f>
        <v>0</v>
      </c>
      <c r="G36" s="26">
        <f>'Tổng SX và bán'!G27</f>
        <v>0</v>
      </c>
      <c r="H36" s="26">
        <f>'Tổng SX và bán'!H27</f>
        <v>0</v>
      </c>
      <c r="I36" s="26">
        <f>'Tổng SX và bán'!I27</f>
        <v>0</v>
      </c>
      <c r="J36" s="26">
        <f>'Tổng SX và bán'!J27</f>
        <v>0</v>
      </c>
      <c r="K36" s="26">
        <f>'Tổng SX và bán'!K27</f>
        <v>0</v>
      </c>
      <c r="L36" s="26">
        <f>'Tổng SX và bán'!L27</f>
        <v>0</v>
      </c>
      <c r="M36" s="26">
        <f>'Tổng SX và bán'!M27</f>
        <v>0</v>
      </c>
      <c r="N36" s="26">
        <f>'Tổng SX và bán'!N27</f>
        <v>1296.7750000000001</v>
      </c>
      <c r="Q36" s="26"/>
      <c r="R36" s="26"/>
      <c r="W36" s="28"/>
    </row>
    <row r="37" spans="1:23" s="30" customFormat="1">
      <c r="A37" s="30" t="s">
        <v>24</v>
      </c>
      <c r="B37" s="31">
        <f>B35-B36</f>
        <v>-323.89848000000006</v>
      </c>
      <c r="C37" s="31">
        <f t="shared" ref="C37:L37" si="0">C35-C36</f>
        <v>0</v>
      </c>
      <c r="D37" s="31">
        <f t="shared" si="0"/>
        <v>0</v>
      </c>
      <c r="E37" s="31">
        <f t="shared" si="0"/>
        <v>0</v>
      </c>
      <c r="F37" s="31">
        <f t="shared" si="0"/>
        <v>0</v>
      </c>
      <c r="G37" s="31">
        <f t="shared" si="0"/>
        <v>0</v>
      </c>
      <c r="H37" s="31">
        <f t="shared" si="0"/>
        <v>0</v>
      </c>
      <c r="I37" s="31">
        <f t="shared" si="0"/>
        <v>0</v>
      </c>
      <c r="J37" s="31">
        <f t="shared" si="0"/>
        <v>0</v>
      </c>
      <c r="K37" s="31">
        <f t="shared" si="0"/>
        <v>0</v>
      </c>
      <c r="L37" s="31">
        <f t="shared" si="0"/>
        <v>0</v>
      </c>
      <c r="M37" s="31">
        <f>M35-M36</f>
        <v>0</v>
      </c>
      <c r="N37" s="31">
        <f>N35-N36</f>
        <v>-323.89848000000006</v>
      </c>
      <c r="Q37" s="31"/>
      <c r="W37" s="32"/>
    </row>
    <row r="38" spans="1:23" s="25" customFormat="1">
      <c r="A38" s="25" t="s">
        <v>28</v>
      </c>
      <c r="B38" s="26">
        <f>'Mua-bán PET'!B31+'Mua-bán HD'!B31+'Mua-bán-PP'!B30</f>
        <v>4307.2229326761371</v>
      </c>
      <c r="C38" s="26">
        <f>'Mua-bán PET'!C31+'Mua-bán HD'!C31+'Mua-bán-PP'!C30</f>
        <v>4242.3145678240326</v>
      </c>
      <c r="D38" s="26">
        <f>'Mua-bán PET'!D31+'Mua-bán HD'!D31+'Mua-bán-PP'!D30</f>
        <v>4667.5574034757392</v>
      </c>
      <c r="E38" s="26">
        <f>'Mua-bán PET'!E31+'Mua-bán HD'!E31+'Mua-bán-PP'!E30</f>
        <v>4383.231518676721</v>
      </c>
      <c r="F38" s="26">
        <f>'Mua-bán PET'!F31+'Mua-bán HD'!F31+'Mua-bán-PP'!F30</f>
        <v>4652.4364391825357</v>
      </c>
      <c r="G38" s="26">
        <f>'Mua-bán PET'!G31+'Mua-bán HD'!G31+'Mua-bán-PP'!G30</f>
        <v>4680.9521822275929</v>
      </c>
      <c r="H38" s="26">
        <f>'Mua-bán PET'!H31+'Mua-bán HD'!H31+'Mua-bán-PP'!H30</f>
        <v>4678.4225169732681</v>
      </c>
      <c r="I38" s="26">
        <f>'Mua-bán PET'!I31+'Mua-bán HD'!I31+'Mua-bán-PP'!I30</f>
        <v>4551.8494989087394</v>
      </c>
      <c r="J38" s="26">
        <f>'Mua-bán PET'!J31+'Mua-bán HD'!J31+'Mua-bán-PP'!J30</f>
        <v>4763.6231018888848</v>
      </c>
      <c r="K38" s="26">
        <f>'Mua-bán PET'!K31+'Mua-bán HD'!K31+'Mua-bán-PP'!K30</f>
        <v>4457.6262974285746</v>
      </c>
      <c r="L38" s="26">
        <f>'Mua-bán PET'!L31+'Mua-bán HD'!L31+'Mua-bán-PP'!L30</f>
        <v>4709.2431243544625</v>
      </c>
      <c r="M38" s="26">
        <f>'Mua-bán PET'!M31+'Mua-bán HD'!M31+'Mua-bán-PP'!M30</f>
        <v>4773.5204185700313</v>
      </c>
      <c r="N38" s="26">
        <f>SUM(B38:M38)</f>
        <v>54868.000002186731</v>
      </c>
      <c r="Q38" s="26"/>
      <c r="W38" s="28"/>
    </row>
    <row r="39" spans="1:23" s="25" customFormat="1">
      <c r="A39" s="25" t="s">
        <v>31</v>
      </c>
      <c r="B39" s="26">
        <f>'Mua-bán PET'!B32+'Mua-bán HD'!B32+'Mua-bán-PP'!B31</f>
        <v>11005.27195</v>
      </c>
      <c r="C39" s="26">
        <f>'Mua-bán PET'!C32+'Mua-bán HD'!C32+'Mua-bán-PP'!C31</f>
        <v>0</v>
      </c>
      <c r="D39" s="26">
        <f>'Mua-bán PET'!D32+'Mua-bán HD'!D32+'Mua-bán-PP'!D31</f>
        <v>0</v>
      </c>
      <c r="E39" s="26">
        <f>'Mua-bán PET'!E32+'Mua-bán HD'!E32+'Mua-bán-PP'!E31</f>
        <v>0</v>
      </c>
      <c r="F39" s="26">
        <f>'Mua-bán PET'!F32+'Mua-bán HD'!F32+'Mua-bán-PP'!F31</f>
        <v>0</v>
      </c>
      <c r="G39" s="26">
        <f>'Mua-bán PET'!G32+'Mua-bán HD'!G32+'Mua-bán-PP'!G31</f>
        <v>0</v>
      </c>
      <c r="H39" s="26">
        <f>'Mua-bán PET'!H32+'Mua-bán HD'!H32+'Mua-bán-PP'!H31</f>
        <v>0</v>
      </c>
      <c r="I39" s="26">
        <f>'Mua-bán PET'!I32+'Mua-bán HD'!I32+'Mua-bán-PP'!I31</f>
        <v>0</v>
      </c>
      <c r="J39" s="26">
        <f>'Mua-bán PET'!J32+'Mua-bán HD'!J32+'Mua-bán-PP'!J31</f>
        <v>0</v>
      </c>
      <c r="K39" s="26">
        <f>'Mua-bán PET'!K32+'Mua-bán HD'!K32+'Mua-bán-PP'!K31</f>
        <v>0</v>
      </c>
      <c r="L39" s="26">
        <f>'Mua-bán PET'!L32+'Mua-bán HD'!L32+'Mua-bán-PP'!L31</f>
        <v>0</v>
      </c>
      <c r="M39" s="26">
        <f>'Mua-bán PET'!M32+'Mua-bán HD'!M32+'Mua-bán-PP'!M31</f>
        <v>0</v>
      </c>
      <c r="N39" s="26">
        <f>'Mua-bán PET'!N32+'Mua-bán HD'!N32+'Mua-bán-PP'!N31</f>
        <v>11005.27195</v>
      </c>
      <c r="Q39" s="26"/>
      <c r="W39" s="28"/>
    </row>
    <row r="40" spans="1:23">
      <c r="M40" s="21"/>
    </row>
    <row r="41" spans="1:23">
      <c r="D41" s="41"/>
      <c r="E41" s="41"/>
      <c r="F41" s="21"/>
      <c r="G41" s="41"/>
      <c r="H41" s="41"/>
      <c r="I41" s="41"/>
      <c r="J41" s="41"/>
      <c r="K41" s="41"/>
      <c r="M41" s="41"/>
    </row>
    <row r="42" spans="1:23" ht="16.5">
      <c r="A42" s="41"/>
      <c r="B42" s="41"/>
      <c r="C42" s="41"/>
      <c r="D42" s="42"/>
      <c r="E42" s="61"/>
      <c r="F42" s="67"/>
      <c r="G42" s="68"/>
      <c r="H42" s="41"/>
      <c r="I42" s="67"/>
      <c r="J42" s="42"/>
      <c r="K42" s="47"/>
      <c r="L42" s="41"/>
      <c r="M42" s="41"/>
      <c r="N42" s="41"/>
      <c r="Q42" s="63"/>
    </row>
    <row r="43" spans="1:23">
      <c r="A43" s="42"/>
      <c r="B43" s="42"/>
      <c r="C43" s="42"/>
      <c r="D43" s="42"/>
      <c r="E43" s="62"/>
      <c r="F43" s="68"/>
      <c r="G43" s="68"/>
      <c r="H43" s="42"/>
      <c r="I43" s="67"/>
      <c r="J43" s="42"/>
      <c r="K43" s="41"/>
      <c r="L43" s="48"/>
      <c r="M43" s="49"/>
    </row>
    <row r="44" spans="1:23">
      <c r="B44" s="42"/>
      <c r="C44" s="42"/>
      <c r="E44" s="62"/>
      <c r="F44" s="66"/>
      <c r="G44" s="51"/>
      <c r="H44" s="42"/>
      <c r="I44" s="53"/>
      <c r="J44" s="42"/>
      <c r="K44" s="42"/>
      <c r="L44" s="48"/>
    </row>
    <row r="45" spans="1:23">
      <c r="B45" s="59"/>
      <c r="E45" s="61"/>
      <c r="F45" s="61"/>
      <c r="I45" s="67"/>
    </row>
    <row r="46" spans="1:23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</sheetData>
  <pageMargins left="0.17" right="0.17" top="0.17" bottom="0.17" header="0.17" footer="0.17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B1C5-225C-4935-9DD8-F1E4DB1CA582}">
  <dimension ref="A3:W37"/>
  <sheetViews>
    <sheetView showGridLines="0" topLeftCell="A15" zoomScale="90" zoomScaleNormal="90" workbookViewId="0">
      <selection activeCell="B32" sqref="B32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W24" s="15"/>
    </row>
    <row r="28" spans="1:23">
      <c r="A28" s="16" t="s">
        <v>17</v>
      </c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7</v>
      </c>
      <c r="I28" s="17" t="s">
        <v>6</v>
      </c>
      <c r="J28" s="17" t="s">
        <v>8</v>
      </c>
      <c r="K28" s="17" t="s">
        <v>9</v>
      </c>
      <c r="L28" s="17" t="s">
        <v>10</v>
      </c>
      <c r="M28" s="17" t="s">
        <v>18</v>
      </c>
      <c r="N28" s="17" t="s">
        <v>19</v>
      </c>
    </row>
    <row r="29" spans="1:23">
      <c r="A29" s="18" t="s">
        <v>29</v>
      </c>
      <c r="B29" s="19">
        <f>'SX và bán PET'!B28+'SX và bán xơ sợi'!B28</f>
        <v>1142.9000000000001</v>
      </c>
      <c r="C29" s="19">
        <f>'SX và bán PET'!C28+'SX và bán xơ sợi'!C28</f>
        <v>0</v>
      </c>
      <c r="D29" s="19">
        <f>'SX và bán PET'!D28+'SX và bán xơ sợi'!D28</f>
        <v>0</v>
      </c>
      <c r="E29" s="19">
        <f>'SX và bán PET'!E28+'SX và bán xơ sợi'!E28</f>
        <v>0</v>
      </c>
      <c r="F29" s="19">
        <f>'SX và bán PET'!F28+'SX và bán xơ sợi'!F28</f>
        <v>0</v>
      </c>
      <c r="G29" s="19">
        <f>'SX và bán PET'!G28+'SX và bán xơ sợi'!G28</f>
        <v>0</v>
      </c>
      <c r="H29" s="19">
        <f>'SX và bán PET'!H28+'SX và bán xơ sợi'!H28</f>
        <v>0</v>
      </c>
      <c r="I29" s="19">
        <f>'SX và bán PET'!I28+'SX và bán xơ sợi'!I28</f>
        <v>0</v>
      </c>
      <c r="J29" s="19">
        <f>'SX và bán PET'!J28+'SX và bán xơ sợi'!J28</f>
        <v>0</v>
      </c>
      <c r="K29" s="19">
        <f>'SX và bán PET'!K28+'SX và bán xơ sợi'!K28</f>
        <v>0</v>
      </c>
      <c r="L29" s="19">
        <f>'SX và bán PET'!L28+'SX và bán xơ sợi'!L28</f>
        <v>0</v>
      </c>
      <c r="M29" s="19">
        <f>'SX và bán PET'!M28+'SX và bán xơ sợi'!M28</f>
        <v>0</v>
      </c>
      <c r="N29" s="20">
        <f>SUM(B29:M29)</f>
        <v>1142.9000000000001</v>
      </c>
      <c r="O29" s="21"/>
      <c r="Q29" s="21"/>
    </row>
    <row r="30" spans="1:23">
      <c r="A30" s="18" t="s">
        <v>27</v>
      </c>
      <c r="B30" s="19">
        <v>969.09652000000006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f t="shared" ref="N30" si="0">SUM(B30:M30)</f>
        <v>969.09652000000006</v>
      </c>
      <c r="O30" s="21"/>
    </row>
    <row r="31" spans="1:23">
      <c r="A31" s="18" t="s">
        <v>28</v>
      </c>
      <c r="B31" s="19">
        <f>'SX và bán PET'!B29+'SX và bán xơ sợi'!B29</f>
        <v>3841.2229326761376</v>
      </c>
      <c r="C31" s="19">
        <f>'SX và bán PET'!C29+'SX và bán xơ sợi'!C29</f>
        <v>3741.3145678240321</v>
      </c>
      <c r="D31" s="19">
        <f>'SX và bán PET'!D29+'SX và bán xơ sợi'!D29</f>
        <v>3959.5574034757396</v>
      </c>
      <c r="E31" s="19">
        <f>'SX và bán PET'!E29+'SX và bán xơ sợi'!E29</f>
        <v>3860.231518676721</v>
      </c>
      <c r="F31" s="19">
        <f>'SX và bán PET'!F29+'SX và bán xơ sợi'!F29</f>
        <v>4120.4364391825357</v>
      </c>
      <c r="G31" s="19">
        <f>'SX và bán PET'!G29+'SX và bán xơ sợi'!G29</f>
        <v>3935.9521822275933</v>
      </c>
      <c r="H31" s="19">
        <f>'SX và bán PET'!H29+'SX và bán xơ sợi'!H29</f>
        <v>4094.4225169732681</v>
      </c>
      <c r="I31" s="19">
        <f>'SX và bán PET'!I29+'SX và bán xơ sợi'!I29</f>
        <v>3954.8494989087399</v>
      </c>
      <c r="J31" s="19">
        <f>'SX và bán PET'!J29+'SX và bán xơ sợi'!J29</f>
        <v>3959.6231018888843</v>
      </c>
      <c r="K31" s="19">
        <f>'SX và bán PET'!K29+'SX và bán xơ sợi'!K29</f>
        <v>3836.6262974285742</v>
      </c>
      <c r="L31" s="19">
        <f>'SX và bán PET'!L29+'SX và bán xơ sợi'!L29</f>
        <v>4103.2431243544625</v>
      </c>
      <c r="M31" s="19">
        <f>'SX và bán PET'!M29+'SX và bán xơ sợi'!M29</f>
        <v>3978.5204185700309</v>
      </c>
      <c r="N31" s="20">
        <f>SUM(B31:M31)</f>
        <v>47386.000002186716</v>
      </c>
      <c r="O31" s="21"/>
    </row>
    <row r="32" spans="1:23">
      <c r="A32" s="18" t="s">
        <v>30</v>
      </c>
      <c r="B32" s="19">
        <f>'SX và bán PET'!B30+'SX và bán xơ sợi'!B30</f>
        <v>8110.1344500000005</v>
      </c>
      <c r="C32" s="19">
        <f>'SX và bán PET'!C30+'SX và bán xơ sợi'!C30</f>
        <v>0</v>
      </c>
      <c r="D32" s="19">
        <f>'SX và bán PET'!D30+'SX và bán xơ sợi'!D30</f>
        <v>0</v>
      </c>
      <c r="E32" s="19">
        <f>'SX và bán PET'!E30+'SX và bán xơ sợi'!E30</f>
        <v>0</v>
      </c>
      <c r="F32" s="19">
        <f>'SX và bán PET'!F30+'SX và bán xơ sợi'!F30</f>
        <v>0</v>
      </c>
      <c r="G32" s="19">
        <f>'SX và bán PET'!G30+'SX và bán xơ sợi'!G30</f>
        <v>0</v>
      </c>
      <c r="H32" s="19">
        <f>'SX và bán PET'!H30+'SX và bán xơ sợi'!H30</f>
        <v>0</v>
      </c>
      <c r="I32" s="19">
        <f>'SX và bán PET'!I30+'SX và bán xơ sợi'!I30</f>
        <v>0</v>
      </c>
      <c r="J32" s="19">
        <f>'SX và bán PET'!J30+'SX và bán xơ sợi'!J30</f>
        <v>0</v>
      </c>
      <c r="K32" s="19">
        <f>'SX và bán PET'!K30+'SX và bán xơ sợi'!K30</f>
        <v>0</v>
      </c>
      <c r="L32" s="19">
        <f>'SX và bán PET'!L30+'SX và bán xơ sợi'!L30</f>
        <v>0</v>
      </c>
      <c r="M32" s="19">
        <f>'SX và bán PET'!M30+'SX và bán xơ sợi'!M30</f>
        <v>0</v>
      </c>
      <c r="N32" s="20">
        <f>'SX và bán PET'!N30+'SX và bán xơ sợi'!N30</f>
        <v>8110.1344500000005</v>
      </c>
      <c r="O32" s="21"/>
    </row>
    <row r="33" spans="1:13">
      <c r="G33" s="41"/>
      <c r="H33" s="21"/>
      <c r="J33" s="41"/>
    </row>
    <row r="34" spans="1:13">
      <c r="A34" s="41"/>
      <c r="B34" s="41"/>
      <c r="C34" s="42"/>
      <c r="D34" s="41"/>
      <c r="E34" s="41"/>
      <c r="F34" s="41"/>
      <c r="G34" s="42"/>
      <c r="H34" s="52"/>
      <c r="I34" s="41"/>
      <c r="J34" s="21"/>
      <c r="K34" s="41"/>
      <c r="L34" s="41"/>
      <c r="M34" s="41"/>
    </row>
    <row r="35" spans="1:13">
      <c r="A35" s="42"/>
      <c r="B35" s="42"/>
      <c r="C35" s="42"/>
      <c r="D35" s="42"/>
      <c r="E35" s="42"/>
      <c r="F35" s="42"/>
      <c r="G35" s="42"/>
      <c r="H35" s="41"/>
      <c r="I35" s="41"/>
      <c r="J35" s="46"/>
      <c r="K35" s="41"/>
      <c r="L35" s="41"/>
      <c r="M35" s="41"/>
    </row>
    <row r="36" spans="1:1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>
      <c r="B37" s="42"/>
      <c r="C37" s="42"/>
      <c r="E37" s="42"/>
      <c r="F37" s="42"/>
      <c r="I37" s="42"/>
      <c r="K37" s="42"/>
      <c r="L37" s="42"/>
    </row>
  </sheetData>
  <pageMargins left="0.17" right="0.17" top="0.17" bottom="0.17" header="0.17" footer="0.17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86E6-48F7-4422-A90C-EA44EA835325}">
  <dimension ref="A3:W40"/>
  <sheetViews>
    <sheetView tabSelected="1" topLeftCell="A20" zoomScale="90" zoomScaleNormal="90" workbookViewId="0">
      <selection activeCell="J34" sqref="J34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C22" s="9"/>
      <c r="V22" s="11"/>
      <c r="W22" s="12"/>
    </row>
    <row r="23" spans="1:23">
      <c r="C23" s="9"/>
      <c r="V23" s="11"/>
      <c r="W23" s="12"/>
    </row>
    <row r="24" spans="1:23">
      <c r="V24" s="11" t="s">
        <v>16</v>
      </c>
      <c r="W24" s="12">
        <v>270.8</v>
      </c>
    </row>
    <row r="25" spans="1:23">
      <c r="V25" s="13" t="s">
        <v>14</v>
      </c>
      <c r="W25" s="14">
        <f>SUM(W20:W24)</f>
        <v>580.6</v>
      </c>
    </row>
    <row r="26" spans="1:23">
      <c r="V26" s="33"/>
      <c r="W26" s="43"/>
    </row>
    <row r="27" spans="1:23">
      <c r="V27" s="33"/>
      <c r="W27" s="43"/>
    </row>
    <row r="28" spans="1:23">
      <c r="A28" s="16" t="s">
        <v>20</v>
      </c>
      <c r="B28" s="17" t="s">
        <v>0</v>
      </c>
      <c r="C28" s="17" t="s">
        <v>1</v>
      </c>
      <c r="D28" s="17" t="s">
        <v>2</v>
      </c>
      <c r="E28" s="17" t="s">
        <v>3</v>
      </c>
      <c r="F28" s="17" t="s">
        <v>4</v>
      </c>
      <c r="G28" s="17" t="s">
        <v>5</v>
      </c>
      <c r="H28" s="17" t="s">
        <v>7</v>
      </c>
      <c r="I28" s="17" t="s">
        <v>6</v>
      </c>
      <c r="J28" s="17" t="s">
        <v>8</v>
      </c>
      <c r="K28" s="17" t="s">
        <v>9</v>
      </c>
      <c r="L28" s="17" t="s">
        <v>10</v>
      </c>
      <c r="M28" s="17" t="s">
        <v>18</v>
      </c>
      <c r="N28" s="17" t="s">
        <v>19</v>
      </c>
    </row>
    <row r="29" spans="1:23">
      <c r="A29" s="18" t="s">
        <v>29</v>
      </c>
      <c r="B29" s="19">
        <f>'SX và bán HD'!B28</f>
        <v>149.375</v>
      </c>
      <c r="C29" s="19">
        <f>'SX và bán HD'!C28</f>
        <v>0</v>
      </c>
      <c r="D29" s="19">
        <f>'SX và bán HD'!D28</f>
        <v>0</v>
      </c>
      <c r="E29" s="19">
        <f>'SX và bán HD'!E28</f>
        <v>0</v>
      </c>
      <c r="F29" s="19">
        <f>'SX và bán HD'!F28</f>
        <v>0</v>
      </c>
      <c r="G29" s="50">
        <f>'SX và bán HD'!G28</f>
        <v>0</v>
      </c>
      <c r="H29" s="19">
        <f>'SX và bán HD'!H28</f>
        <v>0</v>
      </c>
      <c r="I29" s="19">
        <f>'SX và bán HD'!I28</f>
        <v>0</v>
      </c>
      <c r="J29" s="19">
        <f>'SX và bán HD'!J28</f>
        <v>0</v>
      </c>
      <c r="K29" s="19">
        <f>'SX và bán HD'!K28</f>
        <v>0</v>
      </c>
      <c r="L29" s="19">
        <f>'SX và bán HD'!L28</f>
        <v>0</v>
      </c>
      <c r="M29" s="19">
        <f>'SX và bán HD'!M28</f>
        <v>0</v>
      </c>
      <c r="N29" s="20">
        <f>SUM(B29:M29)</f>
        <v>149.375</v>
      </c>
      <c r="O29" s="21"/>
    </row>
    <row r="30" spans="1:23">
      <c r="A30" s="18" t="s">
        <v>27</v>
      </c>
      <c r="B30" s="19"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f>SUM(B30:M30)</f>
        <v>0</v>
      </c>
      <c r="O30" s="21"/>
    </row>
    <row r="31" spans="1:23">
      <c r="A31" s="18" t="s">
        <v>28</v>
      </c>
      <c r="B31" s="19">
        <f>'SX và bán HD'!B29</f>
        <v>394</v>
      </c>
      <c r="C31" s="19">
        <f>'SX và bán HD'!C29</f>
        <v>438</v>
      </c>
      <c r="D31" s="19">
        <f>'SX và bán HD'!D29</f>
        <v>636</v>
      </c>
      <c r="E31" s="19">
        <f>'SX và bán HD'!E29</f>
        <v>460</v>
      </c>
      <c r="F31" s="19">
        <f>'SX và bán HD'!F29</f>
        <v>460</v>
      </c>
      <c r="G31" s="19">
        <f>'SX và bán HD'!G29</f>
        <v>658</v>
      </c>
      <c r="H31" s="19">
        <f>'SX và bán HD'!H29</f>
        <v>512</v>
      </c>
      <c r="I31" s="19">
        <f>'SX và bán HD'!I29</f>
        <v>534</v>
      </c>
      <c r="J31" s="19">
        <f>'SX và bán HD'!J29</f>
        <v>732</v>
      </c>
      <c r="K31" s="19">
        <f>'SX và bán HD'!K29</f>
        <v>534</v>
      </c>
      <c r="L31" s="19">
        <f>'SX và bán HD'!L29</f>
        <v>534</v>
      </c>
      <c r="M31" s="19">
        <f>'SX và bán HD'!M29</f>
        <v>732</v>
      </c>
      <c r="N31" s="20">
        <f>SUM(B31:M31)</f>
        <v>6624</v>
      </c>
      <c r="O31" s="21"/>
    </row>
    <row r="32" spans="1:23">
      <c r="A32" s="18" t="s">
        <v>30</v>
      </c>
      <c r="B32" s="19">
        <f>'SX và bán HD'!B30</f>
        <v>2611.9949999999994</v>
      </c>
      <c r="C32" s="19">
        <f>'SX và bán HD'!C30</f>
        <v>0</v>
      </c>
      <c r="D32" s="19">
        <f>'SX và bán HD'!D30</f>
        <v>0</v>
      </c>
      <c r="E32" s="19">
        <f>'SX và bán HD'!E30</f>
        <v>0</v>
      </c>
      <c r="F32" s="19">
        <f>'SX và bán HD'!F30</f>
        <v>0</v>
      </c>
      <c r="G32" s="19">
        <f>'SX và bán HD'!G30</f>
        <v>0</v>
      </c>
      <c r="H32" s="19">
        <f>'SX và bán HD'!H30</f>
        <v>0</v>
      </c>
      <c r="I32" s="19">
        <f>'SX và bán HD'!I30</f>
        <v>0</v>
      </c>
      <c r="J32" s="19">
        <f>'SX và bán HD'!J30</f>
        <v>0</v>
      </c>
      <c r="K32" s="19">
        <f>'SX và bán HD'!K30</f>
        <v>0</v>
      </c>
      <c r="L32" s="19">
        <f>'SX và bán HD'!L30</f>
        <v>0</v>
      </c>
      <c r="M32" s="19">
        <f>'SX và bán HD'!M30</f>
        <v>0</v>
      </c>
      <c r="N32" s="20">
        <f>'SX và bán HD'!N30</f>
        <v>2611.9949999999994</v>
      </c>
      <c r="O32" s="21"/>
    </row>
    <row r="33" spans="2:14">
      <c r="I33" s="21"/>
      <c r="K33" s="42"/>
      <c r="N33" s="21"/>
    </row>
    <row r="34" spans="2:14" ht="32">
      <c r="B34" s="41"/>
      <c r="C34" s="41"/>
      <c r="D34" s="60" t="s">
        <v>33</v>
      </c>
      <c r="E34" s="41"/>
      <c r="G34" s="41"/>
      <c r="H34" s="21"/>
      <c r="I34" s="21"/>
      <c r="J34" s="21"/>
      <c r="K34" s="21"/>
      <c r="L34" s="21"/>
      <c r="N34" s="21"/>
    </row>
    <row r="35" spans="2:14">
      <c r="B35" s="42"/>
      <c r="C35" s="42"/>
      <c r="D35" s="42"/>
      <c r="E35" s="42"/>
      <c r="F35" s="42"/>
      <c r="G35" s="42"/>
      <c r="H35" s="42"/>
      <c r="I35" s="46"/>
      <c r="J35" s="46"/>
      <c r="K35" s="21"/>
      <c r="L35" s="21"/>
    </row>
    <row r="36" spans="2:14">
      <c r="F36" s="42"/>
      <c r="H36" s="42"/>
      <c r="I36" s="42"/>
      <c r="J36" s="21"/>
      <c r="L36" s="21"/>
    </row>
    <row r="37" spans="2:14">
      <c r="D37" s="21"/>
      <c r="H37" s="21"/>
    </row>
    <row r="38" spans="2:14">
      <c r="D38" s="42"/>
      <c r="I38" s="21"/>
    </row>
    <row r="40" spans="2:14">
      <c r="D40" s="21"/>
    </row>
  </sheetData>
  <pageMargins left="0.17" right="0.17" top="0.17" bottom="0.17" header="0.17" footer="0.17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907E-0544-46E2-BCCD-BDD8F20CB0DE}">
  <dimension ref="A3:W39"/>
  <sheetViews>
    <sheetView topLeftCell="A16" zoomScale="80" zoomScaleNormal="80" workbookViewId="0">
      <selection activeCell="B33" sqref="B33:C35"/>
    </sheetView>
  </sheetViews>
  <sheetFormatPr defaultColWidth="8.81640625" defaultRowHeight="16"/>
  <cols>
    <col min="1" max="1" width="22.1796875" style="3" customWidth="1"/>
    <col min="2" max="13" width="9.1796875" style="3" customWidth="1"/>
    <col min="14" max="21" width="8.81640625" style="3"/>
    <col min="22" max="22" width="0" style="3" hidden="1" customWidth="1"/>
    <col min="23" max="23" width="0" style="10" hidden="1" customWidth="1"/>
    <col min="24" max="16384" width="8.81640625" style="3"/>
  </cols>
  <sheetData>
    <row r="3" spans="1:23">
      <c r="V3" s="4" t="s">
        <v>11</v>
      </c>
      <c r="W3" s="5">
        <f>974.3+569.6</f>
        <v>1543.9</v>
      </c>
    </row>
    <row r="4" spans="1:23">
      <c r="V4" s="4" t="s">
        <v>12</v>
      </c>
      <c r="W4" s="5">
        <v>526.79999999999995</v>
      </c>
    </row>
    <row r="5" spans="1:23">
      <c r="V5" s="4" t="s">
        <v>13</v>
      </c>
      <c r="W5" s="5">
        <v>886.7</v>
      </c>
    </row>
    <row r="6" spans="1:23">
      <c r="V6" s="6" t="s">
        <v>14</v>
      </c>
      <c r="W6" s="7">
        <f>SUM(W3:W5)</f>
        <v>2957.3999999999996</v>
      </c>
    </row>
    <row r="9" spans="1:23" ht="22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2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2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2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2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2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2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2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2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2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23">
      <c r="C21" s="9"/>
      <c r="V21" s="11" t="s">
        <v>15</v>
      </c>
      <c r="W21" s="12">
        <v>309.8</v>
      </c>
    </row>
    <row r="22" spans="1:23">
      <c r="V22" s="11" t="s">
        <v>16</v>
      </c>
      <c r="W22" s="12">
        <v>270.8</v>
      </c>
    </row>
    <row r="23" spans="1:23">
      <c r="V23" s="13" t="s">
        <v>14</v>
      </c>
      <c r="W23" s="14">
        <f>SUM(W20:W22)</f>
        <v>580.6</v>
      </c>
    </row>
    <row r="24" spans="1:23">
      <c r="V24" s="33"/>
      <c r="W24" s="43"/>
    </row>
    <row r="25" spans="1:23">
      <c r="V25" s="33"/>
      <c r="W25" s="43"/>
    </row>
    <row r="26" spans="1:23">
      <c r="V26" s="33"/>
      <c r="W26" s="43"/>
    </row>
    <row r="27" spans="1:23">
      <c r="A27" s="16" t="s">
        <v>20</v>
      </c>
      <c r="B27" s="17" t="s">
        <v>0</v>
      </c>
      <c r="C27" s="17" t="s">
        <v>1</v>
      </c>
      <c r="D27" s="17" t="s">
        <v>2</v>
      </c>
      <c r="E27" s="17" t="s">
        <v>3</v>
      </c>
      <c r="F27" s="17" t="s">
        <v>4</v>
      </c>
      <c r="G27" s="17" t="s">
        <v>5</v>
      </c>
      <c r="H27" s="17" t="s">
        <v>7</v>
      </c>
      <c r="I27" s="17" t="s">
        <v>6</v>
      </c>
      <c r="J27" s="17" t="s">
        <v>8</v>
      </c>
      <c r="K27" s="17" t="s">
        <v>9</v>
      </c>
      <c r="L27" s="17" t="s">
        <v>10</v>
      </c>
      <c r="M27" s="17" t="s">
        <v>18</v>
      </c>
      <c r="N27" s="17" t="s">
        <v>19</v>
      </c>
    </row>
    <row r="28" spans="1:23">
      <c r="A28" s="18" t="s">
        <v>29</v>
      </c>
      <c r="B28" s="19">
        <f>'SX và bán PP'!B28</f>
        <v>4.5</v>
      </c>
      <c r="C28" s="19">
        <f>'SX và bán PP'!C28</f>
        <v>0</v>
      </c>
      <c r="D28" s="19">
        <f>'SX và bán PP'!D28</f>
        <v>0</v>
      </c>
      <c r="E28" s="19">
        <f>'SX và bán PP'!E28</f>
        <v>0</v>
      </c>
      <c r="F28" s="19">
        <f>'SX và bán PP'!F28</f>
        <v>0</v>
      </c>
      <c r="G28" s="19">
        <f>'SX và bán PP'!G28</f>
        <v>0</v>
      </c>
      <c r="H28" s="19">
        <f>'SX và bán PP'!H28</f>
        <v>0</v>
      </c>
      <c r="I28" s="19">
        <f>'SX và bán PP'!I28</f>
        <v>0</v>
      </c>
      <c r="J28" s="19">
        <f>'SX và bán PP'!J28</f>
        <v>0</v>
      </c>
      <c r="K28" s="19">
        <f>'SX và bán PP'!K28</f>
        <v>0</v>
      </c>
      <c r="L28" s="19">
        <f>'SX và bán PP'!L28</f>
        <v>0</v>
      </c>
      <c r="M28" s="19">
        <f>'SX và bán PP'!M28</f>
        <v>0</v>
      </c>
      <c r="N28" s="20">
        <f>SUM(B28:M28)</f>
        <v>4.5</v>
      </c>
      <c r="O28" s="21"/>
    </row>
    <row r="29" spans="1:23">
      <c r="A29" s="18" t="s">
        <v>27</v>
      </c>
      <c r="B29" s="19">
        <v>3.78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>
        <f>SUM(B29:M29)</f>
        <v>3.78</v>
      </c>
      <c r="O29" s="21"/>
    </row>
    <row r="30" spans="1:23">
      <c r="A30" s="18" t="s">
        <v>28</v>
      </c>
      <c r="B30" s="19">
        <f>'SX và bán PP'!B29</f>
        <v>72</v>
      </c>
      <c r="C30" s="19">
        <f>'SX và bán PP'!C29</f>
        <v>63</v>
      </c>
      <c r="D30" s="19">
        <f>'SX và bán PP'!D29</f>
        <v>72</v>
      </c>
      <c r="E30" s="19">
        <f>'SX và bán PP'!E29</f>
        <v>63</v>
      </c>
      <c r="F30" s="19">
        <f>'SX và bán PP'!F29</f>
        <v>72</v>
      </c>
      <c r="G30" s="19">
        <f>'SX và bán PP'!G29</f>
        <v>87</v>
      </c>
      <c r="H30" s="19">
        <f>'SX và bán PP'!H29</f>
        <v>72</v>
      </c>
      <c r="I30" s="19">
        <f>'SX và bán PP'!I29</f>
        <v>63</v>
      </c>
      <c r="J30" s="19">
        <f>'SX và bán PP'!J29</f>
        <v>72</v>
      </c>
      <c r="K30" s="19">
        <f>'SX và bán PP'!K29</f>
        <v>87</v>
      </c>
      <c r="L30" s="19">
        <f>'SX và bán PP'!L29</f>
        <v>72</v>
      </c>
      <c r="M30" s="19">
        <f>'SX và bán PP'!M29</f>
        <v>63</v>
      </c>
      <c r="N30" s="20">
        <f>SUM(B30:M30)</f>
        <v>858</v>
      </c>
      <c r="O30" s="21"/>
    </row>
    <row r="31" spans="1:23">
      <c r="A31" s="18" t="s">
        <v>30</v>
      </c>
      <c r="B31" s="19">
        <f>'SX và bán PP'!B30</f>
        <v>283.14249999999998</v>
      </c>
      <c r="C31" s="19">
        <f>'SX và bán PP'!C30</f>
        <v>0</v>
      </c>
      <c r="D31" s="19">
        <f>'SX và bán PP'!D30</f>
        <v>0</v>
      </c>
      <c r="E31" s="19">
        <f>'SX và bán PP'!E30</f>
        <v>0</v>
      </c>
      <c r="F31" s="19">
        <f>'SX và bán PP'!F30</f>
        <v>0</v>
      </c>
      <c r="G31" s="19">
        <f>'SX và bán PP'!G30</f>
        <v>0</v>
      </c>
      <c r="H31" s="19">
        <f>'SX và bán PP'!H30</f>
        <v>0</v>
      </c>
      <c r="I31" s="19">
        <f>'SX và bán PP'!I30</f>
        <v>0</v>
      </c>
      <c r="J31" s="19">
        <f>'SX và bán PP'!J30</f>
        <v>0</v>
      </c>
      <c r="K31" s="19">
        <f>'SX và bán PP'!K30</f>
        <v>0</v>
      </c>
      <c r="L31" s="19">
        <f>'SX và bán PP'!L30</f>
        <v>0</v>
      </c>
      <c r="M31" s="19">
        <f>'SX và bán PP'!M30</f>
        <v>0</v>
      </c>
      <c r="N31" s="20">
        <f>'SX và bán PP'!N30</f>
        <v>283.14249999999998</v>
      </c>
      <c r="O31" s="21"/>
    </row>
    <row r="32" spans="1:23">
      <c r="N32" s="21"/>
    </row>
    <row r="33" spans="2:14">
      <c r="B33" s="41"/>
      <c r="D33" s="41"/>
      <c r="I33" s="21"/>
      <c r="J33" s="21"/>
      <c r="K33" s="21"/>
      <c r="N33" s="21"/>
    </row>
    <row r="34" spans="2:14">
      <c r="B34" s="42"/>
      <c r="C34" s="42"/>
      <c r="D34" s="42"/>
      <c r="I34" s="21"/>
    </row>
    <row r="35" spans="2:14">
      <c r="H35" s="21"/>
      <c r="J35" s="21"/>
      <c r="L35" s="21"/>
    </row>
    <row r="36" spans="2:14">
      <c r="H36" s="21"/>
    </row>
    <row r="37" spans="2:14">
      <c r="D37" s="42"/>
    </row>
    <row r="39" spans="2:14">
      <c r="D39" s="21"/>
    </row>
  </sheetData>
  <pageMargins left="0.17" right="0.17" top="0.17" bottom="0.17" header="0.17" footer="0.17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9C3-438C-41F8-B751-C41E5AB2E8CB}">
  <dimension ref="A25:Q33"/>
  <sheetViews>
    <sheetView showGridLines="0" topLeftCell="A10" zoomScaleNormal="100" workbookViewId="0">
      <selection activeCell="Q27" sqref="Q27"/>
    </sheetView>
  </sheetViews>
  <sheetFormatPr defaultColWidth="8.81640625" defaultRowHeight="14"/>
  <cols>
    <col min="1" max="1" width="13.81640625" style="1" customWidth="1"/>
    <col min="2" max="13" width="8.90625" style="1" customWidth="1"/>
    <col min="14" max="14" width="11.36328125" style="1" bestFit="1" customWidth="1"/>
    <col min="15" max="15" width="15.36328125" style="1" bestFit="1" customWidth="1"/>
    <col min="16" max="16384" width="8.81640625" style="1"/>
  </cols>
  <sheetData>
    <row r="25" spans="1:17">
      <c r="A25" s="34">
        <v>2025</v>
      </c>
      <c r="B25" s="22" t="s">
        <v>0</v>
      </c>
      <c r="C25" s="22" t="s">
        <v>1</v>
      </c>
      <c r="D25" s="22" t="s">
        <v>2</v>
      </c>
      <c r="E25" s="22" t="s">
        <v>3</v>
      </c>
      <c r="F25" s="22" t="s">
        <v>4</v>
      </c>
      <c r="G25" s="22" t="s">
        <v>5</v>
      </c>
      <c r="H25" s="22" t="s">
        <v>7</v>
      </c>
      <c r="I25" s="22" t="s">
        <v>6</v>
      </c>
      <c r="J25" s="22" t="s">
        <v>8</v>
      </c>
      <c r="K25" s="22" t="s">
        <v>9</v>
      </c>
      <c r="L25" s="22" t="s">
        <v>10</v>
      </c>
      <c r="M25" s="22" t="s">
        <v>18</v>
      </c>
      <c r="N25" s="22" t="s">
        <v>19</v>
      </c>
      <c r="O25" s="69"/>
    </row>
    <row r="26" spans="1:17">
      <c r="A26" s="23" t="s">
        <v>25</v>
      </c>
      <c r="B26" s="24">
        <f>'SX và bán PET'!B27+'SX và bán HD'!B27+'SX và bán PP'!B27+'SX và bán xơ sợi'!B27</f>
        <v>484</v>
      </c>
      <c r="C26" s="24">
        <f>'SX và bán PET'!C27+'SX và bán HD'!C27+'SX và bán PP'!C27+'SX và bán xơ sợi'!C27</f>
        <v>0</v>
      </c>
      <c r="D26" s="24">
        <f>'SX và bán PET'!D27+'SX và bán HD'!D27+'SX và bán PP'!D27+'SX và bán xơ sợi'!D27</f>
        <v>0</v>
      </c>
      <c r="E26" s="24">
        <f>'SX và bán PET'!E27+'SX và bán HD'!E27+'SX và bán PP'!E27+'SX và bán xơ sợi'!E27</f>
        <v>0</v>
      </c>
      <c r="F26" s="24">
        <f>'SX và bán PET'!F27+'SX và bán HD'!F27+'SX và bán PP'!F27+'SX và bán xơ sợi'!F27</f>
        <v>0</v>
      </c>
      <c r="G26" s="24">
        <f>'SX và bán PET'!G27+'SX và bán HD'!G27+'SX và bán PP'!G27+'SX và bán xơ sợi'!G27</f>
        <v>0</v>
      </c>
      <c r="H26" s="24">
        <f>'SX và bán PET'!H27+'SX và bán HD'!H27+'SX và bán PP'!H27+'SX và bán xơ sợi'!H27</f>
        <v>0</v>
      </c>
      <c r="I26" s="24">
        <f>'SX và bán PET'!I27+'SX và bán HD'!I27+'SX và bán PP'!I27+'SX và bán xơ sợi'!I27</f>
        <v>0</v>
      </c>
      <c r="J26" s="24">
        <f>'SX và bán PET'!J27+'SX và bán HD'!J27+'SX và bán PP'!J27+'SX và bán xơ sợi'!J27</f>
        <v>0</v>
      </c>
      <c r="K26" s="24">
        <f>'SX và bán PET'!K27+'SX và bán HD'!K27+'SX và bán PP'!K27+'SX và bán xơ sợi'!K27</f>
        <v>0</v>
      </c>
      <c r="L26" s="24">
        <f>'SX và bán PET'!L27+'SX và bán HD'!L27+'SX và bán PP'!L27+'SX và bán xơ sợi'!L27</f>
        <v>0</v>
      </c>
      <c r="M26" s="24">
        <f>'SX và bán PET'!M27+'SX và bán HD'!M27+'SX và bán PP'!M27+'SX và bán xơ sợi'!M27</f>
        <v>0</v>
      </c>
      <c r="N26" s="24">
        <f>SUM(B26:M26)</f>
        <v>484</v>
      </c>
      <c r="O26" s="2"/>
      <c r="Q26" s="45"/>
    </row>
    <row r="27" spans="1:17">
      <c r="A27" s="23" t="s">
        <v>21</v>
      </c>
      <c r="B27" s="24">
        <f>'SX và bán PET'!B28+'SX và bán HD'!B28+'SX và bán PP'!B28+'SX và bán xơ sợi'!B28</f>
        <v>1296.7750000000001</v>
      </c>
      <c r="C27" s="24">
        <f>'SX và bán PET'!C28+'SX và bán HD'!C28+'SX và bán PP'!C28+'SX và bán xơ sợi'!C28</f>
        <v>0</v>
      </c>
      <c r="D27" s="24">
        <f>'SX và bán PET'!D28+'SX và bán HD'!D28+'SX và bán PP'!D28+'SX và bán xơ sợi'!D28</f>
        <v>0</v>
      </c>
      <c r="E27" s="24">
        <f>'SX và bán PET'!E28+'SX và bán HD'!E28+'SX và bán PP'!E28+'SX và bán xơ sợi'!E28</f>
        <v>0</v>
      </c>
      <c r="F27" s="24">
        <f>'SX và bán PET'!F28+'SX và bán HD'!F28+'SX và bán PP'!F28+'SX và bán xơ sợi'!F28</f>
        <v>0</v>
      </c>
      <c r="G27" s="24">
        <f>'SX và bán PET'!G28+'SX và bán HD'!G28+'SX và bán PP'!G28+'SX và bán xơ sợi'!G28</f>
        <v>0</v>
      </c>
      <c r="H27" s="24">
        <f>'SX và bán PET'!H28+'SX và bán HD'!H28+'SX và bán PP'!H28+'SX và bán xơ sợi'!H28</f>
        <v>0</v>
      </c>
      <c r="I27" s="24">
        <f>'SX và bán PET'!I28+'SX và bán HD'!I28+'SX và bán PP'!I28+'SX và bán xơ sợi'!I28</f>
        <v>0</v>
      </c>
      <c r="J27" s="24">
        <f>'SX và bán PET'!J28+'SX và bán HD'!J28+'SX và bán PP'!J28+'SX và bán xơ sợi'!J28</f>
        <v>0</v>
      </c>
      <c r="K27" s="24">
        <f>'SX và bán PET'!K28+'SX và bán HD'!K28+'SX và bán PP'!K28+'SX và bán xơ sợi'!K28</f>
        <v>0</v>
      </c>
      <c r="L27" s="24">
        <f>'SX và bán PET'!L28+'SX và bán HD'!L28+'SX và bán PP'!L28+'SX và bán xơ sợi'!L28</f>
        <v>0</v>
      </c>
      <c r="M27" s="24">
        <f>'SX và bán PET'!M28+'SX và bán HD'!M28+'SX và bán PP'!M28+'SX và bán xơ sợi'!M28</f>
        <v>0</v>
      </c>
      <c r="N27" s="24">
        <f t="shared" ref="N27:N28" si="0">SUM(B27:M27)</f>
        <v>1296.7750000000001</v>
      </c>
      <c r="O27" s="2"/>
      <c r="P27" s="29"/>
    </row>
    <row r="28" spans="1:17">
      <c r="A28" s="23" t="s">
        <v>26</v>
      </c>
      <c r="B28" s="37">
        <f>'SX và bán PET'!B29+'SX và bán HD'!B29+'SX và bán PP'!B29+'SX và bán xơ sợi'!B29</f>
        <v>4307.222932676138</v>
      </c>
      <c r="C28" s="37">
        <f>'SX và bán PET'!C29+'SX và bán HD'!C29+'SX và bán PP'!C29+'SX và bán xơ sợi'!C29</f>
        <v>4242.3145678240326</v>
      </c>
      <c r="D28" s="37">
        <f>'SX và bán PET'!D29+'SX và bán HD'!D29+'SX và bán PP'!D29+'SX và bán xơ sợi'!D29</f>
        <v>4667.5574034757401</v>
      </c>
      <c r="E28" s="37">
        <f>'SX và bán PET'!E29+'SX và bán HD'!E29+'SX và bán PP'!E29+'SX và bán xơ sợi'!E29</f>
        <v>4383.2315186767219</v>
      </c>
      <c r="F28" s="37">
        <f>'SX và bán PET'!F29+'SX và bán HD'!F29+'SX và bán PP'!F29+'SX và bán xơ sợi'!F29</f>
        <v>4652.4364391825357</v>
      </c>
      <c r="G28" s="37">
        <f>'SX và bán PET'!G29+'SX và bán HD'!G29+'SX và bán PP'!G29+'SX và bán xơ sợi'!G29</f>
        <v>4680.9521822275938</v>
      </c>
      <c r="H28" s="37">
        <f>'SX và bán PET'!H29+'SX và bán HD'!H29+'SX và bán PP'!H29+'SX và bán xơ sợi'!H29</f>
        <v>4678.4225169732681</v>
      </c>
      <c r="I28" s="37">
        <f>'SX và bán PET'!I29+'SX và bán HD'!I29+'SX và bán PP'!I29+'SX và bán xơ sợi'!I29</f>
        <v>4551.8494989087403</v>
      </c>
      <c r="J28" s="37">
        <f>'SX và bán PET'!J29+'SX và bán HD'!J29+'SX và bán PP'!J29+'SX và bán xơ sợi'!J29</f>
        <v>4763.6231018888848</v>
      </c>
      <c r="K28" s="37">
        <f>'SX và bán PET'!K29+'SX và bán HD'!K29+'SX và bán PP'!K29+'SX và bán xơ sợi'!K29</f>
        <v>4457.6262974285746</v>
      </c>
      <c r="L28" s="37">
        <f>'SX và bán PET'!L29+'SX và bán HD'!L29+'SX và bán PP'!L29+'SX và bán xơ sợi'!L29</f>
        <v>4709.2431243544625</v>
      </c>
      <c r="M28" s="37">
        <f>'SX và bán PET'!M29+'SX và bán HD'!M29+'SX và bán PP'!M29+'SX và bán xơ sợi'!M29</f>
        <v>4773.5204185700313</v>
      </c>
      <c r="N28" s="24">
        <f t="shared" si="0"/>
        <v>54868.000002186731</v>
      </c>
      <c r="O28" s="2"/>
      <c r="P28" s="29"/>
    </row>
    <row r="29" spans="1:17">
      <c r="A29" s="23" t="s">
        <v>32</v>
      </c>
      <c r="B29" s="37">
        <f>'SX và bán PET'!B30+'SX và bán HD'!B30+'SX và bán PP'!B30+'SX và bán xơ sợi'!B30</f>
        <v>11005.27195</v>
      </c>
      <c r="C29" s="37">
        <f>'SX và bán PET'!C30+'SX và bán HD'!C30+'SX và bán PP'!C30+'SX và bán xơ sợi'!C30</f>
        <v>0</v>
      </c>
      <c r="D29" s="37">
        <f>'SX và bán PET'!D30+'SX và bán HD'!D30+'SX và bán PP'!D30+'SX và bán xơ sợi'!D30</f>
        <v>0</v>
      </c>
      <c r="E29" s="37">
        <f>'SX và bán PET'!E30+'SX và bán HD'!E30+'SX và bán PP'!E30+'SX và bán xơ sợi'!E30</f>
        <v>0</v>
      </c>
      <c r="F29" s="37">
        <f>'SX và bán PET'!F30+'SX và bán HD'!F30+'SX và bán PP'!F30+'SX và bán xơ sợi'!F30</f>
        <v>0</v>
      </c>
      <c r="G29" s="37">
        <f>'SX và bán PET'!G30+'SX và bán HD'!G30+'SX và bán PP'!G30+'SX và bán xơ sợi'!G30</f>
        <v>0</v>
      </c>
      <c r="H29" s="37">
        <f>'SX và bán PET'!H30+'SX và bán HD'!H30+'SX và bán PP'!H30+'SX và bán xơ sợi'!H30</f>
        <v>0</v>
      </c>
      <c r="I29" s="37">
        <f>'SX và bán PET'!I30+'SX và bán HD'!I30+'SX và bán PP'!I30+'SX và bán xơ sợi'!I30</f>
        <v>0</v>
      </c>
      <c r="J29" s="37">
        <f>'SX và bán PET'!J30+'SX và bán HD'!J30+'SX và bán PP'!J30+'SX và bán xơ sợi'!J30</f>
        <v>0</v>
      </c>
      <c r="K29" s="37">
        <f>'SX và bán PET'!K30+'SX và bán HD'!K30+'SX và bán PP'!K30+'SX và bán xơ sợi'!K30</f>
        <v>0</v>
      </c>
      <c r="L29" s="37">
        <f>'SX và bán PET'!L30+'SX và bán HD'!L30+'SX và bán PP'!L30+'SX và bán xơ sợi'!L30</f>
        <v>0</v>
      </c>
      <c r="M29" s="37">
        <f>'SX và bán PET'!M30+'SX và bán HD'!M30+'SX và bán PP'!M30+'SX và bán xơ sợi'!M30</f>
        <v>0</v>
      </c>
      <c r="N29" s="37">
        <f>'SX và bán PET'!N30+'SX và bán HD'!N30+'SX và bán PP'!N30+'SX và bán xơ sợi'!N30</f>
        <v>11005.27195</v>
      </c>
      <c r="O29" s="2"/>
      <c r="P29" s="29"/>
    </row>
    <row r="30" spans="1:17">
      <c r="A30" s="65"/>
      <c r="B30" s="29"/>
      <c r="C30" s="29"/>
      <c r="D30" s="29"/>
      <c r="F30" s="64"/>
      <c r="G30" s="2"/>
      <c r="H30" s="2"/>
      <c r="K30" s="29"/>
    </row>
    <row r="31" spans="1:17">
      <c r="D31" s="36"/>
      <c r="F31" s="36"/>
      <c r="G31" s="36"/>
      <c r="H31" s="36"/>
      <c r="K31" s="36"/>
    </row>
    <row r="32" spans="1:17">
      <c r="F32" s="2"/>
      <c r="H32" s="36"/>
      <c r="K32" s="36"/>
    </row>
    <row r="33" spans="6:8">
      <c r="F33" s="36"/>
      <c r="H33" s="2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0EF6-13FF-4FF3-89C4-C2C63CC2B369}">
  <dimension ref="A26:R35"/>
  <sheetViews>
    <sheetView showGridLines="0" topLeftCell="A16" zoomScale="90" zoomScaleNormal="90" workbookViewId="0">
      <selection activeCell="E32" sqref="E32"/>
    </sheetView>
  </sheetViews>
  <sheetFormatPr defaultColWidth="8.81640625" defaultRowHeight="14"/>
  <cols>
    <col min="1" max="1" width="14.36328125" style="1" customWidth="1"/>
    <col min="2" max="14" width="9.54296875" style="1" customWidth="1"/>
    <col min="15" max="15" width="11.6328125" style="1" bestFit="1" customWidth="1"/>
    <col min="16" max="16" width="10" style="1" bestFit="1" customWidth="1"/>
    <col min="17" max="16384" width="8.81640625" style="1"/>
  </cols>
  <sheetData>
    <row r="26" spans="1:18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  <c r="O26" s="38"/>
    </row>
    <row r="27" spans="1:18" ht="17" customHeight="1">
      <c r="A27" s="23" t="s">
        <v>25</v>
      </c>
      <c r="B27" s="24">
        <v>408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f>SUM(B27:M27)</f>
        <v>408</v>
      </c>
      <c r="O27" s="38"/>
      <c r="P27" s="38"/>
    </row>
    <row r="28" spans="1:18" ht="15.5" customHeight="1">
      <c r="A28" s="23" t="s">
        <v>21</v>
      </c>
      <c r="B28" s="37">
        <f>1142.9+17.6</f>
        <v>1160.5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24">
        <f>SUM(B28:M28)</f>
        <v>1160.5</v>
      </c>
      <c r="O28" s="38"/>
      <c r="P28" s="29"/>
      <c r="R28" s="35"/>
    </row>
    <row r="29" spans="1:18" ht="16" customHeight="1">
      <c r="A29" s="23" t="s">
        <v>26</v>
      </c>
      <c r="B29" s="37">
        <v>3754.6359493428045</v>
      </c>
      <c r="C29" s="37">
        <v>3654.727584490699</v>
      </c>
      <c r="D29" s="37">
        <v>3872.9704201424065</v>
      </c>
      <c r="E29" s="37">
        <v>3773.6445353433878</v>
      </c>
      <c r="F29" s="37">
        <v>4033.8494558492021</v>
      </c>
      <c r="G29" s="37">
        <v>3849.3651988942602</v>
      </c>
      <c r="H29" s="37">
        <v>4007.835533639935</v>
      </c>
      <c r="I29" s="37">
        <v>3868.2625155754067</v>
      </c>
      <c r="J29" s="37">
        <v>3873.0361185555512</v>
      </c>
      <c r="K29" s="37">
        <v>3750.039314095241</v>
      </c>
      <c r="L29" s="37">
        <v>4016.6561410211293</v>
      </c>
      <c r="M29" s="37">
        <v>3891.9334352366977</v>
      </c>
      <c r="N29" s="24">
        <f>SUM(B29:M29)</f>
        <v>46346.956202186724</v>
      </c>
      <c r="O29" s="56"/>
      <c r="P29" s="29"/>
      <c r="Q29" s="36"/>
      <c r="R29" s="35"/>
    </row>
    <row r="30" spans="1:18" ht="17.5" customHeight="1">
      <c r="A30" s="23" t="s">
        <v>32</v>
      </c>
      <c r="B30" s="37">
        <v>7062.8558500000008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24">
        <f>B30</f>
        <v>7062.8558500000008</v>
      </c>
      <c r="O30" s="38"/>
      <c r="P30" s="29"/>
    </row>
    <row r="31" spans="1:18">
      <c r="G31" s="29"/>
      <c r="K31" s="38"/>
      <c r="O31" s="38"/>
    </row>
    <row r="32" spans="1:18">
      <c r="B32" s="29"/>
      <c r="C32" s="29"/>
      <c r="D32" s="29"/>
      <c r="E32" s="29"/>
      <c r="F32" s="29"/>
      <c r="G32" s="29"/>
      <c r="H32" s="36"/>
      <c r="I32" s="36"/>
      <c r="J32" s="36"/>
      <c r="K32" s="29"/>
      <c r="L32" s="36"/>
      <c r="M32" s="29"/>
      <c r="O32" s="38"/>
    </row>
    <row r="33" spans="6:14">
      <c r="F33" s="54"/>
      <c r="G33" s="54"/>
      <c r="J33" s="38"/>
      <c r="L33" s="29"/>
    </row>
    <row r="34" spans="6:14">
      <c r="F34" s="54"/>
      <c r="I34" s="36"/>
      <c r="L34" s="29"/>
      <c r="M34" s="29"/>
      <c r="N34" s="70"/>
    </row>
    <row r="35" spans="6:14">
      <c r="F35" s="54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335F-9E7B-4FC9-9D43-8730CA412C78}">
  <dimension ref="A26:R35"/>
  <sheetViews>
    <sheetView showGridLines="0" topLeftCell="A13" zoomScale="80" zoomScaleNormal="80" workbookViewId="0">
      <selection activeCell="B30" sqref="B30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7" width="9.1796875" style="1" bestFit="1" customWidth="1"/>
    <col min="8" max="8" width="10.36328125" style="1" bestFit="1" customWidth="1"/>
    <col min="9" max="10" width="9.54296875" style="1" bestFit="1" customWidth="1"/>
    <col min="11" max="12" width="9.453125" style="1" bestFit="1" customWidth="1"/>
    <col min="13" max="13" width="10.08984375" style="1" customWidth="1"/>
    <col min="14" max="14" width="9.54296875" style="1" bestFit="1" customWidth="1"/>
    <col min="15" max="15" width="11.6328125" style="1" bestFit="1" customWidth="1"/>
    <col min="16" max="17" width="8.81640625" style="1"/>
    <col min="18" max="18" width="10.36328125" style="1" bestFit="1" customWidth="1"/>
    <col min="19" max="16384" width="8.81640625" style="1"/>
  </cols>
  <sheetData>
    <row r="26" spans="1:18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  <c r="Q26" s="38"/>
    </row>
    <row r="27" spans="1:18" ht="18.5" customHeight="1">
      <c r="A27" s="23" t="s">
        <v>25</v>
      </c>
      <c r="B27" s="24">
        <v>52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f>SUM(B27:M27)</f>
        <v>52</v>
      </c>
      <c r="O27" s="29"/>
      <c r="Q27" s="38"/>
    </row>
    <row r="28" spans="1:18" ht="18" customHeight="1">
      <c r="A28" s="23" t="s">
        <v>21</v>
      </c>
      <c r="B28" s="37">
        <f>127.375+22</f>
        <v>149.375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24">
        <f>SUM(B28:M28)</f>
        <v>149.375</v>
      </c>
      <c r="O28" s="54"/>
      <c r="P28" s="55"/>
    </row>
    <row r="29" spans="1:18" ht="19" customHeight="1">
      <c r="A29" s="23" t="s">
        <v>26</v>
      </c>
      <c r="B29" s="19">
        <v>394</v>
      </c>
      <c r="C29" s="19">
        <v>438</v>
      </c>
      <c r="D29" s="19">
        <v>636</v>
      </c>
      <c r="E29" s="19">
        <v>460</v>
      </c>
      <c r="F29" s="19">
        <v>460</v>
      </c>
      <c r="G29" s="19">
        <v>658</v>
      </c>
      <c r="H29" s="19">
        <v>512</v>
      </c>
      <c r="I29" s="19">
        <v>534</v>
      </c>
      <c r="J29" s="19">
        <v>732</v>
      </c>
      <c r="K29" s="19">
        <v>534</v>
      </c>
      <c r="L29" s="19">
        <v>534</v>
      </c>
      <c r="M29" s="19">
        <v>732</v>
      </c>
      <c r="N29" s="24">
        <f>SUM(B29:M29)</f>
        <v>6624</v>
      </c>
      <c r="P29" s="29"/>
      <c r="Q29" s="38"/>
    </row>
    <row r="30" spans="1:18" ht="20" customHeight="1">
      <c r="A30" s="23" t="s">
        <v>32</v>
      </c>
      <c r="B30" s="19">
        <v>2611.9949999999994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f>B30</f>
        <v>2611.9949999999994</v>
      </c>
      <c r="Q30" s="38"/>
    </row>
    <row r="31" spans="1:18">
      <c r="B31" s="29"/>
      <c r="C31" s="29"/>
      <c r="D31" s="29"/>
      <c r="E31" s="29"/>
      <c r="F31" s="57"/>
      <c r="G31" s="29"/>
      <c r="H31" s="29"/>
      <c r="I31" s="36"/>
      <c r="J31" s="36"/>
      <c r="K31" s="29"/>
      <c r="M31" s="38"/>
      <c r="Q31" s="38"/>
      <c r="R31" s="38"/>
    </row>
    <row r="32" spans="1:18">
      <c r="C32" s="29"/>
      <c r="D32" s="29"/>
      <c r="G32" s="29"/>
      <c r="H32" s="38"/>
      <c r="K32" s="35"/>
      <c r="M32" s="58"/>
    </row>
    <row r="33" spans="7:9">
      <c r="G33" s="29"/>
      <c r="H33" s="38"/>
      <c r="I33" s="36"/>
    </row>
    <row r="34" spans="7:9">
      <c r="G34" s="38"/>
    </row>
    <row r="35" spans="7:9">
      <c r="G35" s="38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88C7-CDE0-4197-8EFA-591F077CED47}">
  <dimension ref="A26:P34"/>
  <sheetViews>
    <sheetView showGridLines="0" topLeftCell="A13" zoomScale="80" zoomScaleNormal="80" workbookViewId="0">
      <selection activeCell="B30" sqref="B30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8" width="9.1796875" style="1" bestFit="1" customWidth="1"/>
    <col min="9" max="10" width="9.54296875" style="1" bestFit="1" customWidth="1"/>
    <col min="11" max="12" width="9.453125" style="1" bestFit="1" customWidth="1"/>
    <col min="13" max="13" width="10.1796875" style="1" bestFit="1" customWidth="1"/>
    <col min="14" max="14" width="9.54296875" style="1" bestFit="1" customWidth="1"/>
    <col min="15" max="15" width="11.6328125" style="1" bestFit="1" customWidth="1"/>
    <col min="16" max="16384" width="8.81640625" style="1"/>
  </cols>
  <sheetData>
    <row r="26" spans="1:16">
      <c r="A26" s="34">
        <v>2025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</row>
    <row r="27" spans="1:16" ht="16">
      <c r="A27" s="23" t="s">
        <v>25</v>
      </c>
      <c r="B27" s="19"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4">
        <f>SUM(B27:M27)</f>
        <v>0</v>
      </c>
      <c r="O27" s="54"/>
      <c r="P27" s="29"/>
    </row>
    <row r="28" spans="1:16" ht="16">
      <c r="A28" s="23" t="s">
        <v>21</v>
      </c>
      <c r="B28" s="19">
        <v>4.5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4">
        <f t="shared" ref="N28:N29" si="0">SUM(B28:M28)</f>
        <v>4.5</v>
      </c>
      <c r="O28" s="54"/>
      <c r="P28" s="29"/>
    </row>
    <row r="29" spans="1:16" ht="16">
      <c r="A29" s="23" t="s">
        <v>26</v>
      </c>
      <c r="B29" s="19">
        <v>72</v>
      </c>
      <c r="C29" s="19">
        <v>63</v>
      </c>
      <c r="D29" s="19">
        <v>72</v>
      </c>
      <c r="E29" s="19">
        <v>63</v>
      </c>
      <c r="F29" s="19">
        <v>72</v>
      </c>
      <c r="G29" s="19">
        <v>87</v>
      </c>
      <c r="H29" s="19">
        <v>72</v>
      </c>
      <c r="I29" s="19">
        <v>63</v>
      </c>
      <c r="J29" s="19">
        <v>72</v>
      </c>
      <c r="K29" s="19">
        <v>87</v>
      </c>
      <c r="L29" s="19">
        <v>72</v>
      </c>
      <c r="M29" s="19">
        <v>63</v>
      </c>
      <c r="N29" s="24">
        <f t="shared" si="0"/>
        <v>858</v>
      </c>
      <c r="O29" s="54"/>
      <c r="P29" s="29"/>
    </row>
    <row r="30" spans="1:16" ht="16">
      <c r="A30" s="44" t="s">
        <v>30</v>
      </c>
      <c r="B30" s="19">
        <v>283.14249999999998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f>B30</f>
        <v>283.14249999999998</v>
      </c>
    </row>
    <row r="32" spans="1:16">
      <c r="B32" s="29"/>
      <c r="C32" s="29"/>
      <c r="D32" s="29"/>
      <c r="E32" s="29"/>
      <c r="F32" s="29"/>
      <c r="G32" s="29"/>
      <c r="H32" s="29"/>
      <c r="I32" s="36"/>
      <c r="J32" s="36"/>
      <c r="K32" s="29"/>
      <c r="L32" s="29"/>
    </row>
    <row r="34" spans="3:3">
      <c r="C34" s="29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3F1E-133A-44C6-86A6-3D069D47591E}">
  <dimension ref="A26:P36"/>
  <sheetViews>
    <sheetView showGridLines="0" topLeftCell="A10" zoomScale="80" zoomScaleNormal="80" workbookViewId="0">
      <selection activeCell="B30" sqref="B30"/>
    </sheetView>
  </sheetViews>
  <sheetFormatPr defaultColWidth="8.81640625" defaultRowHeight="14"/>
  <cols>
    <col min="1" max="1" width="13.81640625" style="1" customWidth="1"/>
    <col min="2" max="4" width="8.90625" style="1" bestFit="1" customWidth="1"/>
    <col min="5" max="8" width="9.1796875" style="1" bestFit="1" customWidth="1"/>
    <col min="9" max="10" width="9.54296875" style="1" bestFit="1" customWidth="1"/>
    <col min="11" max="12" width="9.453125" style="1" bestFit="1" customWidth="1"/>
    <col min="13" max="13" width="10.1796875" style="1" bestFit="1" customWidth="1"/>
    <col min="14" max="14" width="9.54296875" style="1" bestFit="1" customWidth="1"/>
    <col min="15" max="15" width="11.6328125" style="1" bestFit="1" customWidth="1"/>
    <col min="16" max="16384" width="8.81640625" style="1"/>
  </cols>
  <sheetData>
    <row r="26" spans="1:16">
      <c r="A26" s="34">
        <v>2026</v>
      </c>
      <c r="B26" s="22" t="s">
        <v>0</v>
      </c>
      <c r="C26" s="22" t="s">
        <v>1</v>
      </c>
      <c r="D26" s="22" t="s">
        <v>2</v>
      </c>
      <c r="E26" s="22" t="s">
        <v>3</v>
      </c>
      <c r="F26" s="22" t="s">
        <v>4</v>
      </c>
      <c r="G26" s="22" t="s">
        <v>5</v>
      </c>
      <c r="H26" s="22" t="s">
        <v>7</v>
      </c>
      <c r="I26" s="22" t="s">
        <v>6</v>
      </c>
      <c r="J26" s="22" t="s">
        <v>8</v>
      </c>
      <c r="K26" s="22" t="s">
        <v>9</v>
      </c>
      <c r="L26" s="22" t="s">
        <v>10</v>
      </c>
      <c r="M26" s="22" t="s">
        <v>18</v>
      </c>
      <c r="N26" s="22" t="s">
        <v>19</v>
      </c>
    </row>
    <row r="27" spans="1:16" ht="16.5" customHeight="1">
      <c r="A27" s="23" t="s">
        <v>25</v>
      </c>
      <c r="B27" s="24">
        <v>24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f>SUM(B27:M27)</f>
        <v>24</v>
      </c>
    </row>
    <row r="28" spans="1:16" ht="15.5" customHeight="1">
      <c r="A28" s="23" t="s">
        <v>21</v>
      </c>
      <c r="B28" s="37">
        <v>-17.600000000000001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24">
        <f t="shared" ref="N28:N29" si="0">SUM(B28:M28)</f>
        <v>-17.600000000000001</v>
      </c>
      <c r="P28" s="29"/>
    </row>
    <row r="29" spans="1:16" ht="16.5" customHeight="1">
      <c r="A29" s="23" t="s">
        <v>26</v>
      </c>
      <c r="B29" s="19">
        <v>86.586983333333322</v>
      </c>
      <c r="C29" s="19">
        <v>86.586983333333322</v>
      </c>
      <c r="D29" s="19">
        <v>86.586983333333322</v>
      </c>
      <c r="E29" s="19">
        <v>86.586983333333322</v>
      </c>
      <c r="F29" s="19">
        <v>86.586983333333322</v>
      </c>
      <c r="G29" s="19">
        <v>86.586983333333322</v>
      </c>
      <c r="H29" s="19">
        <v>86.586983333333322</v>
      </c>
      <c r="I29" s="19">
        <v>86.586983333333322</v>
      </c>
      <c r="J29" s="19">
        <v>86.586983333333322</v>
      </c>
      <c r="K29" s="19">
        <v>86.586983333333322</v>
      </c>
      <c r="L29" s="19">
        <v>86.586983333333322</v>
      </c>
      <c r="M29" s="19">
        <v>86.586983333333322</v>
      </c>
      <c r="N29" s="24">
        <f t="shared" si="0"/>
        <v>1039.0438000000001</v>
      </c>
      <c r="P29" s="29"/>
    </row>
    <row r="30" spans="1:16" ht="16">
      <c r="A30" s="44" t="s">
        <v>30</v>
      </c>
      <c r="B30" s="19">
        <v>1047.2785999999999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0">
        <f>B30</f>
        <v>1047.2785999999999</v>
      </c>
      <c r="O30" s="29"/>
    </row>
    <row r="32" spans="1:16">
      <c r="B32" s="29"/>
      <c r="C32" s="29"/>
      <c r="D32" s="29"/>
      <c r="E32" s="29"/>
      <c r="F32" s="29"/>
      <c r="G32" s="29"/>
      <c r="H32" s="29"/>
      <c r="I32" s="36"/>
      <c r="J32" s="36"/>
      <c r="K32" s="29"/>
      <c r="L32" s="29"/>
    </row>
    <row r="34" spans="3:8">
      <c r="C34" s="29"/>
      <c r="H34" s="38"/>
    </row>
    <row r="35" spans="3:8">
      <c r="H35" s="38"/>
    </row>
    <row r="36" spans="3:8">
      <c r="H36" s="3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mua và bán</vt:lpstr>
      <vt:lpstr>Mua-bán PET</vt:lpstr>
      <vt:lpstr>Mua-bán HD</vt:lpstr>
      <vt:lpstr>Mua-bán-PP</vt:lpstr>
      <vt:lpstr>Tổng SX và bán</vt:lpstr>
      <vt:lpstr>SX và bán PET</vt:lpstr>
      <vt:lpstr>SX và bán HD</vt:lpstr>
      <vt:lpstr>SX và bán PP</vt:lpstr>
      <vt:lpstr>SX và bán xơ sợi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Diễm, Nguyễn Thị Thanh</cp:lastModifiedBy>
  <cp:revision/>
  <cp:lastPrinted>2025-07-15T02:13:22Z</cp:lastPrinted>
  <dcterms:created xsi:type="dcterms:W3CDTF">2015-06-05T18:17:20Z</dcterms:created>
  <dcterms:modified xsi:type="dcterms:W3CDTF">2026-01-13T06:35:31Z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