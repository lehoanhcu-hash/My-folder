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https://dtg-my.sharepoint.com/personal/phamngocphuongphuong_duytanrecycling_com/Documents/2. Data/2. Report 2023/22. Công nghệ cao/4. Hoso DuAn/1. KHDA/"/>
    </mc:Choice>
  </mc:AlternateContent>
  <xr:revisionPtr revIDLastSave="827" documentId="8_{B655137A-D505-4493-AD2C-8F82C72B2DC3}" xr6:coauthVersionLast="47" xr6:coauthVersionMax="47" xr10:uidLastSave="{F45DAC83-19A8-4470-86E2-15C03206A1D6}"/>
  <bookViews>
    <workbookView xWindow="-110" yWindow="-110" windowWidth="19420" windowHeight="10300" xr2:uid="{00000000-000D-0000-FFFF-FFFF00000000}"/>
  </bookViews>
  <sheets>
    <sheet name="TD du an" sheetId="1" r:id="rId1"/>
    <sheet name="Sheet1" sheetId="2" r:id="rId2"/>
  </sheets>
  <externalReferences>
    <externalReference r:id="rId3"/>
  </externalReferences>
  <definedNames>
    <definedName name="_xlnm._FilterDatabase" localSheetId="0" hidden="1">'TD du an'!$B$5:$J$6</definedName>
    <definedName name="du_lieu">'TD du an'!$A$8:$J$215</definedName>
    <definedName name="ngay_thang">'TD du an'!$K$8:$AX$459</definedName>
    <definedName name="tieu_de">'TD du an'!$5:$6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B3" i="1"/>
  <c r="BM7" i="1"/>
  <c r="A7" i="1"/>
  <c r="E4" i="1"/>
  <c r="E3" i="1"/>
  <c r="H3" i="1"/>
  <c r="H4" i="1"/>
  <c r="BM8" i="1"/>
  <c r="K5" i="1"/>
  <c r="K6" i="1" s="1"/>
  <c r="H27" i="2"/>
  <c r="G28" i="2" s="1"/>
  <c r="H25" i="2"/>
  <c r="H13" i="2"/>
  <c r="G14" i="2" s="1"/>
  <c r="G5" i="2"/>
  <c r="H5" i="2" s="1"/>
  <c r="G6" i="2" s="1"/>
  <c r="H6" i="2" s="1"/>
  <c r="G7" i="2" s="1"/>
  <c r="H7" i="2" s="1"/>
  <c r="G8" i="2" s="1"/>
  <c r="H8" i="2" s="1"/>
  <c r="G9" i="2" s="1"/>
  <c r="G10" i="2" s="1"/>
  <c r="G8" i="1" l="1"/>
  <c r="I8" i="1"/>
  <c r="E8" i="1"/>
  <c r="D8" i="1"/>
  <c r="H8" i="1"/>
  <c r="B8" i="1"/>
  <c r="F8" i="1"/>
  <c r="BM9" i="1"/>
  <c r="G9" i="1" s="1"/>
  <c r="H10" i="2"/>
  <c r="H28" i="2"/>
  <c r="G29" i="2" s="1"/>
  <c r="H35" i="2" s="1"/>
  <c r="H36" i="2" s="1"/>
  <c r="G37" i="2" s="1"/>
  <c r="H37" i="2" s="1"/>
  <c r="G38" i="2" s="1"/>
  <c r="H38" i="2" s="1"/>
  <c r="G39" i="2" s="1"/>
  <c r="H39" i="2" s="1"/>
  <c r="G40" i="2" s="1"/>
  <c r="G41" i="2" s="1"/>
  <c r="H43" i="2" s="1"/>
  <c r="G44" i="2" s="1"/>
  <c r="H44" i="2" s="1"/>
  <c r="G45" i="2" s="1"/>
  <c r="H45" i="2" s="1"/>
  <c r="G46" i="2" s="1"/>
  <c r="H46" i="2" s="1"/>
  <c r="G47" i="2" s="1"/>
  <c r="H47" i="2" s="1"/>
  <c r="G48" i="2" s="1"/>
  <c r="G49" i="2" s="1"/>
  <c r="H51" i="2" s="1"/>
  <c r="G52" i="2" s="1"/>
  <c r="H52" i="2" s="1"/>
  <c r="G53" i="2" s="1"/>
  <c r="H53" i="2" s="1"/>
  <c r="G54" i="2" s="1"/>
  <c r="H54" i="2" s="1"/>
  <c r="G55" i="2" s="1"/>
  <c r="H14" i="2"/>
  <c r="G15" i="2" s="1"/>
  <c r="H15" i="2" s="1"/>
  <c r="G16" i="2" s="1"/>
  <c r="H16" i="2" s="1"/>
  <c r="G17" i="2" s="1"/>
  <c r="H17" i="2" s="1"/>
  <c r="G18" i="2" s="1"/>
  <c r="H18" i="2" s="1"/>
  <c r="G19" i="2" s="1"/>
  <c r="H19" i="2" s="1"/>
  <c r="H9" i="1" l="1"/>
  <c r="E9" i="1"/>
  <c r="D9" i="1"/>
  <c r="J8" i="1"/>
  <c r="I9" i="1"/>
  <c r="F9" i="1"/>
  <c r="B9" i="1"/>
  <c r="A9" i="1" s="1"/>
  <c r="BM10" i="1"/>
  <c r="L5" i="1"/>
  <c r="H10" i="1" l="1"/>
  <c r="E10" i="1"/>
  <c r="D10" i="1"/>
  <c r="I10" i="1"/>
  <c r="G10" i="1"/>
  <c r="F10" i="1"/>
  <c r="J9" i="1"/>
  <c r="B10" i="1"/>
  <c r="A10" i="1" s="1"/>
  <c r="BM11" i="1"/>
  <c r="M5" i="1"/>
  <c r="L6" i="1"/>
  <c r="H11" i="1" l="1"/>
  <c r="E11" i="1"/>
  <c r="D11" i="1"/>
  <c r="I11" i="1"/>
  <c r="J10" i="1"/>
  <c r="F11" i="1"/>
  <c r="G11" i="1"/>
  <c r="B11" i="1"/>
  <c r="A11" i="1" s="1"/>
  <c r="BM12" i="1"/>
  <c r="N5" i="1"/>
  <c r="M6" i="1"/>
  <c r="H12" i="1" l="1"/>
  <c r="E12" i="1"/>
  <c r="D12" i="1"/>
  <c r="I12" i="1"/>
  <c r="F12" i="1"/>
  <c r="G12" i="1"/>
  <c r="G7" i="1" s="1"/>
  <c r="J11" i="1"/>
  <c r="BM13" i="1"/>
  <c r="B12" i="1"/>
  <c r="A12" i="1" s="1"/>
  <c r="O5" i="1"/>
  <c r="N6"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H13" i="1" l="1"/>
  <c r="E13" i="1"/>
  <c r="D13" i="1"/>
  <c r="I13" i="1"/>
  <c r="F13" i="1"/>
  <c r="G13" i="1"/>
  <c r="BM14" i="1"/>
  <c r="B13" i="1"/>
  <c r="A13" i="1" s="1"/>
  <c r="P5" i="1"/>
  <c r="O6" i="1"/>
  <c r="BM15" i="1" l="1"/>
  <c r="F15" i="1" s="1"/>
  <c r="G14" i="1"/>
  <c r="H14" i="1"/>
  <c r="E14" i="1"/>
  <c r="D14" i="1"/>
  <c r="I14" i="1"/>
  <c r="F14" i="1"/>
  <c r="B14" i="1"/>
  <c r="A14" i="1" s="1"/>
  <c r="Q5" i="1"/>
  <c r="P6"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A8" i="1"/>
  <c r="E15" i="1" l="1"/>
  <c r="I15" i="1"/>
  <c r="J15" i="1" s="1"/>
  <c r="H15" i="1"/>
  <c r="B15" i="1"/>
  <c r="A15" i="1" s="1"/>
  <c r="D15" i="1"/>
  <c r="BM16" i="1"/>
  <c r="BM17" i="1" s="1"/>
  <c r="BM18" i="1" s="1"/>
  <c r="BM19" i="1" s="1"/>
  <c r="BM20" i="1" s="1"/>
  <c r="BM21" i="1" s="1"/>
  <c r="BM22" i="1" s="1"/>
  <c r="J14" i="1"/>
  <c r="J12" i="1"/>
  <c r="R5" i="1"/>
  <c r="Q6" i="1"/>
  <c r="G15" i="1" l="1"/>
  <c r="H17" i="1"/>
  <c r="F17" i="1"/>
  <c r="G17" i="1"/>
  <c r="H18" i="1"/>
  <c r="B17" i="1"/>
  <c r="A17" i="1" s="1"/>
  <c r="J13" i="1"/>
  <c r="S5" i="1"/>
  <c r="T5" i="1" s="1"/>
  <c r="U5" i="1" s="1"/>
  <c r="V5" i="1" s="1"/>
  <c r="W5" i="1" s="1"/>
  <c r="X5" i="1" s="1"/>
  <c r="Y5" i="1" s="1"/>
  <c r="Z5" i="1" s="1"/>
  <c r="AA5" i="1" s="1"/>
  <c r="AB5" i="1" s="1"/>
  <c r="R6" i="1"/>
  <c r="G16" i="1" l="1"/>
  <c r="F18" i="1"/>
  <c r="G18" i="1"/>
  <c r="H19" i="1"/>
  <c r="B18" i="1"/>
  <c r="A18" i="1" s="1"/>
  <c r="U6" i="1"/>
  <c r="S6" i="1"/>
  <c r="F19" i="1" l="1"/>
  <c r="G19" i="1"/>
  <c r="H20" i="1"/>
  <c r="B19" i="1"/>
  <c r="A19" i="1" s="1"/>
  <c r="T6" i="1"/>
  <c r="F20" i="1" l="1"/>
  <c r="G20" i="1"/>
  <c r="B20" i="1"/>
  <c r="A20" i="1" s="1"/>
  <c r="H21" i="1"/>
  <c r="V6" i="1"/>
  <c r="F21" i="1" l="1"/>
  <c r="G21" i="1"/>
  <c r="B21" i="1"/>
  <c r="A21" i="1" s="1"/>
  <c r="W6" i="1"/>
  <c r="X6" i="1" l="1"/>
  <c r="Y6" i="1" l="1"/>
  <c r="Z6" i="1" l="1"/>
  <c r="AA6" i="1" l="1"/>
  <c r="AC5" i="1" l="1"/>
  <c r="AB6" i="1"/>
  <c r="AD5" i="1" l="1"/>
  <c r="AC6" i="1"/>
  <c r="AE5" i="1" l="1"/>
  <c r="AD6" i="1"/>
  <c r="AF5" i="1" l="1"/>
  <c r="AE6" i="1"/>
  <c r="AG5" i="1" l="1"/>
  <c r="AF6" i="1"/>
  <c r="AG6" i="1" l="1"/>
  <c r="AH5" i="1"/>
  <c r="AI5" i="1" l="1"/>
  <c r="AH6" i="1"/>
  <c r="AJ5" i="1" l="1"/>
  <c r="AI6" i="1"/>
  <c r="AK5" i="1" l="1"/>
  <c r="AJ6" i="1"/>
  <c r="AL5" i="1" l="1"/>
  <c r="AK6" i="1"/>
  <c r="AM5" i="1" l="1"/>
  <c r="AL6" i="1"/>
  <c r="AM6" i="1" l="1"/>
  <c r="AN5" i="1"/>
  <c r="AO5" i="1" l="1"/>
  <c r="AN6" i="1"/>
  <c r="AP5" i="1" l="1"/>
  <c r="AO6" i="1"/>
  <c r="AP6" i="1" l="1"/>
  <c r="AQ5" i="1"/>
  <c r="AQ6" i="1" l="1"/>
  <c r="AR5" i="1"/>
  <c r="AS5" i="1" l="1"/>
  <c r="AR6" i="1"/>
  <c r="AS6" i="1" l="1"/>
  <c r="AT5" i="1"/>
  <c r="AT6" i="1" l="1"/>
  <c r="AU5" i="1"/>
  <c r="AU6" i="1" l="1"/>
  <c r="AV5" i="1"/>
  <c r="AV6" i="1" l="1"/>
  <c r="AW5" i="1"/>
  <c r="AW6" i="1" l="1"/>
  <c r="AX5" i="1"/>
  <c r="AX6" i="1" l="1"/>
  <c r="AY5" i="1"/>
  <c r="AZ5" i="1" l="1"/>
  <c r="AY6" i="1"/>
  <c r="AZ6" i="1" l="1"/>
  <c r="BA5" i="1"/>
  <c r="BA6" i="1" l="1"/>
  <c r="BB5" i="1"/>
  <c r="BB6" i="1" l="1"/>
  <c r="BC5" i="1"/>
  <c r="BC6" i="1" l="1"/>
  <c r="BD5" i="1"/>
  <c r="BE5" i="1" l="1"/>
  <c r="BD6" i="1"/>
  <c r="BF5" i="1" l="1"/>
  <c r="BE6" i="1"/>
  <c r="BF6" i="1" l="1"/>
  <c r="BG5" i="1"/>
  <c r="BH5" i="1" l="1"/>
  <c r="BG6" i="1"/>
  <c r="BH6" i="1" l="1"/>
  <c r="BI5" i="1"/>
  <c r="BJ5" i="1" l="1"/>
  <c r="BI6" i="1"/>
  <c r="BJ6" i="1" l="1"/>
  <c r="BK5" i="1"/>
  <c r="BK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Phương, Phạm Ngọc Phương</author>
  </authors>
  <commentList>
    <comment ref="E3" authorId="0" shapeId="0" xr:uid="{45ACEDE2-B398-41BA-8D72-02AFFA554883}">
      <text>
        <r>
          <rPr>
            <b/>
            <sz val="9"/>
            <color indexed="81"/>
            <rFont val="Tahoma"/>
            <family val="2"/>
          </rPr>
          <t>Phương, Phạm Ngọc Phương: chỉ định trưởng dự án</t>
        </r>
        <r>
          <rPr>
            <sz val="9"/>
            <color indexed="81"/>
            <rFont val="Tahoma"/>
            <family val="2"/>
          </rPr>
          <t xml:space="preserve">
</t>
        </r>
      </text>
    </comment>
  </commentList>
</comments>
</file>

<file path=xl/sharedStrings.xml><?xml version="1.0" encoding="utf-8"?>
<sst xmlns="http://schemas.openxmlformats.org/spreadsheetml/2006/main" count="160" uniqueCount="82">
  <si>
    <t>Ngày</t>
  </si>
  <si>
    <t>Tháng</t>
  </si>
  <si>
    <t>Năm</t>
  </si>
  <si>
    <t>Đang thực hiện</t>
  </si>
  <si>
    <t>Đang chờ xử lý</t>
  </si>
  <si>
    <t>STT</t>
  </si>
  <si>
    <t>Hạng mục công việc</t>
  </si>
  <si>
    <t>Số ngày</t>
  </si>
  <si>
    <t>Hoàn thành</t>
  </si>
  <si>
    <t>Trễ hạn</t>
  </si>
  <si>
    <t>Thứ tự ưu tiên</t>
  </si>
  <si>
    <t>Kết thúc</t>
  </si>
  <si>
    <t>Tuần</t>
  </si>
  <si>
    <t>Trưởng dự án</t>
  </si>
  <si>
    <t>Dự án NC&amp;PT</t>
  </si>
  <si>
    <t>Thư ký dự án</t>
  </si>
  <si>
    <t>Tiến độ và kế hoạch thực hiện</t>
  </si>
  <si>
    <t>Ngày bắt đầu</t>
  </si>
  <si>
    <t>Ngày kết thúc</t>
  </si>
  <si>
    <t>Nghiên cứu tái chế các loại chai có tỷ lệ vảy PET dính keo cao</t>
  </si>
  <si>
    <t>Lê Văn Ty</t>
  </si>
  <si>
    <t>Trần Minh Hoàng</t>
  </si>
  <si>
    <t>Triển khai và khởi động dự án</t>
  </si>
  <si>
    <t>Khảo sát đặc tính keo, nhãn dính trên vảy PET sau băm: 3 ngày</t>
  </si>
  <si>
    <t>Khảo sát hóa phẩm tẩy rửa phù hợp để tách keo, nhãn nhưng vẫn bảo lưu đặc tính vảy PET: 3 ngày</t>
  </si>
  <si>
    <t>Order hóa chất, lập danh sách thứ tự ưu tiên dựa trên đặc tính vảy thử nghiệm: 7 ngày</t>
  </si>
  <si>
    <t>Tiến hành thử nghiệm, đánh giá hiệu quả tẩy rửa và đặc tính vảy sau rửa: 7 ngày</t>
  </si>
  <si>
    <t>Báo cáo nghiệm thu và tiến hành thử nghiệm quy mô lớn 20 tấn vảy: 5 ngày</t>
  </si>
  <si>
    <t>Báo cáo nghiệm thu và bàn giao quy trình, yêu cầu kế hoạch áp dụng mass-production: 1 ngày</t>
  </si>
  <si>
    <t>Theo dõi và đánh giá hậu kiểm: 2 ngày</t>
  </si>
  <si>
    <t>Nghiên cứu cách giảm ánh vàng trên hạt nhựa tái chế</t>
  </si>
  <si>
    <t>Đái Trung Quân</t>
  </si>
  <si>
    <t>Đặng Lê Châu Đoan</t>
  </si>
  <si>
    <t>Khảo sát đặc tính chai nhập đầu vào dựa trên màu sắc, thiết kế, độ nhớt và hàm lượng tạp trong vảy sau băm: 7 ngày</t>
  </si>
  <si>
    <t>Đề xuất nhóm phân loại và đánh giá mức độ ảnh hưởng ánh vàng trên hạt nhựa theo từng nhóm phân loại: 21 ngày</t>
  </si>
  <si>
    <t>Báo cáo đánh giá sơ bộ nhóm nguyên liệu, khảo sát nhóm thiết bị và thông số vận hành đang áp dụng trên chuyền: 3 ngày</t>
  </si>
  <si>
    <t>Tiến hành thử nghiệm, đánh giá khả năng khử ánh vàng trên hạt nhựa bằng cách tối ưu thông số vận hành từng nhóm thiết bị (cô lập nhóm để khảo sát): 7 ngày</t>
  </si>
  <si>
    <t>Báo cáo nghiệm thu và tiến hành thử nghiệm quy mô lớn 20 tấn vảy/nhóm: 14 ngày</t>
  </si>
  <si>
    <t>Thực hiện 75 thử nghiệm cho PET &amp; HDPE, TB &gt;6 thử nghiệm/tháng</t>
  </si>
  <si>
    <t>Sầm Minh Tuấn</t>
  </si>
  <si>
    <t>Khảo sát tình trạng sản phẩm, dây chuyền sản xuất và hiệu quả vận hành dựa trên báo cáo tuần của bộ phận Chất lượng/Kỹ thuật/Sản xuất: Định kỳ 1 tuần/lần</t>
  </si>
  <si>
    <t>Tham khảo tiến bộ KH&amp;CN (thông qua hội thảo, bài báo khoa học, ứng dụng và quảng cáo công nghiệp,...vv), báo cáo đánh giá tính khả thi theo từng tình trạng cần xử lý trong các cuộc họp giao ban: Định kỳ 1 tháng/lần</t>
  </si>
  <si>
    <t>Lập biểu đồ kế hoạch thực hiện và báo cáo dự án theo từng giai đoạn: Định kỳ 1 tuần/lần</t>
  </si>
  <si>
    <t>Nghiên cứu và sản xuất thành công sản phẩm ứng dụng cho chai CSD</t>
  </si>
  <si>
    <t>Nghiên cứu thành công phụ gia ổn định MI (rHDPE)</t>
  </si>
  <si>
    <t>Khảo sát đặc tính phụ gia và tính tương thích với nền mẫu HDPE: 5 ngày</t>
  </si>
  <si>
    <t>Liên hệ đặt mẫu phụ gia và chuẩn bị các mẫu nguyên liệu rHDPE với mức MI từ thấp tới cao: 5 ngày</t>
  </si>
  <si>
    <t>Tiến hành thử nghiệm với các tỉ lệ khác nhau, khảo sát biến thiên MI trong quy mô PTN: 3 ngày</t>
  </si>
  <si>
    <t>Báo cáo đánh giá sơ bộ và đề xuất thử nghiệm trên chuyền: 7 ngày</t>
  </si>
  <si>
    <t>Lập ma trận đánh giá hiệu quả và độ ổn định của MI thành phẩm theo từng tỷ lệ thử nghiệm: 2 ngày</t>
  </si>
  <si>
    <t>Báo cáo nghiệm thu và bàn giao công thức, áp dụng mass-production: 1 ngày</t>
  </si>
  <si>
    <t>Nghiên cứu công thức xử lý linh động theo nguồn nguyên vật liệu</t>
  </si>
  <si>
    <t>Nghiên cứu biện pháp giảm tạp chất trong vảy PET sau băm, sau rửa</t>
  </si>
  <si>
    <t>Lập bảng phân tích nguồn gốc sự cố (Root cause analysis) của các vấn đề gây lỗi trên vảy PET sau băm, sau rửa đến từ tạp chất: 7 ngày</t>
  </si>
  <si>
    <t>Tham khảo các tính năng mới hoặc cải tiến phù hợp trên máy móc, thiết bị đã có hoặc mua mới để xử lý vấn đề phát sinh: 7 ngày</t>
  </si>
  <si>
    <t>Đề xuất chỉnh sửa thông số vận hành và/hoặc đầu tư trang thiết bị mới dựa trên đặc điểm và mục tiêu vấn đề cần xử lý: 1 ngày</t>
  </si>
  <si>
    <t>Tiến hành thử nghiệm sản lượng nhỏ (5MT) với mỗi phương án điều chỉnh trên chuyền, theo dõi và đánh giá hiệu quả thay đổi: 21 ngày</t>
  </si>
  <si>
    <t>Báo cáo nghiệm thu và bàn giao chỉnh sửa: 1 ngày</t>
  </si>
  <si>
    <t>Thư ký</t>
  </si>
  <si>
    <t>BẢNG TIẾN ĐỘ DỰ ÁN</t>
  </si>
  <si>
    <t>Dự án:</t>
  </si>
  <si>
    <t>Bắt đầu</t>
  </si>
  <si>
    <t xml:space="preserve"> Khảo sát đặc tính các thành phần nguyên liệu (dòng chai mới, phó sản phát sinh,...vv) dựa trên màu sắc, thiết kế, độ nhớt và hàm lượng tạp trong vảy bán thành phẩm sau xử lý</t>
  </si>
  <si>
    <t>Đề xuất công thức xử lý dựa trên kết quả đánh giá các mẫu thẻ màu, thẻ cơ tính và phôi ép</t>
  </si>
  <si>
    <t>Báo cáo đánh giá sơ bộ công thức xử lý, khảo sát nhóm thiết bị và thông số vận hành phù hợp trên chuyền</t>
  </si>
  <si>
    <t>Tiến hành thử nghiệm sản lượng nhỏ (5MT) trên chuyền theo từng công thức xử lý</t>
  </si>
  <si>
    <t>Lập ma trận đánh giá hiệu quả và độ ổn định của đặc tính thành phẩm theo từng thử nghiệm</t>
  </si>
  <si>
    <t>Báo cáo nghiệm thu và bàn giao công thức, áp dụng mass-production</t>
  </si>
  <si>
    <t>Theo dõi và đánh giá hậu kiểm</t>
  </si>
  <si>
    <t>Kế hoạch</t>
  </si>
  <si>
    <t>Võ Tiến Dũng</t>
  </si>
  <si>
    <t>Phạm Thị Kim Hồng</t>
  </si>
  <si>
    <t>Cao Thùy Linh</t>
  </si>
  <si>
    <t>Thực tế</t>
  </si>
  <si>
    <t>DA_2022_01</t>
  </si>
  <si>
    <t>DA_2022_02</t>
  </si>
  <si>
    <t>DA_2022_03</t>
  </si>
  <si>
    <t>DA_2022_04</t>
  </si>
  <si>
    <t>DA_2022_05</t>
  </si>
  <si>
    <t>DA_2022_06</t>
  </si>
  <si>
    <t>DA_2022_07</t>
  </si>
  <si>
    <t>Mã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</si>
</sst>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mmm"/>
  </numFmts>
  <fonts count="15" x14ac:knownFonts="1">
    <font>
      <sz val="12"/>
      <color theme="1"/>
      <name val="Calibri"/>
      <family val="2"/>
      <scheme val="minor"/>
    </font>
    <font>
      <sz val="12"/>
      <color theme="1"/>
      <name val="Cambria"/>
      <family val="1"/>
    </font>
    <font>
      <b/>
      <sz val="12"/>
      <color theme="1"/>
      <name val="Cambria"/>
      <family val="1"/>
    </font>
    <font>
      <b/>
      <sz val="20"/>
      <color theme="1"/>
      <name val="Cambria"/>
      <family val="1"/>
    </font>
    <font>
      <sz val="10"/>
      <color theme="1"/>
      <name val="Cambria"/>
      <family val="1"/>
    </font>
    <font>
      <i/>
      <sz val="13"/>
      <color rgb="FF000000"/>
      <name val="Times New Roman"/>
      <family val="1"/>
    </font>
    <font>
      <i/>
      <sz val="10"/>
      <color rgb="FF000000"/>
      <name val="Cambria"/>
      <family val="1"/>
    </font>
    <font>
      <sz val="10"/>
      <name val="Cambria"/>
      <family val="1"/>
    </font>
    <font>
      <b/>
      <sz val="9"/>
      <color indexed="81"/>
      <name val="Tahoma"/>
      <family val="2"/>
    </font>
    <font>
      <sz val="9"/>
      <color indexed="81"/>
      <name val="Tahoma"/>
      <family val="2"/>
    </font>
    <font>
      <b/>
      <sz val="30"/>
      <color theme="1"/>
      <name val="Cambria"/>
      <family val="1"/>
    </font>
    <font>
      <b/>
      <sz val="14"/>
      <color theme="1"/>
      <name val="Cambria"/>
      <family val="1"/>
    </font>
    <font>
      <b/>
      <sz val="11"/>
      <color theme="1"/>
      <name val="Cambria"/>
      <family val="1"/>
    </font>
    <font>
      <b/>
      <sz val="12"/>
      <color rgb="FF0000FF"/>
      <name val="Cambria"/>
      <family val="1"/>
    </font>
    <font>
      <sz val="8"/>
      <name val="Calibri"/>
      <family val="2"/>
      <scheme val="minor"/>
    </font>
  </fonts>
  <fills count="7">
    <fill>
      <patternFill patternType="none"/>
    </fill>
    <fill>
      <patternFill patternType="gray125"/>
    </fill>
    <fill>
      <patternFill patternType="solid">
        <fgColor rgb="FFDDD9C3"/>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s>
  <borders count="2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s>
  <cellStyleXfs count="1">
    <xf numFmtId="0" fontId="0" fillId="0" borderId="0"/>
  </cellStyleXfs>
  <cellXfs count="101">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14"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vertical="center"/>
    </xf>
    <xf numFmtId="0" fontId="2" fillId="0" borderId="2" xfId="0" applyFont="1" applyBorder="1" applyAlignment="1">
      <alignment horizontal="center" vertical="center" wrapText="1"/>
    </xf>
    <xf numFmtId="14" fontId="2" fillId="0" borderId="2" xfId="0" applyNumberFormat="1" applyFont="1" applyBorder="1" applyAlignment="1">
      <alignment horizontal="center" vertical="center" wrapText="1"/>
    </xf>
    <xf numFmtId="165" fontId="2" fillId="0" borderId="3"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2" fillId="0" borderId="0" xfId="0" applyFont="1" applyAlignment="1">
      <alignment horizontal="center" vertical="center"/>
    </xf>
    <xf numFmtId="1" fontId="2" fillId="0" borderId="4" xfId="0" applyNumberFormat="1" applyFont="1" applyBorder="1" applyAlignment="1">
      <alignment horizontal="center" vertical="center" wrapText="1"/>
    </xf>
    <xf numFmtId="1" fontId="2" fillId="0" borderId="0" xfId="0" applyNumberFormat="1" applyFont="1" applyAlignment="1">
      <alignment horizontal="center" vertical="center"/>
    </xf>
    <xf numFmtId="0" fontId="1" fillId="0" borderId="0" xfId="0" applyFont="1" applyAlignment="1">
      <alignment horizontal="left" vertical="center" wrapText="1"/>
    </xf>
    <xf numFmtId="14" fontId="1" fillId="0" borderId="0" xfId="0" quotePrefix="1" applyNumberFormat="1" applyFont="1" applyAlignment="1">
      <alignment horizontal="center" vertical="center"/>
    </xf>
    <xf numFmtId="0" fontId="1" fillId="0" borderId="0" xfId="0" applyFont="1" applyAlignment="1">
      <alignment horizontal="center" vertical="center" wrapText="1"/>
    </xf>
    <xf numFmtId="0" fontId="4" fillId="0" borderId="0" xfId="0" applyFont="1"/>
    <xf numFmtId="0" fontId="5" fillId="2" borderId="2" xfId="0" applyFont="1" applyFill="1" applyBorder="1" applyAlignment="1">
      <alignment horizontal="center" vertical="top"/>
    </xf>
    <xf numFmtId="0" fontId="5" fillId="2" borderId="2" xfId="0" applyFont="1" applyFill="1" applyBorder="1" applyAlignment="1">
      <alignment horizontal="center" vertical="top" wrapText="1"/>
    </xf>
    <xf numFmtId="0" fontId="5" fillId="3" borderId="2" xfId="0" applyFont="1" applyFill="1" applyBorder="1" applyAlignment="1">
      <alignment horizontal="center" vertical="top"/>
    </xf>
    <xf numFmtId="0" fontId="5" fillId="3" borderId="2" xfId="0" applyFont="1" applyFill="1" applyBorder="1" applyAlignment="1">
      <alignment horizontal="center" vertical="center"/>
    </xf>
    <xf numFmtId="0" fontId="4" fillId="0" borderId="2" xfId="0" applyFont="1" applyBorder="1" applyAlignment="1">
      <alignment horizontal="center" vertical="top"/>
    </xf>
    <xf numFmtId="0" fontId="4" fillId="0" borderId="2" xfId="0" applyFont="1" applyBorder="1" applyAlignment="1">
      <alignment vertical="top"/>
    </xf>
    <xf numFmtId="0" fontId="4" fillId="0" borderId="2" xfId="0" applyFont="1" applyBorder="1" applyAlignment="1">
      <alignment vertical="top" wrapText="1"/>
    </xf>
    <xf numFmtId="0" fontId="4" fillId="4" borderId="2" xfId="0" applyFont="1" applyFill="1" applyBorder="1" applyAlignment="1">
      <alignment horizontal="center" vertical="top"/>
    </xf>
    <xf numFmtId="14" fontId="4" fillId="0" borderId="2" xfId="0" applyNumberFormat="1" applyFont="1" applyBorder="1" applyAlignment="1">
      <alignment horizontal="center" vertical="center"/>
    </xf>
    <xf numFmtId="0" fontId="6" fillId="5" borderId="2" xfId="0" applyFont="1" applyFill="1" applyBorder="1" applyAlignment="1">
      <alignment horizontal="center" vertical="top"/>
    </xf>
    <xf numFmtId="0" fontId="6" fillId="5" borderId="2" xfId="0" applyFont="1" applyFill="1" applyBorder="1" applyAlignment="1">
      <alignment horizontal="center" vertical="top" wrapText="1"/>
    </xf>
    <xf numFmtId="0" fontId="6" fillId="5" borderId="2" xfId="0" applyFont="1" applyFill="1" applyBorder="1" applyAlignment="1">
      <alignment horizontal="center" vertical="center"/>
    </xf>
    <xf numFmtId="0" fontId="7" fillId="0" borderId="2" xfId="0" applyFont="1" applyBorder="1" applyAlignment="1">
      <alignment horizontal="center" vertical="top"/>
    </xf>
    <xf numFmtId="0" fontId="7" fillId="0" borderId="2" xfId="0" applyFont="1" applyBorder="1" applyAlignment="1">
      <alignment vertical="top" wrapText="1"/>
    </xf>
    <xf numFmtId="0" fontId="4" fillId="0" borderId="2" xfId="0" applyFont="1" applyBorder="1" applyAlignment="1">
      <alignment horizontal="left" vertical="top"/>
    </xf>
    <xf numFmtId="0" fontId="1" fillId="0" borderId="0" xfId="0" applyFont="1" applyAlignment="1">
      <alignment horizontal="left" indent="3"/>
    </xf>
    <xf numFmtId="0" fontId="2" fillId="0" borderId="0" xfId="0" applyFont="1" applyAlignment="1">
      <alignment horizontal="left" vertical="center" indent="3"/>
    </xf>
    <xf numFmtId="1" fontId="2" fillId="0" borderId="0" xfId="0" applyNumberFormat="1" applyFont="1" applyAlignment="1">
      <alignment horizontal="left" vertical="center" indent="3"/>
    </xf>
    <xf numFmtId="2" fontId="12" fillId="0" borderId="0" xfId="0" applyNumberFormat="1" applyFont="1" applyAlignment="1">
      <alignment horizontal="left" vertical="center" indent="3"/>
    </xf>
    <xf numFmtId="2" fontId="1" fillId="0" borderId="0" xfId="0" applyNumberFormat="1" applyFont="1" applyAlignment="1">
      <alignment horizontal="left" indent="3"/>
    </xf>
    <xf numFmtId="1" fontId="2" fillId="0" borderId="2" xfId="0" applyNumberFormat="1" applyFont="1" applyBorder="1" applyAlignment="1">
      <alignment horizontal="center" vertical="center" wrapText="1"/>
    </xf>
    <xf numFmtId="1" fontId="1" fillId="0" borderId="0" xfId="0" applyNumberFormat="1" applyFont="1" applyAlignment="1">
      <alignment horizontal="center" vertical="center"/>
    </xf>
    <xf numFmtId="0" fontId="1" fillId="0" borderId="6" xfId="0" applyFont="1" applyBorder="1" applyAlignment="1">
      <alignment vertical="center"/>
    </xf>
    <xf numFmtId="164" fontId="2" fillId="0" borderId="9"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165" fontId="2" fillId="0" borderId="10" xfId="0" applyNumberFormat="1" applyFont="1" applyBorder="1" applyAlignment="1">
      <alignment horizontal="center" vertical="center" wrapText="1"/>
    </xf>
    <xf numFmtId="165" fontId="2" fillId="0" borderId="8" xfId="0" applyNumberFormat="1" applyFont="1" applyBorder="1" applyAlignment="1">
      <alignment horizontal="center" vertical="center" wrapText="1"/>
    </xf>
    <xf numFmtId="1" fontId="2" fillId="0" borderId="12" xfId="0" applyNumberFormat="1" applyFont="1" applyBorder="1" applyAlignment="1">
      <alignment horizontal="center" vertical="center" wrapText="1"/>
    </xf>
    <xf numFmtId="0" fontId="1" fillId="0" borderId="13" xfId="0" applyFont="1" applyBorder="1" applyAlignment="1">
      <alignment horizontal="center" vertical="center"/>
    </xf>
    <xf numFmtId="0" fontId="1" fillId="0" borderId="16" xfId="0" applyFont="1" applyBorder="1" applyAlignment="1">
      <alignment horizontal="center" vertical="center"/>
    </xf>
    <xf numFmtId="0" fontId="1" fillId="6" borderId="15" xfId="0" applyFont="1" applyFill="1" applyBorder="1" applyAlignment="1">
      <alignment horizontal="center" vertical="center"/>
    </xf>
    <xf numFmtId="0" fontId="1" fillId="6" borderId="16" xfId="0" applyFont="1" applyFill="1" applyBorder="1" applyAlignment="1">
      <alignment horizontal="left" vertical="center" wrapText="1"/>
    </xf>
    <xf numFmtId="0" fontId="1" fillId="6" borderId="16" xfId="0" applyFont="1" applyFill="1" applyBorder="1" applyAlignment="1">
      <alignment horizontal="center" vertical="center"/>
    </xf>
    <xf numFmtId="14" fontId="1" fillId="6" borderId="16" xfId="0" applyNumberFormat="1" applyFont="1" applyFill="1" applyBorder="1" applyAlignment="1">
      <alignment horizontal="center" vertical="center"/>
    </xf>
    <xf numFmtId="1" fontId="13" fillId="6" borderId="16" xfId="0" applyNumberFormat="1" applyFont="1" applyFill="1" applyBorder="1" applyAlignment="1">
      <alignment horizontal="center" vertical="center"/>
    </xf>
    <xf numFmtId="165" fontId="2" fillId="0" borderId="9" xfId="0" applyNumberFormat="1" applyFont="1" applyBorder="1" applyAlignment="1">
      <alignment horizontal="center" vertical="center" wrapText="1"/>
    </xf>
    <xf numFmtId="1" fontId="2" fillId="0" borderId="5" xfId="0" applyNumberFormat="1" applyFont="1" applyBorder="1" applyAlignment="1">
      <alignment horizontal="center" vertical="center" wrapText="1"/>
    </xf>
    <xf numFmtId="14" fontId="1" fillId="0" borderId="0" xfId="0" applyNumberFormat="1" applyFont="1" applyAlignment="1">
      <alignment horizontal="center" vertical="center" wrapText="1"/>
    </xf>
    <xf numFmtId="164" fontId="2" fillId="0" borderId="2" xfId="0" applyNumberFormat="1" applyFont="1" applyBorder="1" applyAlignment="1">
      <alignment horizontal="center" vertical="center" wrapText="1"/>
    </xf>
    <xf numFmtId="0" fontId="3" fillId="0" borderId="9" xfId="0" applyFont="1" applyBorder="1" applyAlignment="1">
      <alignment vertical="center"/>
    </xf>
    <xf numFmtId="0" fontId="10" fillId="0" borderId="20" xfId="0" applyFont="1" applyBorder="1" applyAlignment="1">
      <alignment vertical="center"/>
    </xf>
    <xf numFmtId="0" fontId="11" fillId="0" borderId="20" xfId="0" applyFont="1" applyBorder="1" applyAlignment="1">
      <alignment vertical="center"/>
    </xf>
    <xf numFmtId="0" fontId="1" fillId="0" borderId="13" xfId="0" applyFont="1" applyBorder="1" applyAlignment="1">
      <alignment horizontal="left"/>
    </xf>
    <xf numFmtId="0" fontId="2" fillId="0" borderId="0" xfId="0" applyFont="1" applyAlignment="1">
      <alignment horizontal="left"/>
    </xf>
    <xf numFmtId="0" fontId="1" fillId="0" borderId="0" xfId="0" applyFont="1" applyAlignment="1">
      <alignment horizontal="left"/>
    </xf>
    <xf numFmtId="14" fontId="1" fillId="0" borderId="0" xfId="0" applyNumberFormat="1" applyFont="1" applyAlignment="1">
      <alignment horizontal="left"/>
    </xf>
    <xf numFmtId="0" fontId="1" fillId="0" borderId="0" xfId="0" applyFont="1" applyAlignment="1">
      <alignment horizontal="center"/>
    </xf>
    <xf numFmtId="1" fontId="1" fillId="0" borderId="0" xfId="0" applyNumberFormat="1" applyFont="1" applyAlignment="1">
      <alignment horizontal="center"/>
    </xf>
    <xf numFmtId="0" fontId="1" fillId="0" borderId="14" xfId="0" applyFont="1" applyBorder="1" applyAlignment="1">
      <alignment horizontal="center"/>
    </xf>
    <xf numFmtId="0" fontId="2" fillId="0" borderId="13" xfId="0" applyFont="1" applyBorder="1" applyAlignment="1">
      <alignment vertical="center"/>
    </xf>
    <xf numFmtId="0" fontId="13" fillId="0" borderId="0" xfId="0" applyFont="1" applyAlignment="1">
      <alignment horizontal="left" vertical="center"/>
    </xf>
    <xf numFmtId="0" fontId="2" fillId="0" borderId="0" xfId="0" applyFont="1" applyAlignment="1">
      <alignment vertical="center"/>
    </xf>
    <xf numFmtId="1" fontId="13" fillId="0" borderId="0" xfId="0" applyNumberFormat="1" applyFont="1" applyAlignment="1">
      <alignment vertical="center"/>
    </xf>
    <xf numFmtId="0" fontId="2" fillId="0" borderId="0" xfId="0" applyFont="1" applyAlignment="1">
      <alignment horizontal="left" vertical="center"/>
    </xf>
    <xf numFmtId="0" fontId="1" fillId="6" borderId="17" xfId="0" applyFont="1" applyFill="1" applyBorder="1" applyAlignment="1">
      <alignment horizontal="center" vertical="center"/>
    </xf>
    <xf numFmtId="0" fontId="1" fillId="0" borderId="16" xfId="0" applyFont="1" applyBorder="1" applyAlignment="1">
      <alignment horizontal="left" vertical="center" wrapText="1"/>
    </xf>
    <xf numFmtId="14" fontId="1" fillId="0" borderId="16" xfId="0" applyNumberFormat="1" applyFont="1" applyBorder="1" applyAlignment="1">
      <alignment horizontal="center" vertical="center"/>
    </xf>
    <xf numFmtId="1" fontId="1" fillId="0" borderId="16" xfId="0" applyNumberFormat="1" applyFont="1" applyBorder="1" applyAlignment="1">
      <alignment horizontal="center" vertical="center"/>
    </xf>
    <xf numFmtId="0" fontId="1" fillId="0" borderId="21" xfId="0" applyFont="1" applyBorder="1" applyAlignment="1">
      <alignment horizontal="center" vertical="center"/>
    </xf>
    <xf numFmtId="0" fontId="1" fillId="0" borderId="1" xfId="0" applyFont="1" applyBorder="1" applyAlignment="1">
      <alignment horizontal="center" vertical="center"/>
    </xf>
    <xf numFmtId="0" fontId="3" fillId="0" borderId="10" xfId="0" applyFont="1" applyBorder="1" applyAlignment="1">
      <alignment vertical="center"/>
    </xf>
    <xf numFmtId="0" fontId="3" fillId="0" borderId="19" xfId="0" applyFont="1" applyBorder="1" applyAlignment="1">
      <alignment vertical="center"/>
    </xf>
    <xf numFmtId="0" fontId="1" fillId="0" borderId="19" xfId="0" applyFont="1" applyBorder="1" applyAlignment="1">
      <alignment horizontal="center" vertical="center"/>
    </xf>
    <xf numFmtId="0" fontId="3" fillId="0" borderId="22" xfId="0" applyFont="1" applyBorder="1" applyAlignment="1">
      <alignment vertical="center"/>
    </xf>
    <xf numFmtId="0" fontId="1" fillId="0" borderId="14" xfId="0" applyFont="1" applyBorder="1"/>
    <xf numFmtId="165" fontId="2" fillId="0" borderId="23" xfId="0" applyNumberFormat="1" applyFont="1" applyBorder="1" applyAlignment="1">
      <alignment horizontal="center" vertical="center" wrapText="1"/>
    </xf>
    <xf numFmtId="0" fontId="1" fillId="0" borderId="16" xfId="0" applyFont="1" applyBorder="1"/>
    <xf numFmtId="0" fontId="1" fillId="0" borderId="17" xfId="0" applyFont="1" applyBorder="1"/>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1" fontId="2" fillId="0" borderId="8" xfId="0" applyNumberFormat="1" applyFont="1" applyBorder="1" applyAlignment="1">
      <alignment horizontal="center" vertical="center" wrapText="1"/>
    </xf>
    <xf numFmtId="1" fontId="2" fillId="0" borderId="2" xfId="0" applyNumberFormat="1" applyFont="1" applyBorder="1" applyAlignment="1">
      <alignment horizontal="center" vertical="center" wrapText="1"/>
    </xf>
    <xf numFmtId="0" fontId="1" fillId="0" borderId="2" xfId="0" applyFont="1" applyBorder="1" applyAlignment="1">
      <alignment horizontal="center" vertical="center"/>
    </xf>
    <xf numFmtId="0" fontId="1" fillId="0" borderId="6" xfId="0" applyFont="1" applyBorder="1" applyAlignment="1">
      <alignment horizontal="center" vertical="center"/>
    </xf>
    <xf numFmtId="14" fontId="2" fillId="0" borderId="9" xfId="0" applyNumberFormat="1" applyFont="1" applyBorder="1" applyAlignment="1">
      <alignment horizontal="center" vertical="center" wrapText="1"/>
    </xf>
    <xf numFmtId="14" fontId="2" fillId="0" borderId="10"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cellXfs>
  <cellStyles count="1">
    <cellStyle name="Normal" xfId="0" builtinId="0"/>
  </cellStyles>
  <dxfs count="27">
    <dxf>
      <font>
        <color rgb="FF9C0006"/>
      </font>
      <fill>
        <patternFill>
          <bgColor rgb="FFFFC7CE"/>
        </patternFill>
      </fill>
    </dxf>
    <dxf>
      <border>
        <left style="thin">
          <color auto="1"/>
        </left>
        <right style="thin">
          <color auto="1"/>
        </right>
        <top style="dotted">
          <color auto="1"/>
        </top>
        <bottom style="dotted">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dotted">
          <color auto="1"/>
        </top>
        <bottom style="dotted">
          <color auto="1"/>
        </bottom>
        <vertical/>
        <horizontal/>
      </border>
    </dxf>
    <dxf>
      <border>
        <left style="thin">
          <color auto="1"/>
        </left>
        <right style="thin">
          <color auto="1"/>
        </right>
        <top style="thin">
          <color auto="1"/>
        </top>
        <bottom style="thin">
          <color auto="1"/>
        </bottom>
        <vertical/>
        <horizontal/>
      </border>
    </dxf>
    <dxf>
      <font>
        <color rgb="FF9C5700"/>
      </font>
      <fill>
        <patternFill>
          <bgColor rgb="FFFFEB9C"/>
        </patternFill>
      </fill>
    </dxf>
    <dxf>
      <border>
        <left/>
        <right/>
        <top style="dotted">
          <color auto="1"/>
        </top>
        <bottom style="dotted">
          <color auto="1"/>
        </bottom>
        <vertical/>
        <horizontal/>
      </border>
    </dxf>
    <dxf>
      <border>
        <left style="thin">
          <color auto="1"/>
        </left>
        <right style="thin">
          <color auto="1"/>
        </right>
        <top style="dotted">
          <color auto="1"/>
        </top>
        <bottom style="dotted">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5" tint="0.59996337778862885"/>
        </patternFill>
      </fill>
    </dxf>
    <dxf>
      <fill>
        <patternFill>
          <bgColor theme="9" tint="0.59996337778862885"/>
        </patternFill>
      </fill>
    </dxf>
    <dxf>
      <fill>
        <patternFill>
          <bgColor theme="4" tint="0.59996337778862885"/>
        </patternFill>
      </fill>
    </dxf>
    <dxf>
      <fill>
        <patternFill>
          <bgColor theme="5" tint="0.39994506668294322"/>
        </patternFill>
      </fill>
    </dxf>
    <dxf>
      <fill>
        <patternFill>
          <bgColor theme="9" tint="0.79998168889431442"/>
        </patternFill>
      </fill>
    </dxf>
    <dxf>
      <fill>
        <patternFill>
          <bgColor theme="8" tint="0.59996337778862885"/>
        </patternFill>
      </fill>
      <border>
        <left style="thin">
          <color auto="1"/>
        </left>
        <right style="thin">
          <color auto="1"/>
        </right>
        <vertical/>
        <horizontal/>
      </border>
    </dxf>
    <dxf>
      <fill>
        <patternFill>
          <bgColor rgb="FFFF402F"/>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9C5700"/>
      </font>
      <fill>
        <patternFill>
          <bgColor rgb="FFFFEB9C"/>
        </patternFill>
      </fill>
    </dxf>
    <dxf>
      <font>
        <color rgb="FF9C5700"/>
      </font>
      <fill>
        <patternFill>
          <bgColor rgb="FFFFEB9C"/>
        </patternFill>
      </fill>
    </dxf>
    <dxf>
      <border>
        <left style="thin">
          <color auto="1"/>
        </left>
        <right style="thin">
          <color auto="1"/>
        </right>
        <top style="dotted">
          <color auto="1"/>
        </top>
        <bottom style="dotted">
          <color auto="1"/>
        </bottom>
        <vertical/>
        <horizontal/>
      </border>
    </dxf>
    <dxf>
      <border>
        <left style="thin">
          <color auto="1"/>
        </left>
        <right style="thin">
          <color auto="1"/>
        </right>
        <top style="thin">
          <color auto="1"/>
        </top>
        <bottom style="thin">
          <color auto="1"/>
        </bottom>
        <vertical/>
        <horizontal/>
      </border>
    </dxf>
    <dxf>
      <font>
        <color rgb="FF9C5700"/>
      </font>
      <fill>
        <patternFill>
          <bgColor rgb="FFFFEB9C"/>
        </patternFill>
      </fill>
    </dxf>
    <dxf>
      <border>
        <left/>
        <right/>
        <top style="dotted">
          <color auto="1"/>
        </top>
        <bottom style="dotted">
          <color auto="1"/>
        </bottom>
        <vertical/>
        <horizontal/>
      </border>
    </dxf>
    <dxf>
      <fill>
        <patternFill>
          <bgColor theme="8" tint="0.59996337778862885"/>
        </patternFill>
      </fill>
      <border>
        <left style="thin">
          <color auto="1"/>
        </left>
        <right style="thin">
          <color auto="1"/>
        </right>
        <vertical/>
        <horizontal/>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trlProps/ctrlProp1.xml><?xml version="1.0" encoding="utf-8"?>
<formControlPr xmlns="http://schemas.microsoft.com/office/spreadsheetml/2009/9/main" objectType="Spin" dx="15" fmlaLink="$M$3" max="31" min="1" page="10" val="12"/>
</file>

<file path=xl/ctrlProps/ctrlProp2.xml><?xml version="1.0" encoding="utf-8"?>
<formControlPr xmlns="http://schemas.microsoft.com/office/spreadsheetml/2009/9/main" objectType="Spin" dx="15" fmlaLink="$R$3" max="12" min="1" page="10"/>
</file>

<file path=xl/ctrlProps/ctrlProp3.xml><?xml version="1.0" encoding="utf-8"?>
<formControlPr xmlns="http://schemas.microsoft.com/office/spreadsheetml/2009/9/main" objectType="Spin" dx="15" fmlaLink="$W$3" max="2025" min="2021" page="10" val="2022"/>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13</xdr:col>
          <xdr:colOff>349250</xdr:colOff>
          <xdr:row>2</xdr:row>
          <xdr:rowOff>0</xdr:rowOff>
        </xdr:from>
        <xdr:to>
          <xdr:col>15</xdr:col>
          <xdr:colOff>6350</xdr:colOff>
          <xdr:row>4</xdr:row>
          <xdr:rowOff>6350</xdr:rowOff>
        </xdr:to>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19</xdr:col>
          <xdr:colOff>6350</xdr:colOff>
          <xdr:row>2</xdr:row>
          <xdr:rowOff>6350</xdr:rowOff>
        </xdr:from>
        <xdr:to>
          <xdr:col>20</xdr:col>
          <xdr:colOff>0</xdr:colOff>
          <xdr:row>3</xdr:row>
          <xdr:rowOff>196850</xdr:rowOff>
        </xdr:to>
        <xdr:sp macro="" textlink="">
          <xdr:nvSpPr>
            <xdr:cNvPr id="1026" name="Spinner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24</xdr:col>
          <xdr:colOff>6350</xdr:colOff>
          <xdr:row>2</xdr:row>
          <xdr:rowOff>0</xdr:rowOff>
        </xdr:from>
        <xdr:to>
          <xdr:col>25</xdr:col>
          <xdr:colOff>6350</xdr:colOff>
          <xdr:row>4</xdr:row>
          <xdr:rowOff>0</xdr:rowOff>
        </xdr:to>
        <xdr:sp macro="" textlink="">
          <xdr:nvSpPr>
            <xdr:cNvPr id="1027" name="Spinner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guyenNgocKieuMy\Downloads\D&#7921;%20&#225;n%20CL%20(s&#7889;%20ng&#224;y%20theo%20nhi&#7879;m%20v&#7909;)%20(1).xlsx" TargetMode="External"/><Relationship Id="rId1" Type="http://schemas.openxmlformats.org/officeDocument/2006/relationships/externalLinkPath" Target="file:///C:\Users\NguyenNgocKieuMy\Downloads\D&#7921;%20&#225;n%20CL%20(s&#7889;%20ng&#224;y%20theo%20nhi&#7879;m%20v&#7909;)%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Holiday"/>
    </sheetNames>
    <sheetDataSet>
      <sheetData sheetId="0" refreshError="1"/>
      <sheetData sheetId="1" refreshError="1">
        <row r="2">
          <cell r="A2">
            <v>44562</v>
          </cell>
        </row>
        <row r="3">
          <cell r="A3">
            <v>44590</v>
          </cell>
        </row>
        <row r="4">
          <cell r="A4">
            <v>44591</v>
          </cell>
        </row>
        <row r="5">
          <cell r="A5">
            <v>44592</v>
          </cell>
        </row>
        <row r="6">
          <cell r="A6">
            <v>44593</v>
          </cell>
        </row>
        <row r="7">
          <cell r="A7">
            <v>44594</v>
          </cell>
        </row>
        <row r="8">
          <cell r="A8">
            <v>44595</v>
          </cell>
        </row>
        <row r="9">
          <cell r="A9">
            <v>44596</v>
          </cell>
        </row>
        <row r="10">
          <cell r="A10">
            <v>44597</v>
          </cell>
        </row>
        <row r="11">
          <cell r="A11">
            <v>44598</v>
          </cell>
        </row>
        <row r="12">
          <cell r="A12">
            <v>44660</v>
          </cell>
        </row>
        <row r="13">
          <cell r="A13">
            <v>44661</v>
          </cell>
        </row>
        <row r="14">
          <cell r="A14">
            <v>44681</v>
          </cell>
        </row>
        <row r="15">
          <cell r="A15">
            <v>44682</v>
          </cell>
        </row>
        <row r="16">
          <cell r="A16">
            <v>44806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R215"/>
  <sheetViews>
    <sheetView showGridLines="0" tabSelected="1" zoomScale="55" zoomScaleNormal="55" zoomScaleSheetLayoutView="80" workbookViewId="0">
      <pane ySplit="6" topLeftCell="A8" activePane="bottomLeft" state="frozen"/>
      <selection pane="bottomLeft" activeCell="E9" sqref="E9"/>
    </sheetView>
  </sheetViews>
  <sheetFormatPr defaultColWidth="10.9140625" defaultRowHeight="15" x14ac:dyDescent="0.3"/>
  <cols>
    <col min="1" max="1" width="6.33203125" style="2" customWidth="1"/>
    <col min="2" max="2" width="48.75" style="3" customWidth="1"/>
    <col min="3" max="3" width="8.4140625" style="2" customWidth="1"/>
    <col min="4" max="5" width="15.4140625" style="4" customWidth="1"/>
    <col min="6" max="6" width="13.9140625" style="4" hidden="1" customWidth="1"/>
    <col min="7" max="7" width="14" style="39" bestFit="1" customWidth="1"/>
    <col min="8" max="8" width="13.9140625" style="4" hidden="1" customWidth="1"/>
    <col min="9" max="9" width="16.1640625" style="4" hidden="1" customWidth="1"/>
    <col min="10" max="10" width="15.83203125" style="2" customWidth="1"/>
    <col min="11" max="30" width="5.9140625" style="2" customWidth="1"/>
    <col min="31" max="43" width="5.9140625" style="2" hidden="1" customWidth="1"/>
    <col min="44" max="49" width="5.9140625" style="1" hidden="1" customWidth="1"/>
    <col min="50" max="53" width="5.9140625" style="1" customWidth="1"/>
    <col min="54" max="57" width="5.9140625" style="2" customWidth="1"/>
    <col min="58" max="63" width="5.9140625" style="1" customWidth="1"/>
    <col min="64" max="64" width="10.9140625" style="1"/>
    <col min="65" max="65" width="10.9140625" style="33"/>
    <col min="66" max="16384" width="10.9140625" style="1"/>
  </cols>
  <sheetData>
    <row r="1" spans="1:70" ht="50.75" customHeight="1" x14ac:dyDescent="0.3">
      <c r="A1" s="88" t="s">
        <v>59</v>
      </c>
      <c r="B1" s="89"/>
      <c r="C1" s="89"/>
      <c r="D1" s="89"/>
      <c r="E1" s="89"/>
      <c r="F1" s="89"/>
      <c r="G1" s="89"/>
      <c r="H1" s="89"/>
      <c r="I1" s="89"/>
      <c r="J1" s="89"/>
      <c r="K1" s="57" t="s">
        <v>60</v>
      </c>
      <c r="L1" s="58"/>
      <c r="M1" s="59" t="s">
        <v>19</v>
      </c>
      <c r="N1" s="58"/>
      <c r="O1" s="58"/>
      <c r="P1" s="58"/>
      <c r="Q1" s="58"/>
      <c r="R1" s="58"/>
      <c r="S1" s="58"/>
      <c r="T1" s="58"/>
      <c r="U1" s="58"/>
      <c r="V1" s="58"/>
      <c r="W1" s="58"/>
      <c r="X1" s="58"/>
      <c r="Y1" s="78"/>
      <c r="Z1" s="79"/>
      <c r="AA1" s="80"/>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81"/>
    </row>
    <row r="2" spans="1:70" ht="4.6500000000000004" customHeight="1" x14ac:dyDescent="0.3">
      <c r="A2" s="60"/>
      <c r="B2" s="61"/>
      <c r="C2" s="62"/>
      <c r="D2" s="63"/>
      <c r="E2" s="63"/>
      <c r="F2" s="64"/>
      <c r="G2" s="65"/>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6"/>
    </row>
    <row r="3" spans="1:70" ht="19.149999999999999" customHeight="1" x14ac:dyDescent="0.3">
      <c r="A3" s="67" t="s">
        <v>81</v>
      </c>
      <c r="B3" s="68" t="str">
        <f>VLOOKUP(M1,Sheet1!K:L,2,0)</f>
        <v>DA_2022_01</v>
      </c>
      <c r="C3" s="69"/>
      <c r="D3" s="69" t="s">
        <v>13</v>
      </c>
      <c r="E3" s="70" t="str">
        <f>VLOOKUP($M$1,Sheet1!$A:$H,3,FALSE)</f>
        <v>Trần Minh Hoàng</v>
      </c>
      <c r="F3" s="69" t="s">
        <v>13</v>
      </c>
      <c r="G3" s="69"/>
      <c r="H3" s="70" t="str">
        <f>VLOOKUP($M$1,Sheet1!$A:$H,3,FALSE)</f>
        <v>Trần Minh Hoàng</v>
      </c>
      <c r="I3" s="69"/>
      <c r="J3" s="69"/>
      <c r="K3" s="96" t="s">
        <v>0</v>
      </c>
      <c r="L3" s="96"/>
      <c r="M3" s="86">
        <v>12</v>
      </c>
      <c r="N3" s="86"/>
      <c r="O3" s="6"/>
      <c r="P3" s="96" t="s">
        <v>1</v>
      </c>
      <c r="Q3" s="96"/>
      <c r="R3" s="86">
        <v>1</v>
      </c>
      <c r="S3" s="86"/>
      <c r="T3" s="6"/>
      <c r="U3" s="96" t="s">
        <v>2</v>
      </c>
      <c r="V3" s="96"/>
      <c r="W3" s="86">
        <v>2022</v>
      </c>
      <c r="X3" s="86"/>
      <c r="AR3" s="2"/>
      <c r="AS3" s="2"/>
      <c r="BF3" s="2"/>
      <c r="BG3" s="2"/>
      <c r="BK3" s="82"/>
      <c r="BR3" s="1" t="s">
        <v>3</v>
      </c>
    </row>
    <row r="4" spans="1:70" ht="19.149999999999999" customHeight="1" thickBot="1" x14ac:dyDescent="0.35">
      <c r="A4" s="67"/>
      <c r="B4" s="71"/>
      <c r="C4" s="69"/>
      <c r="D4" s="69" t="s">
        <v>58</v>
      </c>
      <c r="E4" s="70" t="str">
        <f>VLOOKUP($M$1,Sheet1!$A:$H,4,FALSE)</f>
        <v>Cao Thùy Linh</v>
      </c>
      <c r="F4" s="69" t="s">
        <v>58</v>
      </c>
      <c r="G4" s="69"/>
      <c r="H4" s="70" t="str">
        <f>VLOOKUP($M$1,Sheet1!$A:$H,4,FALSE)</f>
        <v>Cao Thùy Linh</v>
      </c>
      <c r="I4" s="69"/>
      <c r="J4" s="69"/>
      <c r="K4" s="97"/>
      <c r="L4" s="97"/>
      <c r="M4" s="87"/>
      <c r="N4" s="87"/>
      <c r="O4" s="40"/>
      <c r="P4" s="97"/>
      <c r="Q4" s="97"/>
      <c r="R4" s="87"/>
      <c r="S4" s="87"/>
      <c r="T4" s="40"/>
      <c r="U4" s="97"/>
      <c r="V4" s="97"/>
      <c r="W4" s="87"/>
      <c r="X4" s="87"/>
      <c r="AR4" s="2"/>
      <c r="AS4" s="2"/>
      <c r="BF4" s="2"/>
      <c r="BG4" s="2"/>
      <c r="BK4" s="82"/>
      <c r="BR4" s="1" t="s">
        <v>4</v>
      </c>
    </row>
    <row r="5" spans="1:70" s="11" customFormat="1" ht="21" customHeight="1" x14ac:dyDescent="0.35">
      <c r="A5" s="90" t="s">
        <v>5</v>
      </c>
      <c r="B5" s="92" t="s">
        <v>6</v>
      </c>
      <c r="C5" s="92" t="s">
        <v>10</v>
      </c>
      <c r="D5" s="98" t="s">
        <v>69</v>
      </c>
      <c r="E5" s="99"/>
      <c r="F5" s="41" t="s">
        <v>61</v>
      </c>
      <c r="G5" s="94" t="s">
        <v>7</v>
      </c>
      <c r="H5" s="100" t="s">
        <v>73</v>
      </c>
      <c r="I5" s="100"/>
      <c r="J5" s="42" t="s">
        <v>1</v>
      </c>
      <c r="K5" s="43">
        <f>EOMONTH(DATE(W3,R3,M3),-1)+1</f>
        <v>44562</v>
      </c>
      <c r="L5" s="44">
        <f>K5+7</f>
        <v>44569</v>
      </c>
      <c r="M5" s="44">
        <f t="shared" ref="M5:AP5" si="0">L5+7</f>
        <v>44576</v>
      </c>
      <c r="N5" s="44">
        <f t="shared" si="0"/>
        <v>44583</v>
      </c>
      <c r="O5" s="44">
        <f t="shared" si="0"/>
        <v>44590</v>
      </c>
      <c r="P5" s="44">
        <f t="shared" si="0"/>
        <v>44597</v>
      </c>
      <c r="Q5" s="44">
        <f t="shared" si="0"/>
        <v>44604</v>
      </c>
      <c r="R5" s="44">
        <f t="shared" si="0"/>
        <v>44611</v>
      </c>
      <c r="S5" s="44">
        <f t="shared" si="0"/>
        <v>44618</v>
      </c>
      <c r="T5" s="53">
        <f t="shared" si="0"/>
        <v>44625</v>
      </c>
      <c r="U5" s="44">
        <f t="shared" si="0"/>
        <v>44632</v>
      </c>
      <c r="V5" s="43">
        <f t="shared" si="0"/>
        <v>44639</v>
      </c>
      <c r="W5" s="44">
        <f t="shared" si="0"/>
        <v>44646</v>
      </c>
      <c r="X5" s="44">
        <f t="shared" si="0"/>
        <v>44653</v>
      </c>
      <c r="Y5" s="10">
        <f t="shared" si="0"/>
        <v>44660</v>
      </c>
      <c r="Z5" s="10">
        <f t="shared" si="0"/>
        <v>44667</v>
      </c>
      <c r="AA5" s="9">
        <f t="shared" si="0"/>
        <v>44674</v>
      </c>
      <c r="AB5" s="10">
        <f t="shared" si="0"/>
        <v>44681</v>
      </c>
      <c r="AC5" s="10">
        <f t="shared" si="0"/>
        <v>44688</v>
      </c>
      <c r="AD5" s="10">
        <f t="shared" si="0"/>
        <v>44695</v>
      </c>
      <c r="AE5" s="10">
        <f t="shared" si="0"/>
        <v>44702</v>
      </c>
      <c r="AF5" s="10">
        <f t="shared" si="0"/>
        <v>44709</v>
      </c>
      <c r="AG5" s="10">
        <f t="shared" si="0"/>
        <v>44716</v>
      </c>
      <c r="AH5" s="10">
        <f>AG5+7</f>
        <v>44723</v>
      </c>
      <c r="AI5" s="10">
        <f t="shared" si="0"/>
        <v>44730</v>
      </c>
      <c r="AJ5" s="10">
        <f t="shared" si="0"/>
        <v>44737</v>
      </c>
      <c r="AK5" s="10">
        <f t="shared" si="0"/>
        <v>44744</v>
      </c>
      <c r="AL5" s="10">
        <f t="shared" si="0"/>
        <v>44751</v>
      </c>
      <c r="AM5" s="10">
        <f t="shared" si="0"/>
        <v>44758</v>
      </c>
      <c r="AN5" s="10">
        <f>AM5+7</f>
        <v>44765</v>
      </c>
      <c r="AO5" s="10">
        <f t="shared" si="0"/>
        <v>44772</v>
      </c>
      <c r="AP5" s="10">
        <f t="shared" si="0"/>
        <v>44779</v>
      </c>
      <c r="AQ5" s="10">
        <f t="shared" ref="AQ5" si="1">AP5+7</f>
        <v>44786</v>
      </c>
      <c r="AR5" s="10">
        <f t="shared" ref="AR5" si="2">AQ5+7</f>
        <v>44793</v>
      </c>
      <c r="AS5" s="10">
        <f t="shared" ref="AS5" si="3">AR5+7</f>
        <v>44800</v>
      </c>
      <c r="AT5" s="10">
        <f t="shared" ref="AT5" si="4">AS5+7</f>
        <v>44807</v>
      </c>
      <c r="AU5" s="10">
        <f t="shared" ref="AU5" si="5">AT5+7</f>
        <v>44814</v>
      </c>
      <c r="AV5" s="10">
        <f t="shared" ref="AV5" si="6">AU5+7</f>
        <v>44821</v>
      </c>
      <c r="AW5" s="10">
        <f t="shared" ref="AW5" si="7">AV5+7</f>
        <v>44828</v>
      </c>
      <c r="AX5" s="10">
        <f t="shared" ref="AX5" si="8">AW5+7</f>
        <v>44835</v>
      </c>
      <c r="AY5" s="10">
        <f t="shared" ref="AY5" si="9">AX5+7</f>
        <v>44842</v>
      </c>
      <c r="AZ5" s="10">
        <f t="shared" ref="AZ5:BA5" si="10">AY5+7</f>
        <v>44849</v>
      </c>
      <c r="BA5" s="10">
        <f t="shared" si="10"/>
        <v>44856</v>
      </c>
      <c r="BB5" s="10">
        <f>BA5+7</f>
        <v>44863</v>
      </c>
      <c r="BC5" s="10">
        <f t="shared" ref="BC5" si="11">BB5+7</f>
        <v>44870</v>
      </c>
      <c r="BD5" s="10">
        <f t="shared" ref="BD5" si="12">BC5+7</f>
        <v>44877</v>
      </c>
      <c r="BE5" s="10">
        <f t="shared" ref="BE5" si="13">BD5+7</f>
        <v>44884</v>
      </c>
      <c r="BF5" s="10">
        <f t="shared" ref="BF5" si="14">BE5+7</f>
        <v>44891</v>
      </c>
      <c r="BG5" s="10">
        <f t="shared" ref="BG5" si="15">BF5+7</f>
        <v>44898</v>
      </c>
      <c r="BH5" s="10">
        <f t="shared" ref="BH5" si="16">BG5+7</f>
        <v>44905</v>
      </c>
      <c r="BI5" s="10">
        <f t="shared" ref="BI5" si="17">BH5+7</f>
        <v>44912</v>
      </c>
      <c r="BJ5" s="10">
        <f t="shared" ref="BJ5" si="18">BI5+7</f>
        <v>44919</v>
      </c>
      <c r="BK5" s="83">
        <f t="shared" ref="BK5" si="19">BJ5+7</f>
        <v>44926</v>
      </c>
      <c r="BM5" s="34"/>
      <c r="BR5" s="11" t="s">
        <v>8</v>
      </c>
    </row>
    <row r="6" spans="1:70" s="13" customFormat="1" ht="21" customHeight="1" x14ac:dyDescent="0.35">
      <c r="A6" s="91"/>
      <c r="B6" s="93"/>
      <c r="C6" s="93"/>
      <c r="D6" s="8" t="s">
        <v>61</v>
      </c>
      <c r="E6" s="8" t="s">
        <v>11</v>
      </c>
      <c r="F6" s="8" t="s">
        <v>0</v>
      </c>
      <c r="G6" s="95"/>
      <c r="H6" s="56" t="s">
        <v>61</v>
      </c>
      <c r="I6" s="56" t="s">
        <v>11</v>
      </c>
      <c r="J6" s="7" t="s">
        <v>12</v>
      </c>
      <c r="K6" s="12">
        <f>WEEKNUM(K5,1)</f>
        <v>1</v>
      </c>
      <c r="L6" s="12">
        <f t="shared" ref="L6:AP6" si="20">WEEKNUM(L5,1)</f>
        <v>2</v>
      </c>
      <c r="M6" s="12">
        <f t="shared" si="20"/>
        <v>3</v>
      </c>
      <c r="N6" s="12">
        <f t="shared" si="20"/>
        <v>4</v>
      </c>
      <c r="O6" s="12">
        <f t="shared" si="20"/>
        <v>5</v>
      </c>
      <c r="P6" s="12">
        <f t="shared" si="20"/>
        <v>6</v>
      </c>
      <c r="Q6" s="12">
        <f t="shared" si="20"/>
        <v>7</v>
      </c>
      <c r="R6" s="12">
        <f t="shared" si="20"/>
        <v>8</v>
      </c>
      <c r="S6" s="12">
        <f t="shared" si="20"/>
        <v>9</v>
      </c>
      <c r="T6" s="54">
        <f t="shared" si="20"/>
        <v>10</v>
      </c>
      <c r="U6" s="38">
        <f>WEEKNUM(U5,1)</f>
        <v>11</v>
      </c>
      <c r="V6" s="12">
        <f t="shared" si="20"/>
        <v>12</v>
      </c>
      <c r="W6" s="12">
        <f t="shared" si="20"/>
        <v>13</v>
      </c>
      <c r="X6" s="12">
        <f t="shared" si="20"/>
        <v>14</v>
      </c>
      <c r="Y6" s="12">
        <f t="shared" si="20"/>
        <v>15</v>
      </c>
      <c r="Z6" s="12">
        <f t="shared" si="20"/>
        <v>16</v>
      </c>
      <c r="AA6" s="12">
        <f t="shared" si="20"/>
        <v>17</v>
      </c>
      <c r="AB6" s="12">
        <f t="shared" si="20"/>
        <v>18</v>
      </c>
      <c r="AC6" s="12">
        <f t="shared" si="20"/>
        <v>19</v>
      </c>
      <c r="AD6" s="12">
        <f t="shared" si="20"/>
        <v>20</v>
      </c>
      <c r="AE6" s="12">
        <f t="shared" si="20"/>
        <v>21</v>
      </c>
      <c r="AF6" s="12">
        <f t="shared" si="20"/>
        <v>22</v>
      </c>
      <c r="AG6" s="12">
        <f t="shared" si="20"/>
        <v>23</v>
      </c>
      <c r="AH6" s="12">
        <f t="shared" si="20"/>
        <v>24</v>
      </c>
      <c r="AI6" s="12">
        <f t="shared" si="20"/>
        <v>25</v>
      </c>
      <c r="AJ6" s="12">
        <f t="shared" si="20"/>
        <v>26</v>
      </c>
      <c r="AK6" s="12">
        <f t="shared" si="20"/>
        <v>27</v>
      </c>
      <c r="AL6" s="12">
        <f t="shared" si="20"/>
        <v>28</v>
      </c>
      <c r="AM6" s="12">
        <f t="shared" si="20"/>
        <v>29</v>
      </c>
      <c r="AN6" s="12">
        <f t="shared" si="20"/>
        <v>30</v>
      </c>
      <c r="AO6" s="12">
        <f t="shared" si="20"/>
        <v>31</v>
      </c>
      <c r="AP6" s="12">
        <f t="shared" si="20"/>
        <v>32</v>
      </c>
      <c r="AQ6" s="12">
        <f t="shared" ref="AQ6:AX6" si="21">WEEKNUM(AQ5,1)</f>
        <v>33</v>
      </c>
      <c r="AR6" s="12">
        <f t="shared" si="21"/>
        <v>34</v>
      </c>
      <c r="AS6" s="12">
        <f t="shared" si="21"/>
        <v>35</v>
      </c>
      <c r="AT6" s="12">
        <f t="shared" si="21"/>
        <v>36</v>
      </c>
      <c r="AU6" s="12">
        <f t="shared" si="21"/>
        <v>37</v>
      </c>
      <c r="AV6" s="12">
        <f t="shared" si="21"/>
        <v>38</v>
      </c>
      <c r="AW6" s="12">
        <f t="shared" si="21"/>
        <v>39</v>
      </c>
      <c r="AX6" s="12">
        <f t="shared" si="21"/>
        <v>40</v>
      </c>
      <c r="AY6" s="12">
        <f t="shared" ref="AY6:AZ6" si="22">WEEKNUM(AY5,1)</f>
        <v>41</v>
      </c>
      <c r="AZ6" s="12">
        <f t="shared" si="22"/>
        <v>42</v>
      </c>
      <c r="BA6" s="12">
        <f t="shared" ref="BA6:BK6" si="23">WEEKNUM(BA5,1)</f>
        <v>43</v>
      </c>
      <c r="BB6" s="12">
        <f t="shared" si="23"/>
        <v>44</v>
      </c>
      <c r="BC6" s="12">
        <f t="shared" si="23"/>
        <v>45</v>
      </c>
      <c r="BD6" s="12">
        <f t="shared" si="23"/>
        <v>46</v>
      </c>
      <c r="BE6" s="12">
        <f t="shared" si="23"/>
        <v>47</v>
      </c>
      <c r="BF6" s="12">
        <f t="shared" si="23"/>
        <v>48</v>
      </c>
      <c r="BG6" s="12">
        <f t="shared" si="23"/>
        <v>49</v>
      </c>
      <c r="BH6" s="12">
        <f t="shared" si="23"/>
        <v>50</v>
      </c>
      <c r="BI6" s="12">
        <f t="shared" si="23"/>
        <v>51</v>
      </c>
      <c r="BJ6" s="12">
        <f t="shared" si="23"/>
        <v>52</v>
      </c>
      <c r="BK6" s="45">
        <f t="shared" si="23"/>
        <v>53</v>
      </c>
      <c r="BM6" s="35"/>
      <c r="BR6" s="13" t="s">
        <v>9</v>
      </c>
    </row>
    <row r="7" spans="1:70" ht="31.5" customHeight="1" thickBot="1" x14ac:dyDescent="0.35">
      <c r="A7" s="48" t="str">
        <f>IF(B7="","",COUNTA($B$6:B7))</f>
        <v/>
      </c>
      <c r="B7" s="49"/>
      <c r="C7" s="50"/>
      <c r="D7" s="51"/>
      <c r="E7" s="51"/>
      <c r="F7" s="51"/>
      <c r="G7" s="52">
        <f>SUM(G8:G12)</f>
        <v>21</v>
      </c>
      <c r="H7" s="51"/>
      <c r="I7" s="51"/>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72"/>
      <c r="BM7" s="37">
        <f t="shared" ref="BM7" si="24">BM6+1</f>
        <v>1</v>
      </c>
    </row>
    <row r="8" spans="1:70" ht="67" customHeight="1" x14ac:dyDescent="0.3">
      <c r="A8" s="46">
        <f>IF(B8="","",COUNTA($B$6:B8))</f>
        <v>1</v>
      </c>
      <c r="B8" s="14" t="str">
        <f>IFERROR(VLOOKUP($BM8,Sheet1!$B:$H,4,FALSE),"")</f>
        <v>Triển khai và khởi động dự án</v>
      </c>
      <c r="C8" s="2">
        <v>1</v>
      </c>
      <c r="D8" s="4">
        <f>IFERROR(VLOOKUP($BM8,Sheet1!$B:$H,6,FALSE),"")</f>
        <v>44565</v>
      </c>
      <c r="E8" s="4">
        <f>IFERROR(VLOOKUP($BM8,Sheet1!$B:$H,7,FALSE),"")</f>
        <v>44565</v>
      </c>
      <c r="F8" s="4">
        <f>IFERROR(VLOOKUP($BM8,Sheet1!$B:$H,6,FALSE),"")</f>
        <v>44565</v>
      </c>
      <c r="G8" s="39">
        <f>IFERROR(VLOOKUP($BM8,Sheet1!$B:$H,5,FALSE),"")</f>
        <v>1</v>
      </c>
      <c r="H8" s="4">
        <f>IFERROR(VLOOKUP($BM8,Sheet1!$B:$H,6,FALSE),"")</f>
        <v>44565</v>
      </c>
      <c r="I8" s="4">
        <f>IFERROR(VLOOKUP($BM8,Sheet1!$B:$H,7,FALSE),"")</f>
        <v>44565</v>
      </c>
      <c r="J8" s="2">
        <f t="shared" ref="J8:J14" si="25">IF(I8="","",WEEKNUM(I8,1))</f>
        <v>2</v>
      </c>
      <c r="U8" s="5"/>
      <c r="BK8" s="82"/>
      <c r="BM8" s="36">
        <f>VLOOKUP(M1,Sheet1!A:B,2,FALSE)</f>
        <v>1</v>
      </c>
    </row>
    <row r="9" spans="1:70" ht="74.5" customHeight="1" x14ac:dyDescent="0.3">
      <c r="A9" s="46">
        <f>IF(B9="","",COUNTA($B$6:B9))-1</f>
        <v>1</v>
      </c>
      <c r="B9" s="14" t="str">
        <f>IFERROR(VLOOKUP($BM9,Sheet1!$B:$H,4,FALSE),"")</f>
        <v>Khảo sát đặc tính keo, nhãn dính trên vảy PET sau băm: 3 ngày</v>
      </c>
      <c r="C9" s="2">
        <v>1</v>
      </c>
      <c r="D9" s="4">
        <f>IFERROR(VLOOKUP($BM9,Sheet1!$B:$H,6,FALSE),"")</f>
        <v>44565</v>
      </c>
      <c r="E9" s="4">
        <f>IFERROR(VLOOKUP($BM9,Sheet1!$B:$H,7,FALSE),"")</f>
        <v>44567</v>
      </c>
      <c r="F9" s="4">
        <f>IFERROR(VLOOKUP($BM9,Sheet1!$B:$H,6,FALSE),"")</f>
        <v>44565</v>
      </c>
      <c r="G9" s="39">
        <f>IFERROR(VLOOKUP($BM9,Sheet1!$B:$H,5,FALSE),"")</f>
        <v>3</v>
      </c>
      <c r="H9" s="4">
        <f>IFERROR(VLOOKUP($BM9,Sheet1!$B:$H,6,FALSE),"")</f>
        <v>44565</v>
      </c>
      <c r="I9" s="4">
        <f>IFERROR(VLOOKUP($BM9,Sheet1!$B:$H,7,FALSE),"")</f>
        <v>44567</v>
      </c>
      <c r="J9" s="2">
        <f t="shared" si="25"/>
        <v>2</v>
      </c>
      <c r="U9" s="5"/>
      <c r="BK9" s="82"/>
      <c r="BM9" s="37">
        <f>BM8+1</f>
        <v>2</v>
      </c>
    </row>
    <row r="10" spans="1:70" ht="46.5" customHeight="1" x14ac:dyDescent="0.3">
      <c r="A10" s="46">
        <f>IF(B10="","",COUNTA($B$6:B10))-1</f>
        <v>2</v>
      </c>
      <c r="B10" s="14" t="str">
        <f>IFERROR(VLOOKUP($BM10,Sheet1!$B:$H,4,FALSE),"")</f>
        <v>Khảo sát hóa phẩm tẩy rửa phù hợp để tách keo, nhãn nhưng vẫn bảo lưu đặc tính vảy PET: 3 ngày</v>
      </c>
      <c r="C10" s="2">
        <v>1</v>
      </c>
      <c r="D10" s="4">
        <f>IFERROR(VLOOKUP($BM10,Sheet1!$B:$H,6,FALSE),"")</f>
        <v>44568</v>
      </c>
      <c r="E10" s="4">
        <f>IFERROR(VLOOKUP($BM10,Sheet1!$B:$H,7,FALSE),"")</f>
        <v>44572</v>
      </c>
      <c r="F10" s="4">
        <f>IFERROR(VLOOKUP($BM10,Sheet1!$B:$H,6,FALSE),"")</f>
        <v>44568</v>
      </c>
      <c r="G10" s="39">
        <f>IFERROR(VLOOKUP($BM10,Sheet1!$B:$H,5,FALSE),"")</f>
        <v>3</v>
      </c>
      <c r="H10" s="4">
        <f>IFERROR(VLOOKUP($BM10,Sheet1!$B:$H,6,FALSE),"")</f>
        <v>44568</v>
      </c>
      <c r="I10" s="4">
        <f>IFERROR(VLOOKUP($BM10,Sheet1!$B:$H,7,FALSE),"")</f>
        <v>44572</v>
      </c>
      <c r="J10" s="2">
        <f t="shared" si="25"/>
        <v>3</v>
      </c>
      <c r="U10" s="5"/>
      <c r="BK10" s="82"/>
      <c r="BM10" s="37">
        <f t="shared" ref="BM10:BM15" si="26">BM9+1</f>
        <v>3</v>
      </c>
    </row>
    <row r="11" spans="1:70" ht="46.5" customHeight="1" x14ac:dyDescent="0.3">
      <c r="A11" s="46">
        <f>IF(B11="","",COUNTA($B$6:B11))-1</f>
        <v>3</v>
      </c>
      <c r="B11" s="14" t="str">
        <f>IFERROR(VLOOKUP($BM11,Sheet1!$B:$H,4,FALSE),"")</f>
        <v>Order hóa chất, lập danh sách thứ tự ưu tiên dựa trên đặc tính vảy thử nghiệm: 7 ngày</v>
      </c>
      <c r="C11" s="2">
        <v>1</v>
      </c>
      <c r="D11" s="4">
        <f>IFERROR(VLOOKUP($BM11,Sheet1!$B:$H,6,FALSE),"")</f>
        <v>44573</v>
      </c>
      <c r="E11" s="4">
        <f>IFERROR(VLOOKUP($BM11,Sheet1!$B:$H,7,FALSE),"")</f>
        <v>44581</v>
      </c>
      <c r="F11" s="4">
        <f>IFERROR(VLOOKUP($BM11,Sheet1!$B:$H,6,FALSE),"")</f>
        <v>44573</v>
      </c>
      <c r="G11" s="39">
        <f>IFERROR(VLOOKUP($BM11,Sheet1!$B:$H,5,FALSE),"")</f>
        <v>7</v>
      </c>
      <c r="H11" s="4">
        <f>IFERROR(VLOOKUP($BM11,Sheet1!$B:$H,6,FALSE),"")</f>
        <v>44573</v>
      </c>
      <c r="I11" s="4">
        <f>IFERROR(VLOOKUP($BM11,Sheet1!$B:$H,7,FALSE),"")</f>
        <v>44581</v>
      </c>
      <c r="J11" s="2">
        <f t="shared" si="25"/>
        <v>4</v>
      </c>
      <c r="U11" s="5"/>
      <c r="BK11" s="82"/>
      <c r="BM11" s="37">
        <f t="shared" si="26"/>
        <v>4</v>
      </c>
    </row>
    <row r="12" spans="1:70" ht="54.5" customHeight="1" thickBot="1" x14ac:dyDescent="0.35">
      <c r="A12" s="46">
        <f>IF(B12="","",COUNTA($B$6:B12))-1</f>
        <v>4</v>
      </c>
      <c r="B12" s="73" t="str">
        <f>IFERROR(VLOOKUP($BM12,Sheet1!$B:$H,4,FALSE),"")</f>
        <v>Tiến hành thử nghiệm, đánh giá hiệu quả tẩy rửa và đặc tính vảy sau rửa: 7 ngày</v>
      </c>
      <c r="C12" s="47">
        <v>1</v>
      </c>
      <c r="D12" s="74">
        <f>IFERROR(VLOOKUP($BM12,Sheet1!$B:$H,6,FALSE),"")</f>
        <v>44582</v>
      </c>
      <c r="E12" s="74">
        <f>IFERROR(VLOOKUP($BM12,Sheet1!$B:$H,7,FALSE),"")</f>
        <v>44599</v>
      </c>
      <c r="F12" s="74">
        <f>IFERROR(VLOOKUP($BM12,Sheet1!$B:$H,6,FALSE),"")</f>
        <v>44582</v>
      </c>
      <c r="G12" s="75">
        <f>IFERROR(VLOOKUP($BM12,Sheet1!$B:$H,5,FALSE),"")</f>
        <v>7</v>
      </c>
      <c r="H12" s="74">
        <f>IFERROR(VLOOKUP($BM12,Sheet1!$B:$H,6,FALSE),"")</f>
        <v>44582</v>
      </c>
      <c r="I12" s="74">
        <f>IFERROR(VLOOKUP($BM12,Sheet1!$B:$H,7,FALSE),"")</f>
        <v>44599</v>
      </c>
      <c r="J12" s="47">
        <f t="shared" si="25"/>
        <v>7</v>
      </c>
      <c r="K12" s="47"/>
      <c r="L12" s="47"/>
      <c r="M12" s="47"/>
      <c r="N12" s="47"/>
      <c r="O12" s="47"/>
      <c r="P12" s="47"/>
      <c r="Q12" s="47"/>
      <c r="R12" s="47"/>
      <c r="S12" s="47"/>
      <c r="T12" s="47"/>
      <c r="U12" s="76"/>
      <c r="V12" s="47"/>
      <c r="W12" s="47"/>
      <c r="X12" s="47"/>
      <c r="Y12" s="47"/>
      <c r="Z12" s="47"/>
      <c r="AA12" s="47"/>
      <c r="AB12" s="47"/>
      <c r="AC12" s="47"/>
      <c r="AD12" s="47"/>
      <c r="AE12" s="47"/>
      <c r="AF12" s="47"/>
      <c r="AG12" s="47"/>
      <c r="AH12" s="47"/>
      <c r="AI12" s="47"/>
      <c r="AJ12" s="47"/>
      <c r="AK12" s="47"/>
      <c r="AL12" s="47"/>
      <c r="AM12" s="47"/>
      <c r="AN12" s="47"/>
      <c r="AO12" s="47"/>
      <c r="AP12" s="47"/>
      <c r="AQ12" s="47"/>
      <c r="AR12" s="84"/>
      <c r="AS12" s="84"/>
      <c r="AT12" s="84"/>
      <c r="AU12" s="84"/>
      <c r="AV12" s="84"/>
      <c r="AW12" s="84"/>
      <c r="AX12" s="84"/>
      <c r="AY12" s="84"/>
      <c r="AZ12" s="84"/>
      <c r="BA12" s="84"/>
      <c r="BB12" s="47"/>
      <c r="BC12" s="47"/>
      <c r="BD12" s="47"/>
      <c r="BE12" s="47"/>
      <c r="BF12" s="84"/>
      <c r="BG12" s="84"/>
      <c r="BH12" s="84"/>
      <c r="BI12" s="84"/>
      <c r="BJ12" s="84"/>
      <c r="BK12" s="85"/>
      <c r="BM12" s="37">
        <f t="shared" si="26"/>
        <v>5</v>
      </c>
    </row>
    <row r="13" spans="1:70" ht="49" customHeight="1" x14ac:dyDescent="0.3">
      <c r="A13" s="46">
        <f>IF(B13="","",COUNTA($B$6:B13))-1</f>
        <v>5</v>
      </c>
      <c r="B13" s="14" t="str">
        <f>IFERROR(VLOOKUP($BM13,Sheet1!$B:$H,4,FALSE),"")</f>
        <v>Báo cáo nghiệm thu và tiến hành thử nghiệm quy mô lớn 20 tấn vảy: 5 ngày</v>
      </c>
      <c r="C13" s="2">
        <v>1</v>
      </c>
      <c r="D13" s="4">
        <f>IFERROR(VLOOKUP($BM13,Sheet1!$B:$H,6,FALSE),"")</f>
        <v>44600</v>
      </c>
      <c r="E13" s="4">
        <f>IFERROR(VLOOKUP($BM13,Sheet1!$B:$H,7,FALSE),"")</f>
        <v>44606</v>
      </c>
      <c r="F13" s="4">
        <f>IFERROR(VLOOKUP($BM13,Sheet1!$B:$H,6,FALSE),"")</f>
        <v>44600</v>
      </c>
      <c r="G13" s="39">
        <f>IFERROR(VLOOKUP($BM13,Sheet1!$B:$H,5,FALSE),"")</f>
        <v>5</v>
      </c>
      <c r="H13" s="4">
        <f>IFERROR(VLOOKUP($BM13,Sheet1!$B:$H,6,FALSE),"")</f>
        <v>44600</v>
      </c>
      <c r="I13" s="4">
        <f>IFERROR(VLOOKUP($BM13,Sheet1!$B:$H,7,FALSE),"")</f>
        <v>44606</v>
      </c>
      <c r="J13" s="2">
        <f t="shared" si="25"/>
        <v>8</v>
      </c>
      <c r="U13" s="77"/>
      <c r="BM13" s="37">
        <f t="shared" si="26"/>
        <v>6</v>
      </c>
    </row>
    <row r="14" spans="1:70" ht="49" customHeight="1" x14ac:dyDescent="0.3">
      <c r="A14" s="46">
        <f>IF(B14="","",COUNTA($B$6:B14))-1</f>
        <v>6</v>
      </c>
      <c r="B14" s="14" t="str">
        <f>IFERROR(VLOOKUP($BM14,Sheet1!$B:$H,4,FALSE),"")</f>
        <v>Báo cáo nghiệm thu và bàn giao quy trình, yêu cầu kế hoạch áp dụng mass-production: 1 ngày</v>
      </c>
      <c r="C14" s="2">
        <v>1</v>
      </c>
      <c r="D14" s="4">
        <f>IFERROR(VLOOKUP($BM14,Sheet1!$B:$H,6,FALSE),"")</f>
        <v>44607</v>
      </c>
      <c r="E14" s="4">
        <f>IFERROR(VLOOKUP($BM14,Sheet1!$B:$H,7,FALSE),"")</f>
        <v>44608</v>
      </c>
      <c r="F14" s="4">
        <f>IFERROR(VLOOKUP($BM14,Sheet1!$B:$H,6,FALSE),"")</f>
        <v>44607</v>
      </c>
      <c r="G14" s="39">
        <f>IFERROR(VLOOKUP($BM14,Sheet1!$B:$H,5,FALSE),"")</f>
        <v>1</v>
      </c>
      <c r="H14" s="4">
        <f>IFERROR(VLOOKUP($BM14,Sheet1!$B:$H,6,FALSE),"")</f>
        <v>44607</v>
      </c>
      <c r="I14" s="4">
        <f>IFERROR(VLOOKUP($BM14,Sheet1!$B:$H,7,FALSE),"")</f>
        <v>44608</v>
      </c>
      <c r="J14" s="2">
        <f t="shared" si="25"/>
        <v>8</v>
      </c>
      <c r="U14" s="5"/>
      <c r="BM14" s="37">
        <f t="shared" si="26"/>
        <v>7</v>
      </c>
    </row>
    <row r="15" spans="1:70" ht="49" customHeight="1" thickBot="1" x14ac:dyDescent="0.35">
      <c r="A15" s="46">
        <f>IF(B15="","",COUNTA($B$6:B15))-1</f>
        <v>7</v>
      </c>
      <c r="B15" s="73" t="str">
        <f>IFERROR(VLOOKUP($BM15,Sheet1!$B:$H,4,FALSE),"")</f>
        <v>Theo dõi và đánh giá hậu kiểm: 2 ngày</v>
      </c>
      <c r="C15" s="47">
        <v>1</v>
      </c>
      <c r="D15" s="74">
        <f>IFERROR(VLOOKUP($BM15,Sheet1!$B:$H,6,FALSE),"")</f>
        <v>44609</v>
      </c>
      <c r="E15" s="74">
        <f>IFERROR(VLOOKUP($BM15,Sheet1!$B:$H,7,FALSE),"")</f>
        <v>44611</v>
      </c>
      <c r="F15" s="74">
        <f>IFERROR(VLOOKUP($BM15,Sheet1!$B:$H,6,FALSE),"")</f>
        <v>44609</v>
      </c>
      <c r="G15" s="75">
        <f>IF(B15=0,0,IFERROR(VLOOKUP($BM15,Sheet1!$B:$H,5,FALSE),""))</f>
        <v>2</v>
      </c>
      <c r="H15" s="74">
        <f>IFERROR(VLOOKUP($BM15,Sheet1!$B:$H,6,FALSE),"")</f>
        <v>44609</v>
      </c>
      <c r="I15" s="74">
        <f>IFERROR(VLOOKUP($BM15,Sheet1!$B:$H,7,FALSE),"")</f>
        <v>44611</v>
      </c>
      <c r="J15" s="47">
        <f t="shared" ref="J15" si="27">IF(I15="","",WEEKNUM(I15,1))</f>
        <v>8</v>
      </c>
      <c r="K15" s="47"/>
      <c r="L15" s="47"/>
      <c r="M15" s="47"/>
      <c r="N15" s="47"/>
      <c r="O15" s="47"/>
      <c r="P15" s="47"/>
      <c r="Q15" s="47"/>
      <c r="R15" s="47"/>
      <c r="S15" s="47"/>
      <c r="T15" s="47"/>
      <c r="U15" s="76"/>
      <c r="V15" s="47"/>
      <c r="W15" s="47"/>
      <c r="X15" s="47"/>
      <c r="BM15" s="37">
        <f t="shared" si="26"/>
        <v>8</v>
      </c>
    </row>
    <row r="16" spans="1:70" ht="49" customHeight="1" thickBot="1" x14ac:dyDescent="0.35">
      <c r="A16" s="46" t="e">
        <f>IF(B16="","",COUNTA($B$6:B16))-1</f>
        <v>#VALUE!</v>
      </c>
      <c r="B16" s="49"/>
      <c r="C16" s="50"/>
      <c r="D16" s="51"/>
      <c r="E16" s="51"/>
      <c r="F16" s="51"/>
      <c r="G16" s="52">
        <f>SUM(G8:G15)</f>
        <v>29</v>
      </c>
      <c r="H16" s="51"/>
      <c r="I16" s="51"/>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BM16" s="37">
        <f t="shared" ref="BM16:BM22" si="28">BM15+1</f>
        <v>9</v>
      </c>
    </row>
    <row r="17" spans="1:70" ht="23.25" customHeight="1" x14ac:dyDescent="0.3">
      <c r="A17" s="46">
        <f>IF(B17="","",COUNTA($B$6:B17))-1</f>
        <v>8</v>
      </c>
      <c r="B17" s="14" t="str">
        <f>IFERROR(VLOOKUP($BM17,Sheet1!$B:$H,4,FALSE),"")</f>
        <v>Triển khai và khởi động dự án</v>
      </c>
      <c r="F17" s="4">
        <f>IFERROR(VLOOKUP($BM17,Sheet1!$B:$H,6,FALSE),"")</f>
        <v>44650</v>
      </c>
      <c r="G17" s="39">
        <f>IFERROR(VLOOKUP($BM17,Sheet1!$B:$H,5,FALSE),"")</f>
        <v>1</v>
      </c>
      <c r="H17" s="4">
        <f>IFERROR(VLOOKUP($BM17,Sheet1!$B:$H,6,FALSE),"")</f>
        <v>44650</v>
      </c>
      <c r="BM17" s="37">
        <f t="shared" si="28"/>
        <v>10</v>
      </c>
    </row>
    <row r="18" spans="1:70" ht="23.25" customHeight="1" x14ac:dyDescent="0.3">
      <c r="A18" s="46">
        <f>IF(B18="","",COUNTA($B$6:B18))-1</f>
        <v>9</v>
      </c>
      <c r="B18" s="14" t="str">
        <f>IFERROR(VLOOKUP($BM18,Sheet1!$B:$H,4,FALSE),"")</f>
        <v>Khảo sát đặc tính chai nhập đầu vào dựa trên màu sắc, thiết kế, độ nhớt và hàm lượng tạp trong vảy sau băm: 7 ngày</v>
      </c>
      <c r="F18" s="4">
        <f>IFERROR(VLOOKUP($BM18,Sheet1!$B:$H,6,FALSE),"")</f>
        <v>44650</v>
      </c>
      <c r="G18" s="39">
        <f>IFERROR(VLOOKUP($BM18,Sheet1!$B:$H,5,FALSE),"")</f>
        <v>7</v>
      </c>
      <c r="H18" s="4">
        <f>IFERROR(VLOOKUP($BM18,Sheet1!$B:$H,6,FALSE),"")</f>
        <v>44650</v>
      </c>
      <c r="BM18" s="37">
        <f t="shared" si="28"/>
        <v>11</v>
      </c>
    </row>
    <row r="19" spans="1:70" s="2" customFormat="1" ht="23.25" customHeight="1" x14ac:dyDescent="0.3">
      <c r="A19" s="46">
        <f>IF(B19="","",COUNTA($B$6:B19))-1</f>
        <v>10</v>
      </c>
      <c r="B19" s="14" t="str">
        <f>IFERROR(VLOOKUP($BM19,Sheet1!$B:$H,4,FALSE),"")</f>
        <v>Đề xuất nhóm phân loại và đánh giá mức độ ảnh hưởng ánh vàng trên hạt nhựa theo từng nhóm phân loại: 21 ngày</v>
      </c>
      <c r="D19" s="4"/>
      <c r="E19" s="4"/>
      <c r="F19" s="4">
        <f>IFERROR(VLOOKUP($BM19,Sheet1!$B:$H,6,FALSE),"")</f>
        <v>44659</v>
      </c>
      <c r="G19" s="39">
        <f>IFERROR(VLOOKUP($BM19,Sheet1!$B:$H,5,FALSE),"")</f>
        <v>21</v>
      </c>
      <c r="H19" s="4">
        <f>IFERROR(VLOOKUP($BM19,Sheet1!$B:$H,6,FALSE),"")</f>
        <v>44659</v>
      </c>
      <c r="I19" s="4"/>
      <c r="AR19" s="1"/>
      <c r="AS19" s="1"/>
      <c r="AT19" s="1"/>
      <c r="AU19" s="1"/>
      <c r="AV19" s="1"/>
      <c r="AW19" s="1"/>
      <c r="AX19" s="1"/>
      <c r="AY19" s="1"/>
      <c r="AZ19" s="1"/>
      <c r="BA19" s="1"/>
      <c r="BF19" s="1"/>
      <c r="BG19" s="1"/>
      <c r="BH19" s="1"/>
      <c r="BI19" s="1"/>
      <c r="BJ19" s="1"/>
      <c r="BK19" s="1"/>
      <c r="BL19" s="1"/>
      <c r="BM19" s="37">
        <f t="shared" si="28"/>
        <v>12</v>
      </c>
      <c r="BN19" s="1"/>
      <c r="BO19" s="1"/>
      <c r="BP19" s="1"/>
      <c r="BQ19" s="1"/>
      <c r="BR19" s="1"/>
    </row>
    <row r="20" spans="1:70" s="2" customFormat="1" ht="23.25" customHeight="1" x14ac:dyDescent="0.3">
      <c r="A20" s="46">
        <f>IF(B20="","",COUNTA($B$6:B20))-1</f>
        <v>11</v>
      </c>
      <c r="B20" s="14" t="str">
        <f>IFERROR(VLOOKUP($BM20,Sheet1!$B:$H,4,FALSE),"")</f>
        <v>Báo cáo đánh giá sơ bộ nhóm nguyên liệu, khảo sát nhóm thiết bị và thông số vận hành đang áp dụng trên chuyền: 3 ngày</v>
      </c>
      <c r="D20" s="4"/>
      <c r="E20" s="4"/>
      <c r="F20" s="4">
        <f>IFERROR(VLOOKUP($BM20,Sheet1!$B:$H,6,FALSE),"")</f>
        <v>44687</v>
      </c>
      <c r="G20" s="39">
        <f>IFERROR(VLOOKUP($BM20,Sheet1!$B:$H,5,FALSE),"")</f>
        <v>3</v>
      </c>
      <c r="H20" s="4">
        <f>IFERROR(VLOOKUP($BM20,Sheet1!$B:$H,6,FALSE),"")</f>
        <v>44687</v>
      </c>
      <c r="I20" s="4"/>
      <c r="AR20" s="1"/>
      <c r="AS20" s="1"/>
      <c r="AT20" s="1"/>
      <c r="AU20" s="1"/>
      <c r="AV20" s="1"/>
      <c r="AW20" s="1"/>
      <c r="AX20" s="1"/>
      <c r="AY20" s="1"/>
      <c r="AZ20" s="1"/>
      <c r="BA20" s="1"/>
      <c r="BF20" s="1"/>
      <c r="BG20" s="1"/>
      <c r="BH20" s="1"/>
      <c r="BI20" s="1"/>
      <c r="BJ20" s="1"/>
      <c r="BK20" s="1"/>
      <c r="BL20" s="1"/>
      <c r="BM20" s="37">
        <f t="shared" si="28"/>
        <v>13</v>
      </c>
      <c r="BN20" s="1"/>
      <c r="BO20" s="1"/>
      <c r="BP20" s="1"/>
      <c r="BQ20" s="1"/>
      <c r="BR20" s="1"/>
    </row>
    <row r="21" spans="1:70" s="2" customFormat="1" ht="23.25" customHeight="1" x14ac:dyDescent="0.3">
      <c r="A21" s="46">
        <f>IF(B21="","",COUNTA($B$6:B21))-1</f>
        <v>12</v>
      </c>
      <c r="B21" s="14" t="str">
        <f>IFERROR(VLOOKUP($BM21,Sheet1!$B:$H,4,FALSE),"")</f>
        <v>Tiến hành thử nghiệm, đánh giá khả năng khử ánh vàng trên hạt nhựa bằng cách tối ưu thông số vận hành từng nhóm thiết bị (cô lập nhóm để khảo sát): 7 ngày</v>
      </c>
      <c r="D21" s="4"/>
      <c r="E21" s="4"/>
      <c r="F21" s="4">
        <f>IFERROR(VLOOKUP($BM21,Sheet1!$B:$H,6,FALSE),"")</f>
        <v>44692</v>
      </c>
      <c r="G21" s="39">
        <f>IFERROR(VLOOKUP($BM21,Sheet1!$B:$H,5,FALSE),"")</f>
        <v>7</v>
      </c>
      <c r="H21" s="4">
        <f>IFERROR(VLOOKUP($BM21,Sheet1!$B:$H,6,FALSE),"")</f>
        <v>44692</v>
      </c>
      <c r="I21" s="4"/>
      <c r="AR21" s="1"/>
      <c r="AS21" s="1"/>
      <c r="AT21" s="1"/>
      <c r="AU21" s="1"/>
      <c r="AV21" s="1"/>
      <c r="AW21" s="1"/>
      <c r="AX21" s="1"/>
      <c r="AY21" s="1"/>
      <c r="AZ21" s="1"/>
      <c r="BA21" s="1"/>
      <c r="BF21" s="1"/>
      <c r="BG21" s="1"/>
      <c r="BH21" s="1"/>
      <c r="BI21" s="1"/>
      <c r="BJ21" s="1"/>
      <c r="BK21" s="1"/>
      <c r="BL21" s="1"/>
      <c r="BM21" s="37">
        <f t="shared" si="28"/>
        <v>14</v>
      </c>
      <c r="BN21" s="1"/>
      <c r="BO21" s="1"/>
      <c r="BP21" s="1"/>
      <c r="BQ21" s="1"/>
      <c r="BR21" s="1"/>
    </row>
    <row r="22" spans="1:70" s="2" customFormat="1" ht="23.25" customHeight="1" x14ac:dyDescent="0.3">
      <c r="A22" s="46" t="e">
        <f>IF(B22="","",COUNTA($B$6:B22))-1</f>
        <v>#VALUE!</v>
      </c>
      <c r="B22" s="14"/>
      <c r="D22" s="4"/>
      <c r="E22" s="4"/>
      <c r="F22" s="4"/>
      <c r="G22" s="39"/>
      <c r="H22" s="4"/>
      <c r="I22" s="4"/>
      <c r="AR22" s="1"/>
      <c r="AS22" s="1"/>
      <c r="AT22" s="1"/>
      <c r="AU22" s="1"/>
      <c r="AV22" s="1"/>
      <c r="AW22" s="1"/>
      <c r="AX22" s="1"/>
      <c r="AY22" s="1"/>
      <c r="AZ22" s="1"/>
      <c r="BA22" s="1"/>
      <c r="BF22" s="1"/>
      <c r="BG22" s="1"/>
      <c r="BH22" s="1"/>
      <c r="BI22" s="1"/>
      <c r="BJ22" s="1"/>
      <c r="BK22" s="1"/>
      <c r="BL22" s="1"/>
      <c r="BM22" s="37">
        <f t="shared" si="28"/>
        <v>15</v>
      </c>
      <c r="BN22" s="1"/>
      <c r="BO22" s="1"/>
      <c r="BP22" s="1"/>
      <c r="BQ22" s="1"/>
      <c r="BR22" s="1"/>
    </row>
    <row r="23" spans="1:70" s="2" customFormat="1" ht="23.25" customHeight="1" x14ac:dyDescent="0.3">
      <c r="A23" s="46" t="e">
        <f>IF(B23="","",COUNTA($B$6:B23))-1</f>
        <v>#VALUE!</v>
      </c>
      <c r="B23" s="14"/>
      <c r="D23" s="4"/>
      <c r="E23" s="4"/>
      <c r="F23" s="4"/>
      <c r="G23" s="39"/>
      <c r="H23" s="4"/>
      <c r="I23" s="4"/>
      <c r="AR23" s="1"/>
      <c r="AS23" s="1"/>
      <c r="AT23" s="1"/>
      <c r="AU23" s="1"/>
      <c r="AV23" s="1"/>
      <c r="AW23" s="1"/>
      <c r="AX23" s="1"/>
      <c r="AY23" s="1"/>
      <c r="AZ23" s="1"/>
      <c r="BA23" s="1"/>
      <c r="BF23" s="1"/>
      <c r="BG23" s="1"/>
      <c r="BH23" s="1"/>
      <c r="BI23" s="1"/>
      <c r="BJ23" s="1"/>
      <c r="BK23" s="1"/>
      <c r="BL23" s="1"/>
      <c r="BM23" s="33"/>
      <c r="BN23" s="1"/>
      <c r="BO23" s="1"/>
      <c r="BP23" s="1"/>
      <c r="BQ23" s="1"/>
      <c r="BR23" s="1"/>
    </row>
    <row r="24" spans="1:70" s="2" customFormat="1" ht="23.25" customHeight="1" x14ac:dyDescent="0.3">
      <c r="A24" s="46" t="e">
        <f>IF(B24="","",COUNTA($B$6:B24))-1</f>
        <v>#VALUE!</v>
      </c>
      <c r="B24" s="14"/>
      <c r="D24" s="4"/>
      <c r="E24" s="4"/>
      <c r="F24" s="15"/>
      <c r="G24" s="39"/>
      <c r="H24" s="15"/>
      <c r="I24" s="4"/>
      <c r="AR24" s="1"/>
      <c r="AS24" s="1"/>
      <c r="AT24" s="1"/>
      <c r="AU24" s="1"/>
      <c r="AV24" s="1"/>
      <c r="AW24" s="1"/>
      <c r="AX24" s="1"/>
      <c r="AY24" s="1"/>
      <c r="AZ24" s="1"/>
      <c r="BA24" s="1"/>
      <c r="BF24" s="1"/>
      <c r="BG24" s="1"/>
      <c r="BH24" s="1"/>
      <c r="BI24" s="1"/>
      <c r="BJ24" s="1"/>
      <c r="BK24" s="1"/>
      <c r="BL24" s="1"/>
      <c r="BM24" s="33"/>
      <c r="BN24" s="1"/>
      <c r="BO24" s="1"/>
      <c r="BP24" s="1"/>
      <c r="BQ24" s="1"/>
      <c r="BR24" s="1"/>
    </row>
    <row r="25" spans="1:70" s="2" customFormat="1" ht="23.25" customHeight="1" x14ac:dyDescent="0.3">
      <c r="A25" s="46" t="e">
        <f>IF(B25="","",COUNTA($B$6:B25))-1</f>
        <v>#VALUE!</v>
      </c>
      <c r="B25" s="14"/>
      <c r="D25" s="4"/>
      <c r="E25" s="4"/>
      <c r="F25" s="4"/>
      <c r="G25" s="39"/>
      <c r="H25" s="4"/>
      <c r="I25" s="4"/>
      <c r="AR25" s="1"/>
      <c r="AS25" s="1"/>
      <c r="AT25" s="1"/>
      <c r="AU25" s="1"/>
      <c r="AV25" s="1"/>
      <c r="AW25" s="1"/>
      <c r="AX25" s="1"/>
      <c r="AY25" s="1"/>
      <c r="AZ25" s="1"/>
      <c r="BA25" s="1"/>
      <c r="BF25" s="1"/>
      <c r="BG25" s="1"/>
      <c r="BH25" s="1"/>
      <c r="BI25" s="1"/>
      <c r="BJ25" s="1"/>
      <c r="BK25" s="1"/>
      <c r="BL25" s="1"/>
      <c r="BM25" s="33"/>
      <c r="BN25" s="1"/>
      <c r="BO25" s="1"/>
      <c r="BP25" s="1"/>
      <c r="BQ25" s="1"/>
      <c r="BR25" s="1"/>
    </row>
    <row r="26" spans="1:70" s="2" customFormat="1" ht="23.25" customHeight="1" x14ac:dyDescent="0.3">
      <c r="A26" s="46" t="e">
        <f>IF(B26="","",COUNTA($B$6:B26))-1</f>
        <v>#VALUE!</v>
      </c>
      <c r="B26" s="14"/>
      <c r="D26" s="4"/>
      <c r="E26" s="4"/>
      <c r="F26" s="4"/>
      <c r="G26" s="39"/>
      <c r="H26" s="4"/>
      <c r="I26" s="4"/>
      <c r="AR26" s="1"/>
      <c r="AS26" s="1"/>
      <c r="AT26" s="1"/>
      <c r="AU26" s="1"/>
      <c r="AV26" s="1"/>
      <c r="AW26" s="1"/>
      <c r="AX26" s="1"/>
      <c r="AY26" s="1"/>
      <c r="AZ26" s="1"/>
      <c r="BA26" s="1"/>
      <c r="BF26" s="1"/>
      <c r="BG26" s="1"/>
      <c r="BH26" s="1"/>
      <c r="BI26" s="1"/>
      <c r="BJ26" s="1"/>
      <c r="BK26" s="1"/>
      <c r="BL26" s="1"/>
      <c r="BM26" s="33"/>
      <c r="BN26" s="1"/>
      <c r="BO26" s="1"/>
      <c r="BP26" s="1"/>
      <c r="BQ26" s="1"/>
      <c r="BR26" s="1"/>
    </row>
    <row r="27" spans="1:70" s="2" customFormat="1" ht="23.25" customHeight="1" x14ac:dyDescent="0.3">
      <c r="A27" s="46" t="e">
        <f>IF(B27="","",COUNTA($B$6:B27))-1</f>
        <v>#VALUE!</v>
      </c>
      <c r="B27" s="14"/>
      <c r="D27" s="4"/>
      <c r="E27" s="4"/>
      <c r="F27" s="4"/>
      <c r="G27" s="39"/>
      <c r="H27" s="4"/>
      <c r="I27" s="4"/>
      <c r="AR27" s="1"/>
      <c r="AS27" s="1"/>
      <c r="AT27" s="1"/>
      <c r="AU27" s="1"/>
      <c r="AV27" s="1"/>
      <c r="AW27" s="1"/>
      <c r="AX27" s="1"/>
      <c r="AY27" s="1"/>
      <c r="AZ27" s="1"/>
      <c r="BA27" s="1"/>
      <c r="BF27" s="1"/>
      <c r="BG27" s="1"/>
      <c r="BH27" s="1"/>
      <c r="BI27" s="1"/>
      <c r="BJ27" s="1"/>
      <c r="BK27" s="1"/>
      <c r="BL27" s="1"/>
      <c r="BM27" s="33"/>
      <c r="BN27" s="1"/>
      <c r="BO27" s="1"/>
      <c r="BP27" s="1"/>
      <c r="BQ27" s="1"/>
      <c r="BR27" s="1"/>
    </row>
    <row r="28" spans="1:70" s="2" customFormat="1" ht="23.25" customHeight="1" x14ac:dyDescent="0.3">
      <c r="A28" s="46" t="e">
        <f>IF(B28="","",COUNTA($B$6:B28))-1</f>
        <v>#VALUE!</v>
      </c>
      <c r="B28" s="14"/>
      <c r="D28" s="4"/>
      <c r="E28" s="4"/>
      <c r="F28" s="4"/>
      <c r="G28" s="39"/>
      <c r="H28" s="4"/>
      <c r="I28" s="4"/>
      <c r="AR28" s="1"/>
      <c r="AS28" s="1"/>
      <c r="AT28" s="1"/>
      <c r="AU28" s="1"/>
      <c r="AV28" s="1"/>
      <c r="AW28" s="1"/>
      <c r="AX28" s="1"/>
      <c r="AY28" s="1"/>
      <c r="AZ28" s="1"/>
      <c r="BA28" s="1"/>
      <c r="BF28" s="1"/>
      <c r="BG28" s="1"/>
      <c r="BH28" s="1"/>
      <c r="BI28" s="1"/>
      <c r="BJ28" s="1"/>
      <c r="BK28" s="1"/>
      <c r="BL28" s="1"/>
      <c r="BM28" s="33"/>
      <c r="BN28" s="1"/>
      <c r="BO28" s="1"/>
      <c r="BP28" s="1"/>
      <c r="BQ28" s="1"/>
      <c r="BR28" s="1"/>
    </row>
    <row r="29" spans="1:70" s="2" customFormat="1" ht="23.25" customHeight="1" x14ac:dyDescent="0.3">
      <c r="A29" s="46" t="e">
        <f>IF(B29="","",COUNTA($B$6:B29))-1</f>
        <v>#VALUE!</v>
      </c>
      <c r="B29" s="14"/>
      <c r="D29" s="4"/>
      <c r="E29" s="4"/>
      <c r="F29" s="4"/>
      <c r="G29" s="39"/>
      <c r="H29" s="4"/>
      <c r="I29" s="4"/>
      <c r="AR29" s="1"/>
      <c r="AS29" s="1"/>
      <c r="AT29" s="1"/>
      <c r="AU29" s="1"/>
      <c r="AV29" s="1"/>
      <c r="AW29" s="1"/>
      <c r="AX29" s="1"/>
      <c r="AY29" s="1"/>
      <c r="AZ29" s="1"/>
      <c r="BA29" s="1"/>
      <c r="BF29" s="1"/>
      <c r="BG29" s="1"/>
      <c r="BH29" s="1"/>
      <c r="BI29" s="1"/>
      <c r="BJ29" s="1"/>
      <c r="BK29" s="1"/>
      <c r="BL29" s="1"/>
      <c r="BM29" s="33"/>
      <c r="BN29" s="1"/>
      <c r="BO29" s="1"/>
      <c r="BP29" s="1"/>
      <c r="BQ29" s="1"/>
      <c r="BR29" s="1"/>
    </row>
    <row r="30" spans="1:70" s="2" customFormat="1" ht="23.25" customHeight="1" x14ac:dyDescent="0.3">
      <c r="A30" s="46" t="e">
        <f>IF(B30="","",COUNTA($B$6:B30))-1</f>
        <v>#VALUE!</v>
      </c>
      <c r="B30" s="14"/>
      <c r="D30" s="4"/>
      <c r="E30" s="4"/>
      <c r="F30" s="4"/>
      <c r="G30" s="39"/>
      <c r="H30" s="4"/>
      <c r="I30" s="4"/>
      <c r="AR30" s="1"/>
      <c r="AS30" s="1"/>
      <c r="AT30" s="1"/>
      <c r="AU30" s="1"/>
      <c r="AV30" s="1"/>
      <c r="AW30" s="1"/>
      <c r="AX30" s="1"/>
      <c r="AY30" s="1"/>
      <c r="AZ30" s="1"/>
      <c r="BA30" s="1"/>
      <c r="BF30" s="1"/>
      <c r="BG30" s="1"/>
      <c r="BH30" s="1"/>
      <c r="BI30" s="1"/>
      <c r="BJ30" s="1"/>
      <c r="BK30" s="1"/>
      <c r="BL30" s="1"/>
      <c r="BM30" s="33"/>
      <c r="BN30" s="1"/>
      <c r="BO30" s="1"/>
      <c r="BP30" s="1"/>
      <c r="BQ30" s="1"/>
      <c r="BR30" s="1"/>
    </row>
    <row r="31" spans="1:70" s="2" customFormat="1" ht="23.25" customHeight="1" x14ac:dyDescent="0.3">
      <c r="A31" s="46" t="e">
        <f>IF(B31="","",COUNTA($B$6:B31))-1</f>
        <v>#VALUE!</v>
      </c>
      <c r="B31" s="14"/>
      <c r="D31" s="4"/>
      <c r="E31" s="4"/>
      <c r="F31" s="4"/>
      <c r="G31" s="39"/>
      <c r="H31" s="4"/>
      <c r="I31" s="4"/>
      <c r="AR31" s="1"/>
      <c r="AS31" s="1"/>
      <c r="AT31" s="1"/>
      <c r="AU31" s="1"/>
      <c r="AV31" s="1"/>
      <c r="AW31" s="1"/>
      <c r="AX31" s="1"/>
      <c r="AY31" s="1"/>
      <c r="AZ31" s="1"/>
      <c r="BA31" s="1"/>
      <c r="BF31" s="1"/>
      <c r="BG31" s="1"/>
      <c r="BH31" s="1"/>
      <c r="BI31" s="1"/>
      <c r="BJ31" s="1"/>
      <c r="BK31" s="1"/>
      <c r="BL31" s="1"/>
      <c r="BM31" s="33"/>
      <c r="BN31" s="1"/>
      <c r="BO31" s="1"/>
      <c r="BP31" s="1"/>
      <c r="BQ31" s="1"/>
      <c r="BR31" s="1"/>
    </row>
    <row r="32" spans="1:70" s="2" customFormat="1" ht="23.25" customHeight="1" x14ac:dyDescent="0.3">
      <c r="A32" s="46" t="e">
        <f>IF(B32="","",COUNTA($B$6:B32))-1</f>
        <v>#VALUE!</v>
      </c>
      <c r="B32" s="14"/>
      <c r="D32" s="4"/>
      <c r="E32" s="4"/>
      <c r="F32" s="4"/>
      <c r="G32" s="39"/>
      <c r="H32" s="4"/>
      <c r="I32" s="4"/>
      <c r="AR32" s="1"/>
      <c r="AS32" s="1"/>
      <c r="AT32" s="1"/>
      <c r="AU32" s="1"/>
      <c r="AV32" s="1"/>
      <c r="AW32" s="1"/>
      <c r="AX32" s="1"/>
      <c r="AY32" s="1"/>
      <c r="AZ32" s="1"/>
      <c r="BA32" s="1"/>
      <c r="BF32" s="1"/>
      <c r="BG32" s="1"/>
      <c r="BH32" s="1"/>
      <c r="BI32" s="1"/>
      <c r="BJ32" s="1"/>
      <c r="BK32" s="1"/>
      <c r="BL32" s="1"/>
      <c r="BM32" s="33"/>
      <c r="BN32" s="1"/>
      <c r="BO32" s="1"/>
      <c r="BP32" s="1"/>
      <c r="BQ32" s="1"/>
      <c r="BR32" s="1"/>
    </row>
    <row r="33" spans="1:70" s="2" customFormat="1" ht="23.25" customHeight="1" x14ac:dyDescent="0.3">
      <c r="A33" s="46" t="e">
        <f>IF(B33="","",COUNTA($B$6:B33))-1</f>
        <v>#VALUE!</v>
      </c>
      <c r="B33" s="14"/>
      <c r="D33" s="4"/>
      <c r="E33" s="4"/>
      <c r="F33" s="4"/>
      <c r="G33" s="39"/>
      <c r="H33" s="4"/>
      <c r="I33" s="4"/>
      <c r="AR33" s="1"/>
      <c r="AS33" s="1"/>
      <c r="AT33" s="1"/>
      <c r="AU33" s="1"/>
      <c r="AV33" s="1"/>
      <c r="AW33" s="1"/>
      <c r="AX33" s="1"/>
      <c r="AY33" s="1"/>
      <c r="AZ33" s="1"/>
      <c r="BA33" s="1"/>
      <c r="BF33" s="1"/>
      <c r="BG33" s="1"/>
      <c r="BH33" s="1"/>
      <c r="BI33" s="1"/>
      <c r="BJ33" s="1"/>
      <c r="BK33" s="1"/>
      <c r="BL33" s="1"/>
      <c r="BM33" s="33"/>
      <c r="BN33" s="1"/>
      <c r="BO33" s="1"/>
      <c r="BP33" s="1"/>
      <c r="BQ33" s="1"/>
      <c r="BR33" s="1"/>
    </row>
    <row r="34" spans="1:70" s="2" customFormat="1" ht="23.25" customHeight="1" x14ac:dyDescent="0.3">
      <c r="A34" s="46" t="e">
        <f>IF(B34="","",COUNTA($B$6:B34))-1</f>
        <v>#VALUE!</v>
      </c>
      <c r="B34" s="14"/>
      <c r="D34" s="4"/>
      <c r="E34" s="4"/>
      <c r="F34" s="4"/>
      <c r="G34" s="39"/>
      <c r="H34" s="4"/>
      <c r="I34" s="4"/>
      <c r="AR34" s="1"/>
      <c r="AS34" s="1"/>
      <c r="AT34" s="1"/>
      <c r="AU34" s="1"/>
      <c r="AV34" s="1"/>
      <c r="AW34" s="1"/>
      <c r="AX34" s="1"/>
      <c r="AY34" s="1"/>
      <c r="AZ34" s="1"/>
      <c r="BA34" s="1"/>
      <c r="BF34" s="1"/>
      <c r="BG34" s="1"/>
      <c r="BH34" s="1"/>
      <c r="BI34" s="1"/>
      <c r="BJ34" s="1"/>
      <c r="BK34" s="1"/>
      <c r="BL34" s="1"/>
      <c r="BM34" s="33"/>
      <c r="BN34" s="1"/>
      <c r="BO34" s="1"/>
      <c r="BP34" s="1"/>
      <c r="BQ34" s="1"/>
      <c r="BR34" s="1"/>
    </row>
    <row r="35" spans="1:70" s="2" customFormat="1" ht="23.25" customHeight="1" x14ac:dyDescent="0.3">
      <c r="A35" s="46" t="e">
        <f>IF(B35="","",COUNTA($B$6:B35))-1</f>
        <v>#VALUE!</v>
      </c>
      <c r="B35" s="14"/>
      <c r="D35" s="4"/>
      <c r="E35" s="4"/>
      <c r="F35" s="4"/>
      <c r="G35" s="39"/>
      <c r="H35" s="4"/>
      <c r="I35" s="4"/>
      <c r="AR35" s="1"/>
      <c r="AS35" s="1"/>
      <c r="AT35" s="1"/>
      <c r="AU35" s="1"/>
      <c r="AV35" s="1"/>
      <c r="AW35" s="1"/>
      <c r="AX35" s="1"/>
      <c r="AY35" s="1"/>
      <c r="AZ35" s="1"/>
      <c r="BA35" s="1"/>
      <c r="BF35" s="1"/>
      <c r="BG35" s="1"/>
      <c r="BH35" s="1"/>
      <c r="BI35" s="1"/>
      <c r="BJ35" s="1"/>
      <c r="BK35" s="1"/>
      <c r="BL35" s="1"/>
      <c r="BM35" s="33"/>
      <c r="BN35" s="1"/>
      <c r="BO35" s="1"/>
      <c r="BP35" s="1"/>
      <c r="BQ35" s="1"/>
      <c r="BR35" s="1"/>
    </row>
    <row r="36" spans="1:70" s="2" customFormat="1" ht="23.25" customHeight="1" x14ac:dyDescent="0.3">
      <c r="A36" s="46" t="e">
        <f>IF(B36="","",COUNTA($B$6:B36))-1</f>
        <v>#VALUE!</v>
      </c>
      <c r="B36" s="14"/>
      <c r="D36" s="4"/>
      <c r="E36" s="4"/>
      <c r="F36" s="4"/>
      <c r="G36" s="39"/>
      <c r="H36" s="4"/>
      <c r="I36" s="4"/>
      <c r="AR36" s="1"/>
      <c r="AS36" s="1"/>
      <c r="AT36" s="1"/>
      <c r="AU36" s="1"/>
      <c r="AV36" s="1"/>
      <c r="AW36" s="1"/>
      <c r="AX36" s="1"/>
      <c r="AY36" s="1"/>
      <c r="AZ36" s="1"/>
      <c r="BA36" s="1"/>
      <c r="BF36" s="1"/>
      <c r="BG36" s="1"/>
      <c r="BH36" s="1"/>
      <c r="BI36" s="1"/>
      <c r="BJ36" s="1"/>
      <c r="BK36" s="1"/>
      <c r="BL36" s="1"/>
      <c r="BM36" s="33"/>
      <c r="BN36" s="1"/>
      <c r="BO36" s="1"/>
      <c r="BP36" s="1"/>
      <c r="BQ36" s="1"/>
      <c r="BR36" s="1"/>
    </row>
    <row r="37" spans="1:70" s="2" customFormat="1" ht="23.25" customHeight="1" x14ac:dyDescent="0.3">
      <c r="A37" s="46" t="e">
        <f>IF(B37="","",COUNTA($B$6:B37))-1</f>
        <v>#VALUE!</v>
      </c>
      <c r="B37" s="14"/>
      <c r="D37" s="4"/>
      <c r="E37" s="4"/>
      <c r="F37" s="4"/>
      <c r="G37" s="39"/>
      <c r="H37" s="4"/>
      <c r="I37" s="4"/>
      <c r="AR37" s="1"/>
      <c r="AS37" s="1"/>
      <c r="AT37" s="1"/>
      <c r="AU37" s="1"/>
      <c r="AV37" s="1"/>
      <c r="AW37" s="1"/>
      <c r="AX37" s="1"/>
      <c r="AY37" s="1"/>
      <c r="AZ37" s="1"/>
      <c r="BA37" s="1"/>
      <c r="BF37" s="1"/>
      <c r="BG37" s="1"/>
      <c r="BH37" s="1"/>
      <c r="BI37" s="1"/>
      <c r="BJ37" s="1"/>
      <c r="BK37" s="1"/>
      <c r="BL37" s="1"/>
      <c r="BM37" s="33"/>
      <c r="BN37" s="1"/>
      <c r="BO37" s="1"/>
      <c r="BP37" s="1"/>
      <c r="BQ37" s="1"/>
      <c r="BR37" s="1"/>
    </row>
    <row r="38" spans="1:70" s="2" customFormat="1" ht="23.25" customHeight="1" x14ac:dyDescent="0.3">
      <c r="A38" s="46" t="e">
        <f>IF(B38="","",COUNTA($B$6:B38))-1</f>
        <v>#VALUE!</v>
      </c>
      <c r="B38" s="14"/>
      <c r="D38" s="4"/>
      <c r="E38" s="4"/>
      <c r="F38" s="4"/>
      <c r="G38" s="39"/>
      <c r="H38" s="4"/>
      <c r="I38" s="4"/>
      <c r="AR38" s="1"/>
      <c r="AS38" s="1"/>
      <c r="AT38" s="1"/>
      <c r="AU38" s="1"/>
      <c r="AV38" s="1"/>
      <c r="AW38" s="1"/>
      <c r="AX38" s="1"/>
      <c r="AY38" s="1"/>
      <c r="AZ38" s="1"/>
      <c r="BA38" s="1"/>
      <c r="BF38" s="1"/>
      <c r="BG38" s="1"/>
      <c r="BH38" s="1"/>
      <c r="BI38" s="1"/>
      <c r="BJ38" s="1"/>
      <c r="BK38" s="1"/>
      <c r="BL38" s="1"/>
      <c r="BM38" s="33"/>
      <c r="BN38" s="1"/>
      <c r="BO38" s="1"/>
      <c r="BP38" s="1"/>
      <c r="BQ38" s="1"/>
      <c r="BR38" s="1"/>
    </row>
    <row r="39" spans="1:70" s="2" customFormat="1" ht="23.25" customHeight="1" x14ac:dyDescent="0.3">
      <c r="A39" s="46" t="e">
        <f>IF(B39="","",COUNTA($B$6:B39))-1</f>
        <v>#VALUE!</v>
      </c>
      <c r="B39" s="14"/>
      <c r="D39" s="4"/>
      <c r="E39" s="4"/>
      <c r="F39" s="4"/>
      <c r="G39" s="39"/>
      <c r="H39" s="4"/>
      <c r="I39" s="4"/>
      <c r="AR39" s="1"/>
      <c r="AS39" s="1"/>
      <c r="AT39" s="1"/>
      <c r="AU39" s="1"/>
      <c r="AV39" s="1"/>
      <c r="AW39" s="1"/>
      <c r="AX39" s="1"/>
      <c r="AY39" s="1"/>
      <c r="AZ39" s="1"/>
      <c r="BA39" s="1"/>
      <c r="BF39" s="1"/>
      <c r="BG39" s="1"/>
      <c r="BH39" s="1"/>
      <c r="BI39" s="1"/>
      <c r="BJ39" s="1"/>
      <c r="BK39" s="1"/>
      <c r="BL39" s="1"/>
      <c r="BM39" s="33"/>
      <c r="BN39" s="1"/>
      <c r="BO39" s="1"/>
      <c r="BP39" s="1"/>
      <c r="BQ39" s="1"/>
      <c r="BR39" s="1"/>
    </row>
    <row r="40" spans="1:70" s="2" customFormat="1" ht="23.25" customHeight="1" x14ac:dyDescent="0.3">
      <c r="A40" s="46" t="e">
        <f>IF(B40="","",COUNTA($B$6:B40))-1</f>
        <v>#VALUE!</v>
      </c>
      <c r="B40" s="14"/>
      <c r="D40" s="4"/>
      <c r="E40" s="4"/>
      <c r="F40" s="4"/>
      <c r="G40" s="39"/>
      <c r="H40" s="4"/>
      <c r="I40" s="4"/>
      <c r="AR40" s="1"/>
      <c r="AS40" s="1"/>
      <c r="AT40" s="1"/>
      <c r="AU40" s="1"/>
      <c r="AV40" s="1"/>
      <c r="AW40" s="1"/>
      <c r="AX40" s="1"/>
      <c r="AY40" s="1"/>
      <c r="AZ40" s="1"/>
      <c r="BA40" s="1"/>
      <c r="BF40" s="1"/>
      <c r="BG40" s="1"/>
      <c r="BH40" s="1"/>
      <c r="BI40" s="1"/>
      <c r="BJ40" s="1"/>
      <c r="BK40" s="1"/>
      <c r="BL40" s="1"/>
      <c r="BM40" s="33"/>
      <c r="BN40" s="1"/>
      <c r="BO40" s="1"/>
      <c r="BP40" s="1"/>
      <c r="BQ40" s="1"/>
      <c r="BR40" s="1"/>
    </row>
    <row r="41" spans="1:70" s="2" customFormat="1" ht="23.25" customHeight="1" x14ac:dyDescent="0.3">
      <c r="A41" s="46" t="e">
        <f>IF(B41="","",COUNTA($B$6:B41))-1</f>
        <v>#VALUE!</v>
      </c>
      <c r="B41" s="14"/>
      <c r="D41" s="4"/>
      <c r="E41" s="4"/>
      <c r="F41" s="4"/>
      <c r="G41" s="39"/>
      <c r="H41" s="4"/>
      <c r="I41" s="4"/>
      <c r="AR41" s="1"/>
      <c r="AS41" s="1"/>
      <c r="AT41" s="1"/>
      <c r="AU41" s="1"/>
      <c r="AV41" s="1"/>
      <c r="AW41" s="1"/>
      <c r="AX41" s="1"/>
      <c r="AY41" s="1"/>
      <c r="AZ41" s="1"/>
      <c r="BA41" s="1"/>
      <c r="BF41" s="1"/>
      <c r="BG41" s="1"/>
      <c r="BH41" s="1"/>
      <c r="BI41" s="1"/>
      <c r="BJ41" s="1"/>
      <c r="BK41" s="1"/>
      <c r="BL41" s="1"/>
      <c r="BM41" s="33"/>
      <c r="BN41" s="1"/>
      <c r="BO41" s="1"/>
      <c r="BP41" s="1"/>
      <c r="BQ41" s="1"/>
      <c r="BR41" s="1"/>
    </row>
    <row r="42" spans="1:70" s="2" customFormat="1" ht="23.25" customHeight="1" x14ac:dyDescent="0.3">
      <c r="A42" s="46" t="e">
        <f>IF(B42="","",COUNTA($B$6:B42))-1</f>
        <v>#VALUE!</v>
      </c>
      <c r="B42" s="14"/>
      <c r="D42" s="4"/>
      <c r="E42" s="4"/>
      <c r="F42" s="4"/>
      <c r="G42" s="39"/>
      <c r="H42" s="4"/>
      <c r="I42" s="4"/>
      <c r="AR42" s="1"/>
      <c r="AS42" s="1"/>
      <c r="AT42" s="1"/>
      <c r="AU42" s="1"/>
      <c r="AV42" s="1"/>
      <c r="AW42" s="1"/>
      <c r="AX42" s="1"/>
      <c r="AY42" s="1"/>
      <c r="AZ42" s="1"/>
      <c r="BA42" s="1"/>
      <c r="BF42" s="1"/>
      <c r="BG42" s="1"/>
      <c r="BH42" s="1"/>
      <c r="BI42" s="1"/>
      <c r="BJ42" s="1"/>
      <c r="BK42" s="1"/>
      <c r="BL42" s="1"/>
      <c r="BM42" s="33"/>
      <c r="BN42" s="1"/>
      <c r="BO42" s="1"/>
      <c r="BP42" s="1"/>
      <c r="BQ42" s="1"/>
      <c r="BR42" s="1"/>
    </row>
    <row r="43" spans="1:70" s="2" customFormat="1" ht="23.25" customHeight="1" x14ac:dyDescent="0.3">
      <c r="A43" s="46" t="e">
        <f>IF(B43="","",COUNTA($B$6:B43))-1</f>
        <v>#VALUE!</v>
      </c>
      <c r="B43" s="14"/>
      <c r="D43" s="4"/>
      <c r="E43" s="4"/>
      <c r="F43" s="4"/>
      <c r="G43" s="39"/>
      <c r="H43" s="4"/>
      <c r="I43" s="4"/>
      <c r="AR43" s="1"/>
      <c r="AS43" s="1"/>
      <c r="AT43" s="1"/>
      <c r="AU43" s="1"/>
      <c r="AV43" s="1"/>
      <c r="AW43" s="1"/>
      <c r="AX43" s="1"/>
      <c r="AY43" s="1"/>
      <c r="AZ43" s="1"/>
      <c r="BA43" s="1"/>
      <c r="BF43" s="1"/>
      <c r="BG43" s="1"/>
      <c r="BH43" s="1"/>
      <c r="BI43" s="1"/>
      <c r="BJ43" s="1"/>
      <c r="BK43" s="1"/>
      <c r="BL43" s="1"/>
      <c r="BM43" s="33"/>
      <c r="BN43" s="1"/>
      <c r="BO43" s="1"/>
      <c r="BP43" s="1"/>
      <c r="BQ43" s="1"/>
      <c r="BR43" s="1"/>
    </row>
    <row r="44" spans="1:70" s="2" customFormat="1" ht="23.25" customHeight="1" x14ac:dyDescent="0.3">
      <c r="A44" s="46" t="e">
        <f>IF(B44="","",COUNTA($B$6:B44))-1</f>
        <v>#VALUE!</v>
      </c>
      <c r="B44" s="14"/>
      <c r="D44" s="4"/>
      <c r="E44" s="4"/>
      <c r="F44" s="4"/>
      <c r="G44" s="39"/>
      <c r="H44" s="4"/>
      <c r="I44" s="4"/>
      <c r="AR44" s="1"/>
      <c r="AS44" s="1"/>
      <c r="AT44" s="1"/>
      <c r="AU44" s="1"/>
      <c r="AV44" s="1"/>
      <c r="AW44" s="1"/>
      <c r="AX44" s="1"/>
      <c r="AY44" s="1"/>
      <c r="AZ44" s="1"/>
      <c r="BA44" s="1"/>
      <c r="BF44" s="1"/>
      <c r="BG44" s="1"/>
      <c r="BH44" s="1"/>
      <c r="BI44" s="1"/>
      <c r="BJ44" s="1"/>
      <c r="BK44" s="1"/>
      <c r="BL44" s="1"/>
      <c r="BM44" s="33"/>
      <c r="BN44" s="1"/>
      <c r="BO44" s="1"/>
      <c r="BP44" s="1"/>
      <c r="BQ44" s="1"/>
      <c r="BR44" s="1"/>
    </row>
    <row r="45" spans="1:70" s="2" customFormat="1" ht="27.15" customHeight="1" x14ac:dyDescent="0.3">
      <c r="A45" s="46" t="e">
        <f>IF(B45="","",COUNTA($B$6:B45))-1</f>
        <v>#VALUE!</v>
      </c>
      <c r="B45" s="14"/>
      <c r="D45" s="4"/>
      <c r="E45" s="4"/>
      <c r="F45" s="4"/>
      <c r="G45" s="39"/>
      <c r="H45" s="4"/>
      <c r="I45" s="4"/>
      <c r="AR45" s="1"/>
      <c r="AS45" s="1"/>
      <c r="AT45" s="1"/>
      <c r="AU45" s="1"/>
      <c r="AV45" s="1"/>
      <c r="AW45" s="1"/>
      <c r="AX45" s="1"/>
      <c r="AY45" s="1"/>
      <c r="AZ45" s="1"/>
      <c r="BA45" s="1"/>
      <c r="BF45" s="1"/>
      <c r="BG45" s="1"/>
      <c r="BH45" s="1"/>
      <c r="BI45" s="1"/>
      <c r="BJ45" s="1"/>
      <c r="BK45" s="1"/>
      <c r="BL45" s="1"/>
      <c r="BM45" s="33"/>
      <c r="BN45" s="1"/>
      <c r="BO45" s="1"/>
      <c r="BP45" s="1"/>
      <c r="BQ45" s="1"/>
      <c r="BR45" s="1"/>
    </row>
    <row r="46" spans="1:70" s="2" customFormat="1" ht="27.15" customHeight="1" x14ac:dyDescent="0.3">
      <c r="A46" s="46" t="e">
        <f>IF(B46="","",COUNTA($B$6:B46))-1</f>
        <v>#VALUE!</v>
      </c>
      <c r="B46" s="14"/>
      <c r="D46" s="4"/>
      <c r="E46" s="4"/>
      <c r="F46" s="4"/>
      <c r="G46" s="39"/>
      <c r="H46" s="4"/>
      <c r="I46" s="4"/>
      <c r="AR46" s="1"/>
      <c r="AS46" s="1"/>
      <c r="AT46" s="1"/>
      <c r="AU46" s="1"/>
      <c r="AV46" s="1"/>
      <c r="AW46" s="1"/>
      <c r="AX46" s="1"/>
      <c r="AY46" s="1"/>
      <c r="AZ46" s="1"/>
      <c r="BA46" s="1"/>
      <c r="BF46" s="1"/>
      <c r="BG46" s="1"/>
      <c r="BH46" s="1"/>
      <c r="BI46" s="1"/>
      <c r="BJ46" s="1"/>
      <c r="BK46" s="1"/>
      <c r="BL46" s="1"/>
      <c r="BM46" s="33"/>
      <c r="BN46" s="1"/>
      <c r="BO46" s="1"/>
      <c r="BP46" s="1"/>
      <c r="BQ46" s="1"/>
      <c r="BR46" s="1"/>
    </row>
    <row r="47" spans="1:70" s="2" customFormat="1" ht="27.15" customHeight="1" x14ac:dyDescent="0.3">
      <c r="A47" s="46" t="e">
        <f>IF(B47="","",COUNTA($B$6:B47))-1</f>
        <v>#VALUE!</v>
      </c>
      <c r="B47" s="14"/>
      <c r="D47" s="4"/>
      <c r="E47" s="4"/>
      <c r="F47" s="4"/>
      <c r="G47" s="39"/>
      <c r="H47" s="4"/>
      <c r="I47" s="4"/>
      <c r="AR47" s="1"/>
      <c r="AS47" s="1"/>
      <c r="AT47" s="1"/>
      <c r="AU47" s="1"/>
      <c r="AV47" s="1"/>
      <c r="AW47" s="1"/>
      <c r="AX47" s="1"/>
      <c r="AY47" s="1"/>
      <c r="AZ47" s="1"/>
      <c r="BA47" s="1"/>
      <c r="BF47" s="1"/>
      <c r="BG47" s="1"/>
      <c r="BH47" s="1"/>
      <c r="BI47" s="1"/>
      <c r="BJ47" s="1"/>
      <c r="BK47" s="1"/>
      <c r="BL47" s="1"/>
      <c r="BM47" s="33"/>
      <c r="BN47" s="1"/>
      <c r="BO47" s="1"/>
      <c r="BP47" s="1"/>
      <c r="BQ47" s="1"/>
      <c r="BR47" s="1"/>
    </row>
    <row r="48" spans="1:70" s="2" customFormat="1" ht="27.15" customHeight="1" x14ac:dyDescent="0.3">
      <c r="A48" s="46" t="e">
        <f>IF(B48="","",COUNTA($B$6:B48))-1</f>
        <v>#VALUE!</v>
      </c>
      <c r="B48" s="14"/>
      <c r="D48" s="4"/>
      <c r="E48" s="4"/>
      <c r="F48" s="4"/>
      <c r="G48" s="39"/>
      <c r="H48" s="4"/>
      <c r="I48" s="4"/>
      <c r="AR48" s="1"/>
      <c r="AS48" s="1"/>
      <c r="AT48" s="1"/>
      <c r="AU48" s="1"/>
      <c r="AV48" s="1"/>
      <c r="AW48" s="1"/>
      <c r="AX48" s="1"/>
      <c r="AY48" s="1"/>
      <c r="AZ48" s="1"/>
      <c r="BA48" s="1"/>
      <c r="BF48" s="1"/>
      <c r="BG48" s="1"/>
      <c r="BH48" s="1"/>
      <c r="BI48" s="1"/>
      <c r="BJ48" s="1"/>
      <c r="BK48" s="1"/>
      <c r="BL48" s="1"/>
      <c r="BM48" s="33"/>
      <c r="BN48" s="1"/>
      <c r="BO48" s="1"/>
      <c r="BP48" s="1"/>
      <c r="BQ48" s="1"/>
      <c r="BR48" s="1"/>
    </row>
    <row r="49" spans="1:70" s="2" customFormat="1" ht="27.15" customHeight="1" x14ac:dyDescent="0.3">
      <c r="A49" s="46" t="e">
        <f>IF(B49="","",COUNTA($B$6:B49))-1</f>
        <v>#VALUE!</v>
      </c>
      <c r="B49" s="14"/>
      <c r="D49" s="4"/>
      <c r="E49" s="4"/>
      <c r="F49" s="4"/>
      <c r="G49" s="39"/>
      <c r="H49" s="4"/>
      <c r="I49" s="4"/>
      <c r="AR49" s="1"/>
      <c r="AS49" s="1"/>
      <c r="AT49" s="1"/>
      <c r="AU49" s="1"/>
      <c r="AV49" s="1"/>
      <c r="AW49" s="1"/>
      <c r="AX49" s="1"/>
      <c r="AY49" s="1"/>
      <c r="AZ49" s="1"/>
      <c r="BA49" s="1"/>
      <c r="BF49" s="1"/>
      <c r="BG49" s="1"/>
      <c r="BH49" s="1"/>
      <c r="BI49" s="1"/>
      <c r="BJ49" s="1"/>
      <c r="BK49" s="1"/>
      <c r="BL49" s="1"/>
      <c r="BM49" s="33"/>
      <c r="BN49" s="1"/>
      <c r="BO49" s="1"/>
      <c r="BP49" s="1"/>
      <c r="BQ49" s="1"/>
      <c r="BR49" s="1"/>
    </row>
    <row r="50" spans="1:70" s="2" customFormat="1" ht="31.5" customHeight="1" x14ac:dyDescent="0.3">
      <c r="A50" s="46" t="e">
        <f>IF(B50="","",COUNTA($B$6:B50))-1</f>
        <v>#VALUE!</v>
      </c>
      <c r="B50" s="14"/>
      <c r="D50" s="4"/>
      <c r="E50" s="4"/>
      <c r="F50" s="4"/>
      <c r="G50" s="39"/>
      <c r="H50" s="4"/>
      <c r="I50" s="4"/>
      <c r="AR50" s="1"/>
      <c r="AS50" s="1"/>
      <c r="AT50" s="1"/>
      <c r="AU50" s="1"/>
      <c r="AV50" s="1"/>
      <c r="AW50" s="1"/>
      <c r="AX50" s="1"/>
      <c r="AY50" s="1"/>
      <c r="AZ50" s="1"/>
      <c r="BA50" s="1"/>
      <c r="BF50" s="1"/>
      <c r="BG50" s="1"/>
      <c r="BH50" s="1"/>
      <c r="BI50" s="1"/>
      <c r="BJ50" s="1"/>
      <c r="BK50" s="1"/>
      <c r="BL50" s="1"/>
      <c r="BM50" s="33"/>
      <c r="BN50" s="1"/>
      <c r="BO50" s="1"/>
      <c r="BP50" s="1"/>
      <c r="BQ50" s="1"/>
      <c r="BR50" s="1"/>
    </row>
    <row r="51" spans="1:70" s="2" customFormat="1" ht="31.5" customHeight="1" x14ac:dyDescent="0.3">
      <c r="A51" s="46" t="e">
        <f>IF(B51="","",COUNTA($B$6:B51))-1</f>
        <v>#VALUE!</v>
      </c>
      <c r="B51" s="14"/>
      <c r="C51" s="16"/>
      <c r="D51" s="55"/>
      <c r="E51" s="55"/>
      <c r="F51" s="4"/>
      <c r="G51" s="39"/>
      <c r="H51" s="4"/>
      <c r="I51" s="4"/>
      <c r="AR51" s="1"/>
      <c r="AS51" s="1"/>
      <c r="AT51" s="1"/>
      <c r="AU51" s="1"/>
      <c r="AV51" s="1"/>
      <c r="AW51" s="1"/>
      <c r="AX51" s="1"/>
      <c r="AY51" s="1"/>
      <c r="AZ51" s="1"/>
      <c r="BA51" s="1"/>
      <c r="BF51" s="1"/>
      <c r="BG51" s="1"/>
      <c r="BH51" s="1"/>
      <c r="BI51" s="1"/>
      <c r="BJ51" s="1"/>
      <c r="BK51" s="1"/>
      <c r="BL51" s="1"/>
      <c r="BM51" s="33"/>
      <c r="BN51" s="1"/>
      <c r="BO51" s="1"/>
      <c r="BP51" s="1"/>
      <c r="BQ51" s="1"/>
      <c r="BR51" s="1"/>
    </row>
    <row r="52" spans="1:70" s="2" customFormat="1" ht="31.5" customHeight="1" x14ac:dyDescent="0.3">
      <c r="A52" s="46" t="e">
        <f>IF(B52="","",COUNTA($B$6:B52))-1</f>
        <v>#VALUE!</v>
      </c>
      <c r="B52" s="14"/>
      <c r="D52" s="4"/>
      <c r="E52" s="4"/>
      <c r="F52" s="4"/>
      <c r="G52" s="39"/>
      <c r="H52" s="4"/>
      <c r="I52" s="4"/>
      <c r="AR52" s="1"/>
      <c r="AS52" s="1"/>
      <c r="AT52" s="1"/>
      <c r="AU52" s="1"/>
      <c r="AV52" s="1"/>
      <c r="AW52" s="1"/>
      <c r="AX52" s="1"/>
      <c r="AY52" s="1"/>
      <c r="AZ52" s="1"/>
      <c r="BA52" s="1"/>
      <c r="BF52" s="1"/>
      <c r="BG52" s="1"/>
      <c r="BH52" s="1"/>
      <c r="BI52" s="1"/>
      <c r="BJ52" s="1"/>
      <c r="BK52" s="1"/>
      <c r="BL52" s="1"/>
      <c r="BM52" s="33"/>
      <c r="BN52" s="1"/>
      <c r="BO52" s="1"/>
      <c r="BP52" s="1"/>
      <c r="BQ52" s="1"/>
      <c r="BR52" s="1"/>
    </row>
    <row r="53" spans="1:70" s="2" customFormat="1" ht="31.5" customHeight="1" x14ac:dyDescent="0.3">
      <c r="A53" s="46" t="e">
        <f>IF(B53="","",COUNTA($B$6:B53))-1</f>
        <v>#VALUE!</v>
      </c>
      <c r="B53" s="14"/>
      <c r="D53" s="4"/>
      <c r="E53" s="4"/>
      <c r="F53" s="4"/>
      <c r="G53" s="39"/>
      <c r="H53" s="4"/>
      <c r="I53" s="4"/>
      <c r="AR53" s="1"/>
      <c r="AS53" s="1"/>
      <c r="AT53" s="1"/>
      <c r="AU53" s="1"/>
      <c r="AV53" s="1"/>
      <c r="AW53" s="1"/>
      <c r="AX53" s="1"/>
      <c r="AY53" s="1"/>
      <c r="AZ53" s="1"/>
      <c r="BA53" s="1"/>
      <c r="BF53" s="1"/>
      <c r="BG53" s="1"/>
      <c r="BH53" s="1"/>
      <c r="BI53" s="1"/>
      <c r="BJ53" s="1"/>
      <c r="BK53" s="1"/>
      <c r="BL53" s="1"/>
      <c r="BM53" s="33"/>
      <c r="BN53" s="1"/>
      <c r="BO53" s="1"/>
      <c r="BP53" s="1"/>
      <c r="BQ53" s="1"/>
      <c r="BR53" s="1"/>
    </row>
    <row r="54" spans="1:70" s="2" customFormat="1" ht="31.5" customHeight="1" x14ac:dyDescent="0.3">
      <c r="A54" s="46" t="e">
        <f>IF(B54="","",COUNTA($B$6:B54))-1</f>
        <v>#VALUE!</v>
      </c>
      <c r="B54" s="14"/>
      <c r="D54" s="4"/>
      <c r="E54" s="4"/>
      <c r="F54" s="4"/>
      <c r="G54" s="39"/>
      <c r="H54" s="4"/>
      <c r="I54" s="4"/>
      <c r="AR54" s="1"/>
      <c r="AS54" s="1"/>
      <c r="AT54" s="1"/>
      <c r="AU54" s="1"/>
      <c r="AV54" s="1"/>
      <c r="AW54" s="1"/>
      <c r="AX54" s="1"/>
      <c r="AY54" s="1"/>
      <c r="AZ54" s="1"/>
      <c r="BA54" s="1"/>
      <c r="BF54" s="1"/>
      <c r="BG54" s="1"/>
      <c r="BH54" s="1"/>
      <c r="BI54" s="1"/>
      <c r="BJ54" s="1"/>
      <c r="BK54" s="1"/>
      <c r="BL54" s="1"/>
      <c r="BM54" s="33"/>
      <c r="BN54" s="1"/>
      <c r="BO54" s="1"/>
      <c r="BP54" s="1"/>
      <c r="BQ54" s="1"/>
      <c r="BR54" s="1"/>
    </row>
    <row r="55" spans="1:70" s="2" customFormat="1" ht="31.5" customHeight="1" x14ac:dyDescent="0.3">
      <c r="A55" s="46" t="e">
        <f>IF(B55="","",COUNTA($B$6:B55))-1</f>
        <v>#VALUE!</v>
      </c>
      <c r="B55" s="14"/>
      <c r="D55" s="4"/>
      <c r="E55" s="4"/>
      <c r="F55" s="4"/>
      <c r="G55" s="39"/>
      <c r="H55" s="4"/>
      <c r="I55" s="4"/>
      <c r="AR55" s="1"/>
      <c r="AS55" s="1"/>
      <c r="AT55" s="1"/>
      <c r="AU55" s="1"/>
      <c r="AV55" s="1"/>
      <c r="AW55" s="1"/>
      <c r="AX55" s="1"/>
      <c r="AY55" s="1"/>
      <c r="AZ55" s="1"/>
      <c r="BA55" s="1"/>
      <c r="BF55" s="1"/>
      <c r="BG55" s="1"/>
      <c r="BH55" s="1"/>
      <c r="BI55" s="1"/>
      <c r="BJ55" s="1"/>
      <c r="BK55" s="1"/>
      <c r="BL55" s="1"/>
      <c r="BM55" s="33"/>
      <c r="BN55" s="1"/>
      <c r="BO55" s="1"/>
      <c r="BP55" s="1"/>
      <c r="BQ55" s="1"/>
      <c r="BR55" s="1"/>
    </row>
    <row r="56" spans="1:70" s="2" customFormat="1" ht="31.5" customHeight="1" x14ac:dyDescent="0.3">
      <c r="A56" s="46" t="e">
        <f>IF(B56="","",COUNTA($B$6:B56))-1</f>
        <v>#VALUE!</v>
      </c>
      <c r="B56" s="14"/>
      <c r="D56" s="4"/>
      <c r="E56" s="4"/>
      <c r="F56" s="4"/>
      <c r="G56" s="39"/>
      <c r="H56" s="4"/>
      <c r="I56" s="4"/>
      <c r="AR56" s="1"/>
      <c r="AS56" s="1"/>
      <c r="AT56" s="1"/>
      <c r="AU56" s="1"/>
      <c r="AV56" s="1"/>
      <c r="AW56" s="1"/>
      <c r="AX56" s="1"/>
      <c r="AY56" s="1"/>
      <c r="AZ56" s="1"/>
      <c r="BA56" s="1"/>
      <c r="BF56" s="1"/>
      <c r="BG56" s="1"/>
      <c r="BH56" s="1"/>
      <c r="BI56" s="1"/>
      <c r="BJ56" s="1"/>
      <c r="BK56" s="1"/>
      <c r="BL56" s="1"/>
      <c r="BM56" s="33"/>
      <c r="BN56" s="1"/>
      <c r="BO56" s="1"/>
      <c r="BP56" s="1"/>
      <c r="BQ56" s="1"/>
      <c r="BR56" s="1"/>
    </row>
    <row r="57" spans="1:70" s="2" customFormat="1" ht="31.5" customHeight="1" x14ac:dyDescent="0.3">
      <c r="A57" s="46" t="e">
        <f>IF(B57="","",COUNTA($B$6:B57))-1</f>
        <v>#VALUE!</v>
      </c>
      <c r="B57" s="14"/>
      <c r="D57" s="4"/>
      <c r="E57" s="4"/>
      <c r="F57" s="4"/>
      <c r="G57" s="39"/>
      <c r="H57" s="4"/>
      <c r="I57" s="4"/>
      <c r="AR57" s="1"/>
      <c r="AS57" s="1"/>
      <c r="AT57" s="1"/>
      <c r="AU57" s="1"/>
      <c r="AV57" s="1"/>
      <c r="AW57" s="1"/>
      <c r="AX57" s="1"/>
      <c r="AY57" s="1"/>
      <c r="AZ57" s="1"/>
      <c r="BA57" s="1"/>
      <c r="BF57" s="1"/>
      <c r="BG57" s="1"/>
      <c r="BH57" s="1"/>
      <c r="BI57" s="1"/>
      <c r="BJ57" s="1"/>
      <c r="BK57" s="1"/>
      <c r="BL57" s="1"/>
      <c r="BM57" s="33"/>
      <c r="BN57" s="1"/>
      <c r="BO57" s="1"/>
      <c r="BP57" s="1"/>
      <c r="BQ57" s="1"/>
      <c r="BR57" s="1"/>
    </row>
    <row r="58" spans="1:70" s="2" customFormat="1" ht="31.5" customHeight="1" x14ac:dyDescent="0.3">
      <c r="A58" s="46" t="e">
        <f>IF(B58="","",COUNTA($B$6:B58))-1</f>
        <v>#VALUE!</v>
      </c>
      <c r="B58" s="14"/>
      <c r="D58" s="4"/>
      <c r="E58" s="4"/>
      <c r="F58" s="4"/>
      <c r="G58" s="39"/>
      <c r="H58" s="4"/>
      <c r="I58" s="4"/>
      <c r="AR58" s="1"/>
      <c r="AS58" s="1"/>
      <c r="AT58" s="1"/>
      <c r="AU58" s="1"/>
      <c r="AV58" s="1"/>
      <c r="AW58" s="1"/>
      <c r="AX58" s="1"/>
      <c r="AY58" s="1"/>
      <c r="AZ58" s="1"/>
      <c r="BA58" s="1"/>
      <c r="BF58" s="1"/>
      <c r="BG58" s="1"/>
      <c r="BH58" s="1"/>
      <c r="BI58" s="1"/>
      <c r="BJ58" s="1"/>
      <c r="BK58" s="1"/>
      <c r="BL58" s="1"/>
      <c r="BM58" s="33"/>
      <c r="BN58" s="1"/>
      <c r="BO58" s="1"/>
      <c r="BP58" s="1"/>
      <c r="BQ58" s="1"/>
      <c r="BR58" s="1"/>
    </row>
    <row r="59" spans="1:70" s="2" customFormat="1" ht="31.5" customHeight="1" x14ac:dyDescent="0.3">
      <c r="A59" s="46" t="e">
        <f>IF(B59="","",COUNTA($B$6:B59))-1</f>
        <v>#VALUE!</v>
      </c>
      <c r="B59" s="14"/>
      <c r="D59" s="4"/>
      <c r="E59" s="4"/>
      <c r="F59" s="4"/>
      <c r="G59" s="39"/>
      <c r="H59" s="4"/>
      <c r="I59" s="4"/>
      <c r="AR59" s="1"/>
      <c r="AS59" s="1"/>
      <c r="AT59" s="1"/>
      <c r="AU59" s="1"/>
      <c r="AV59" s="1"/>
      <c r="AW59" s="1"/>
      <c r="AX59" s="1"/>
      <c r="AY59" s="1"/>
      <c r="AZ59" s="1"/>
      <c r="BA59" s="1"/>
      <c r="BF59" s="1"/>
      <c r="BG59" s="1"/>
      <c r="BH59" s="1"/>
      <c r="BI59" s="1"/>
      <c r="BJ59" s="1"/>
      <c r="BK59" s="1"/>
      <c r="BL59" s="1"/>
      <c r="BM59" s="33"/>
      <c r="BN59" s="1"/>
      <c r="BO59" s="1"/>
      <c r="BP59" s="1"/>
      <c r="BQ59" s="1"/>
      <c r="BR59" s="1"/>
    </row>
    <row r="60" spans="1:70" s="2" customFormat="1" x14ac:dyDescent="0.3">
      <c r="A60" s="46" t="e">
        <f>IF(B60="","",COUNTA($B$6:B60))-1</f>
        <v>#VALUE!</v>
      </c>
      <c r="B60" s="14"/>
      <c r="D60" s="4"/>
      <c r="E60" s="4"/>
      <c r="F60" s="4"/>
      <c r="G60" s="39"/>
      <c r="H60" s="4"/>
      <c r="I60" s="4"/>
      <c r="AR60" s="1"/>
      <c r="AS60" s="1"/>
      <c r="AT60" s="1"/>
      <c r="AU60" s="1"/>
      <c r="AV60" s="1"/>
      <c r="AW60" s="1"/>
      <c r="AX60" s="1"/>
      <c r="AY60" s="1"/>
      <c r="AZ60" s="1"/>
      <c r="BA60" s="1"/>
      <c r="BF60" s="1"/>
      <c r="BG60" s="1"/>
      <c r="BH60" s="1"/>
      <c r="BI60" s="1"/>
      <c r="BJ60" s="1"/>
      <c r="BK60" s="1"/>
      <c r="BL60" s="1"/>
      <c r="BM60" s="33"/>
      <c r="BN60" s="1"/>
      <c r="BO60" s="1"/>
      <c r="BP60" s="1"/>
      <c r="BQ60" s="1"/>
      <c r="BR60" s="1"/>
    </row>
    <row r="61" spans="1:70" s="2" customFormat="1" x14ac:dyDescent="0.3">
      <c r="A61" s="46" t="e">
        <f>IF(B61="","",COUNTA($B$6:B61))-1</f>
        <v>#VALUE!</v>
      </c>
      <c r="B61" s="14"/>
      <c r="D61" s="4"/>
      <c r="E61" s="4"/>
      <c r="F61" s="4"/>
      <c r="G61" s="39"/>
      <c r="H61" s="4"/>
      <c r="I61" s="4"/>
      <c r="AR61" s="1"/>
      <c r="AS61" s="1"/>
      <c r="AT61" s="1"/>
      <c r="AU61" s="1"/>
      <c r="AV61" s="1"/>
      <c r="AW61" s="1"/>
      <c r="AX61" s="1"/>
      <c r="AY61" s="1"/>
      <c r="AZ61" s="1"/>
      <c r="BA61" s="1"/>
      <c r="BF61" s="1"/>
      <c r="BG61" s="1"/>
      <c r="BH61" s="1"/>
      <c r="BI61" s="1"/>
      <c r="BJ61" s="1"/>
      <c r="BK61" s="1"/>
      <c r="BL61" s="1"/>
      <c r="BM61" s="33"/>
      <c r="BN61" s="1"/>
      <c r="BO61" s="1"/>
      <c r="BP61" s="1"/>
      <c r="BQ61" s="1"/>
      <c r="BR61" s="1"/>
    </row>
    <row r="62" spans="1:70" s="2" customFormat="1" x14ac:dyDescent="0.3">
      <c r="A62" s="46" t="e">
        <f>IF(B62="","",COUNTA($B$6:B62))-1</f>
        <v>#VALUE!</v>
      </c>
      <c r="B62" s="14"/>
      <c r="D62" s="4"/>
      <c r="E62" s="4"/>
      <c r="F62" s="4"/>
      <c r="G62" s="39"/>
      <c r="H62" s="4"/>
      <c r="I62" s="4"/>
      <c r="AR62" s="1"/>
      <c r="AS62" s="1"/>
      <c r="AT62" s="1"/>
      <c r="AU62" s="1"/>
      <c r="AV62" s="1"/>
      <c r="AW62" s="1"/>
      <c r="AX62" s="1"/>
      <c r="AY62" s="1"/>
      <c r="AZ62" s="1"/>
      <c r="BA62" s="1"/>
      <c r="BF62" s="1"/>
      <c r="BG62" s="1"/>
      <c r="BH62" s="1"/>
      <c r="BI62" s="1"/>
      <c r="BJ62" s="1"/>
      <c r="BK62" s="1"/>
      <c r="BL62" s="1"/>
      <c r="BM62" s="33"/>
      <c r="BN62" s="1"/>
      <c r="BO62" s="1"/>
      <c r="BP62" s="1"/>
      <c r="BQ62" s="1"/>
      <c r="BR62" s="1"/>
    </row>
    <row r="63" spans="1:70" s="2" customFormat="1" x14ac:dyDescent="0.3">
      <c r="A63" s="46" t="e">
        <f>IF(B63="","",COUNTA($B$6:B63))-1</f>
        <v>#VALUE!</v>
      </c>
      <c r="B63" s="14"/>
      <c r="D63" s="4"/>
      <c r="E63" s="4"/>
      <c r="F63" s="4"/>
      <c r="G63" s="39"/>
      <c r="H63" s="4"/>
      <c r="I63" s="4"/>
      <c r="AR63" s="1"/>
      <c r="AS63" s="1"/>
      <c r="AT63" s="1"/>
      <c r="AU63" s="1"/>
      <c r="AV63" s="1"/>
      <c r="AW63" s="1"/>
      <c r="AX63" s="1"/>
      <c r="AY63" s="1"/>
      <c r="AZ63" s="1"/>
      <c r="BA63" s="1"/>
      <c r="BF63" s="1"/>
      <c r="BG63" s="1"/>
      <c r="BH63" s="1"/>
      <c r="BI63" s="1"/>
      <c r="BJ63" s="1"/>
      <c r="BK63" s="1"/>
      <c r="BL63" s="1"/>
      <c r="BM63" s="33"/>
      <c r="BN63" s="1"/>
      <c r="BO63" s="1"/>
      <c r="BP63" s="1"/>
      <c r="BQ63" s="1"/>
      <c r="BR63" s="1"/>
    </row>
    <row r="64" spans="1:70" s="2" customFormat="1" x14ac:dyDescent="0.3">
      <c r="A64" s="46" t="e">
        <f>IF(B64="","",COUNTA($B$6:B64))-1</f>
        <v>#VALUE!</v>
      </c>
      <c r="B64" s="14"/>
      <c r="D64" s="4"/>
      <c r="E64" s="4"/>
      <c r="F64" s="4"/>
      <c r="G64" s="39"/>
      <c r="H64" s="4"/>
      <c r="I64" s="4"/>
      <c r="AR64" s="1"/>
      <c r="AS64" s="1"/>
      <c r="AT64" s="1"/>
      <c r="AU64" s="1"/>
      <c r="AV64" s="1"/>
      <c r="AW64" s="1"/>
      <c r="AX64" s="1"/>
      <c r="AY64" s="1"/>
      <c r="AZ64" s="1"/>
      <c r="BA64" s="1"/>
      <c r="BF64" s="1"/>
      <c r="BG64" s="1"/>
      <c r="BH64" s="1"/>
      <c r="BI64" s="1"/>
      <c r="BJ64" s="1"/>
      <c r="BK64" s="1"/>
      <c r="BL64" s="1"/>
      <c r="BM64" s="33"/>
      <c r="BN64" s="1"/>
      <c r="BO64" s="1"/>
      <c r="BP64" s="1"/>
      <c r="BQ64" s="1"/>
      <c r="BR64" s="1"/>
    </row>
    <row r="65" spans="1:70" s="2" customFormat="1" x14ac:dyDescent="0.3">
      <c r="A65" s="46" t="e">
        <f>IF(B65="","",COUNTA($B$6:B65))-1</f>
        <v>#VALUE!</v>
      </c>
      <c r="B65" s="14"/>
      <c r="D65" s="4"/>
      <c r="E65" s="4"/>
      <c r="F65" s="4"/>
      <c r="G65" s="39"/>
      <c r="H65" s="4"/>
      <c r="I65" s="4"/>
      <c r="AR65" s="1"/>
      <c r="AS65" s="1"/>
      <c r="AT65" s="1"/>
      <c r="AU65" s="1"/>
      <c r="AV65" s="1"/>
      <c r="AW65" s="1"/>
      <c r="AX65" s="1"/>
      <c r="AY65" s="1"/>
      <c r="AZ65" s="1"/>
      <c r="BA65" s="1"/>
      <c r="BF65" s="1"/>
      <c r="BG65" s="1"/>
      <c r="BH65" s="1"/>
      <c r="BI65" s="1"/>
      <c r="BJ65" s="1"/>
      <c r="BK65" s="1"/>
      <c r="BL65" s="1"/>
      <c r="BM65" s="33"/>
      <c r="BN65" s="1"/>
      <c r="BO65" s="1"/>
      <c r="BP65" s="1"/>
      <c r="BQ65" s="1"/>
      <c r="BR65" s="1"/>
    </row>
    <row r="66" spans="1:70" s="2" customFormat="1" x14ac:dyDescent="0.3">
      <c r="A66" s="46" t="e">
        <f>IF(B66="","",COUNTA($B$6:B66))-1</f>
        <v>#VALUE!</v>
      </c>
      <c r="B66" s="14"/>
      <c r="D66" s="4"/>
      <c r="E66" s="4"/>
      <c r="F66" s="4"/>
      <c r="G66" s="39"/>
      <c r="H66" s="4"/>
      <c r="I66" s="4" t="str">
        <f t="shared" ref="I66:I97" si="29">IF(F66="","",F66+G66)</f>
        <v/>
      </c>
      <c r="AR66" s="1"/>
      <c r="AS66" s="1"/>
      <c r="AT66" s="1"/>
      <c r="AU66" s="1"/>
      <c r="AV66" s="1"/>
      <c r="AW66" s="1"/>
      <c r="AX66" s="1"/>
      <c r="AY66" s="1"/>
      <c r="AZ66" s="1"/>
      <c r="BA66" s="1"/>
      <c r="BF66" s="1"/>
      <c r="BG66" s="1"/>
      <c r="BH66" s="1"/>
      <c r="BI66" s="1"/>
      <c r="BJ66" s="1"/>
      <c r="BK66" s="1"/>
      <c r="BL66" s="1"/>
      <c r="BM66" s="33"/>
      <c r="BN66" s="1"/>
      <c r="BO66" s="1"/>
      <c r="BP66" s="1"/>
      <c r="BQ66" s="1"/>
      <c r="BR66" s="1"/>
    </row>
    <row r="67" spans="1:70" s="2" customFormat="1" x14ac:dyDescent="0.3">
      <c r="A67" s="46" t="e">
        <f>IF(B67="","",COUNTA($B$6:B67))-1</f>
        <v>#VALUE!</v>
      </c>
      <c r="B67" s="14"/>
      <c r="D67" s="4"/>
      <c r="E67" s="4"/>
      <c r="F67" s="4"/>
      <c r="G67" s="39"/>
      <c r="H67" s="4"/>
      <c r="I67" s="4" t="str">
        <f t="shared" si="29"/>
        <v/>
      </c>
      <c r="AR67" s="1"/>
      <c r="AS67" s="1"/>
      <c r="AT67" s="1"/>
      <c r="AU67" s="1"/>
      <c r="AV67" s="1"/>
      <c r="AW67" s="1"/>
      <c r="AX67" s="1"/>
      <c r="AY67" s="1"/>
      <c r="AZ67" s="1"/>
      <c r="BA67" s="1"/>
      <c r="BF67" s="1"/>
      <c r="BG67" s="1"/>
      <c r="BH67" s="1"/>
      <c r="BI67" s="1"/>
      <c r="BJ67" s="1"/>
      <c r="BK67" s="1"/>
      <c r="BL67" s="1"/>
      <c r="BM67" s="33"/>
      <c r="BN67" s="1"/>
      <c r="BO67" s="1"/>
      <c r="BP67" s="1"/>
      <c r="BQ67" s="1"/>
      <c r="BR67" s="1"/>
    </row>
    <row r="68" spans="1:70" s="2" customFormat="1" x14ac:dyDescent="0.3">
      <c r="A68" s="46" t="e">
        <f>IF(B68="","",COUNTA($B$6:B68))-1</f>
        <v>#VALUE!</v>
      </c>
      <c r="B68" s="14"/>
      <c r="D68" s="4"/>
      <c r="E68" s="4"/>
      <c r="F68" s="4"/>
      <c r="G68" s="39"/>
      <c r="H68" s="4"/>
      <c r="I68" s="4" t="str">
        <f t="shared" si="29"/>
        <v/>
      </c>
      <c r="AR68" s="1"/>
      <c r="AS68" s="1"/>
      <c r="AT68" s="1"/>
      <c r="AU68" s="1"/>
      <c r="AV68" s="1"/>
      <c r="AW68" s="1"/>
      <c r="AX68" s="1"/>
      <c r="AY68" s="1"/>
      <c r="AZ68" s="1"/>
      <c r="BA68" s="1"/>
      <c r="BF68" s="1"/>
      <c r="BG68" s="1"/>
      <c r="BH68" s="1"/>
      <c r="BI68" s="1"/>
      <c r="BJ68" s="1"/>
      <c r="BK68" s="1"/>
      <c r="BL68" s="1"/>
      <c r="BM68" s="33"/>
      <c r="BN68" s="1"/>
      <c r="BO68" s="1"/>
      <c r="BP68" s="1"/>
      <c r="BQ68" s="1"/>
      <c r="BR68" s="1"/>
    </row>
    <row r="69" spans="1:70" s="2" customFormat="1" x14ac:dyDescent="0.3">
      <c r="A69" s="46" t="e">
        <f>IF(B69="","",COUNTA($B$6:B69))-1</f>
        <v>#VALUE!</v>
      </c>
      <c r="B69" s="14"/>
      <c r="D69" s="4"/>
      <c r="E69" s="4"/>
      <c r="F69" s="4"/>
      <c r="G69" s="39"/>
      <c r="H69" s="4"/>
      <c r="I69" s="4" t="str">
        <f t="shared" si="29"/>
        <v/>
      </c>
      <c r="AR69" s="1"/>
      <c r="AS69" s="1"/>
      <c r="AT69" s="1"/>
      <c r="AU69" s="1"/>
      <c r="AV69" s="1"/>
      <c r="AW69" s="1"/>
      <c r="AX69" s="1"/>
      <c r="AY69" s="1"/>
      <c r="AZ69" s="1"/>
      <c r="BA69" s="1"/>
      <c r="BF69" s="1"/>
      <c r="BG69" s="1"/>
      <c r="BH69" s="1"/>
      <c r="BI69" s="1"/>
      <c r="BJ69" s="1"/>
      <c r="BK69" s="1"/>
      <c r="BL69" s="1"/>
      <c r="BM69" s="33"/>
      <c r="BN69" s="1"/>
      <c r="BO69" s="1"/>
      <c r="BP69" s="1"/>
      <c r="BQ69" s="1"/>
      <c r="BR69" s="1"/>
    </row>
    <row r="70" spans="1:70" s="2" customFormat="1" x14ac:dyDescent="0.3">
      <c r="A70" s="46" t="e">
        <f>IF(B70="","",COUNTA($B$6:B70))-1</f>
        <v>#VALUE!</v>
      </c>
      <c r="B70" s="14"/>
      <c r="D70" s="4"/>
      <c r="E70" s="4"/>
      <c r="F70" s="4"/>
      <c r="G70" s="39"/>
      <c r="H70" s="4"/>
      <c r="I70" s="4" t="str">
        <f t="shared" si="29"/>
        <v/>
      </c>
      <c r="AR70" s="1"/>
      <c r="AS70" s="1"/>
      <c r="AT70" s="1"/>
      <c r="AU70" s="1"/>
      <c r="AV70" s="1"/>
      <c r="AW70" s="1"/>
      <c r="AX70" s="1"/>
      <c r="AY70" s="1"/>
      <c r="AZ70" s="1"/>
      <c r="BA70" s="1"/>
      <c r="BF70" s="1"/>
      <c r="BG70" s="1"/>
      <c r="BH70" s="1"/>
      <c r="BI70" s="1"/>
      <c r="BJ70" s="1"/>
      <c r="BK70" s="1"/>
      <c r="BL70" s="1"/>
      <c r="BM70" s="33"/>
      <c r="BN70" s="1"/>
      <c r="BO70" s="1"/>
      <c r="BP70" s="1"/>
      <c r="BQ70" s="1"/>
      <c r="BR70" s="1"/>
    </row>
    <row r="71" spans="1:70" s="2" customFormat="1" x14ac:dyDescent="0.3">
      <c r="A71" s="46" t="e">
        <f>IF(B71="","",COUNTA($B$6:B71))-1</f>
        <v>#VALUE!</v>
      </c>
      <c r="B71" s="14"/>
      <c r="D71" s="4"/>
      <c r="E71" s="4"/>
      <c r="F71" s="4"/>
      <c r="G71" s="39"/>
      <c r="H71" s="4"/>
      <c r="I71" s="4" t="str">
        <f t="shared" si="29"/>
        <v/>
      </c>
      <c r="AR71" s="1"/>
      <c r="AS71" s="1"/>
      <c r="AT71" s="1"/>
      <c r="AU71" s="1"/>
      <c r="AV71" s="1"/>
      <c r="AW71" s="1"/>
      <c r="AX71" s="1"/>
      <c r="AY71" s="1"/>
      <c r="AZ71" s="1"/>
      <c r="BA71" s="1"/>
      <c r="BF71" s="1"/>
      <c r="BG71" s="1"/>
      <c r="BH71" s="1"/>
      <c r="BI71" s="1"/>
      <c r="BJ71" s="1"/>
      <c r="BK71" s="1"/>
      <c r="BL71" s="1"/>
      <c r="BM71" s="33"/>
      <c r="BN71" s="1"/>
      <c r="BO71" s="1"/>
      <c r="BP71" s="1"/>
      <c r="BQ71" s="1"/>
      <c r="BR71" s="1"/>
    </row>
    <row r="72" spans="1:70" s="2" customFormat="1" x14ac:dyDescent="0.3">
      <c r="A72" s="46" t="e">
        <f>IF(B72="","",COUNTA($B$6:B72))-1</f>
        <v>#VALUE!</v>
      </c>
      <c r="B72" s="14"/>
      <c r="D72" s="4"/>
      <c r="E72" s="4"/>
      <c r="F72" s="4"/>
      <c r="G72" s="39"/>
      <c r="H72" s="4"/>
      <c r="I72" s="4" t="str">
        <f t="shared" si="29"/>
        <v/>
      </c>
      <c r="AR72" s="1"/>
      <c r="AS72" s="1"/>
      <c r="AT72" s="1"/>
      <c r="AU72" s="1"/>
      <c r="AV72" s="1"/>
      <c r="AW72" s="1"/>
      <c r="AX72" s="1"/>
      <c r="AY72" s="1"/>
      <c r="AZ72" s="1"/>
      <c r="BA72" s="1"/>
      <c r="BF72" s="1"/>
      <c r="BG72" s="1"/>
      <c r="BH72" s="1"/>
      <c r="BI72" s="1"/>
      <c r="BJ72" s="1"/>
      <c r="BK72" s="1"/>
      <c r="BL72" s="1"/>
      <c r="BM72" s="33"/>
      <c r="BN72" s="1"/>
      <c r="BO72" s="1"/>
      <c r="BP72" s="1"/>
      <c r="BQ72" s="1"/>
      <c r="BR72" s="1"/>
    </row>
    <row r="73" spans="1:70" s="2" customFormat="1" x14ac:dyDescent="0.3">
      <c r="A73" s="46" t="e">
        <f>IF(B73="","",COUNTA($B$6:B73))-1</f>
        <v>#VALUE!</v>
      </c>
      <c r="B73" s="14"/>
      <c r="D73" s="4"/>
      <c r="E73" s="4"/>
      <c r="F73" s="4"/>
      <c r="G73" s="39"/>
      <c r="H73" s="4"/>
      <c r="I73" s="4" t="str">
        <f t="shared" si="29"/>
        <v/>
      </c>
      <c r="AR73" s="1"/>
      <c r="AS73" s="1"/>
      <c r="AT73" s="1"/>
      <c r="AU73" s="1"/>
      <c r="AV73" s="1"/>
      <c r="AW73" s="1"/>
      <c r="AX73" s="1"/>
      <c r="AY73" s="1"/>
      <c r="AZ73" s="1"/>
      <c r="BA73" s="1"/>
      <c r="BF73" s="1"/>
      <c r="BG73" s="1"/>
      <c r="BH73" s="1"/>
      <c r="BI73" s="1"/>
      <c r="BJ73" s="1"/>
      <c r="BK73" s="1"/>
      <c r="BL73" s="1"/>
      <c r="BM73" s="33"/>
      <c r="BN73" s="1"/>
      <c r="BO73" s="1"/>
      <c r="BP73" s="1"/>
      <c r="BQ73" s="1"/>
      <c r="BR73" s="1"/>
    </row>
    <row r="74" spans="1:70" s="2" customFormat="1" x14ac:dyDescent="0.3">
      <c r="A74" s="46" t="e">
        <f>IF(B74="","",COUNTA($B$6:B74))-1</f>
        <v>#VALUE!</v>
      </c>
      <c r="B74" s="14"/>
      <c r="D74" s="4"/>
      <c r="E74" s="4"/>
      <c r="F74" s="4"/>
      <c r="G74" s="39"/>
      <c r="H74" s="4"/>
      <c r="I74" s="4" t="str">
        <f t="shared" si="29"/>
        <v/>
      </c>
      <c r="AR74" s="1"/>
      <c r="AS74" s="1"/>
      <c r="AT74" s="1"/>
      <c r="AU74" s="1"/>
      <c r="AV74" s="1"/>
      <c r="AW74" s="1"/>
      <c r="AX74" s="1"/>
      <c r="AY74" s="1"/>
      <c r="AZ74" s="1"/>
      <c r="BA74" s="1"/>
      <c r="BF74" s="1"/>
      <c r="BG74" s="1"/>
      <c r="BH74" s="1"/>
      <c r="BI74" s="1"/>
      <c r="BJ74" s="1"/>
      <c r="BK74" s="1"/>
      <c r="BL74" s="1"/>
      <c r="BM74" s="33"/>
      <c r="BN74" s="1"/>
      <c r="BO74" s="1"/>
      <c r="BP74" s="1"/>
      <c r="BQ74" s="1"/>
      <c r="BR74" s="1"/>
    </row>
    <row r="75" spans="1:70" s="2" customFormat="1" x14ac:dyDescent="0.3">
      <c r="A75" s="46" t="e">
        <f>IF(B75="","",COUNTA($B$6:B75))-1</f>
        <v>#VALUE!</v>
      </c>
      <c r="B75" s="14"/>
      <c r="D75" s="4"/>
      <c r="E75" s="4"/>
      <c r="F75" s="4"/>
      <c r="G75" s="39"/>
      <c r="H75" s="4"/>
      <c r="I75" s="4" t="str">
        <f t="shared" si="29"/>
        <v/>
      </c>
      <c r="AR75" s="1"/>
      <c r="AS75" s="1"/>
      <c r="AT75" s="1"/>
      <c r="AU75" s="1"/>
      <c r="AV75" s="1"/>
      <c r="AW75" s="1"/>
      <c r="AX75" s="1"/>
      <c r="AY75" s="1"/>
      <c r="AZ75" s="1"/>
      <c r="BA75" s="1"/>
      <c r="BF75" s="1"/>
      <c r="BG75" s="1"/>
      <c r="BH75" s="1"/>
      <c r="BI75" s="1"/>
      <c r="BJ75" s="1"/>
      <c r="BK75" s="1"/>
      <c r="BL75" s="1"/>
      <c r="BM75" s="33"/>
      <c r="BN75" s="1"/>
      <c r="BO75" s="1"/>
      <c r="BP75" s="1"/>
      <c r="BQ75" s="1"/>
      <c r="BR75" s="1"/>
    </row>
    <row r="76" spans="1:70" s="2" customFormat="1" x14ac:dyDescent="0.3">
      <c r="A76" s="46" t="e">
        <f>IF(B76="","",COUNTA($B$6:B76))-1</f>
        <v>#VALUE!</v>
      </c>
      <c r="B76" s="14"/>
      <c r="D76" s="4"/>
      <c r="E76" s="4"/>
      <c r="F76" s="4"/>
      <c r="G76" s="39"/>
      <c r="H76" s="4"/>
      <c r="I76" s="4" t="str">
        <f t="shared" si="29"/>
        <v/>
      </c>
      <c r="AR76" s="1"/>
      <c r="AS76" s="1"/>
      <c r="AT76" s="1"/>
      <c r="AU76" s="1"/>
      <c r="AV76" s="1"/>
      <c r="AW76" s="1"/>
      <c r="AX76" s="1"/>
      <c r="AY76" s="1"/>
      <c r="AZ76" s="1"/>
      <c r="BA76" s="1"/>
      <c r="BF76" s="1"/>
      <c r="BG76" s="1"/>
      <c r="BH76" s="1"/>
      <c r="BI76" s="1"/>
      <c r="BJ76" s="1"/>
      <c r="BK76" s="1"/>
      <c r="BL76" s="1"/>
      <c r="BM76" s="33"/>
      <c r="BN76" s="1"/>
      <c r="BO76" s="1"/>
      <c r="BP76" s="1"/>
      <c r="BQ76" s="1"/>
      <c r="BR76" s="1"/>
    </row>
    <row r="77" spans="1:70" s="2" customFormat="1" x14ac:dyDescent="0.3">
      <c r="A77" s="46" t="e">
        <f>IF(B77="","",COUNTA($B$6:B77))-1</f>
        <v>#VALUE!</v>
      </c>
      <c r="B77" s="14"/>
      <c r="D77" s="4"/>
      <c r="E77" s="4"/>
      <c r="F77" s="4"/>
      <c r="G77" s="39"/>
      <c r="H77" s="4"/>
      <c r="I77" s="4" t="str">
        <f t="shared" si="29"/>
        <v/>
      </c>
      <c r="AR77" s="1"/>
      <c r="AS77" s="1"/>
      <c r="AT77" s="1"/>
      <c r="AU77" s="1"/>
      <c r="AV77" s="1"/>
      <c r="AW77" s="1"/>
      <c r="AX77" s="1"/>
      <c r="AY77" s="1"/>
      <c r="AZ77" s="1"/>
      <c r="BA77" s="1"/>
      <c r="BF77" s="1"/>
      <c r="BG77" s="1"/>
      <c r="BH77" s="1"/>
      <c r="BI77" s="1"/>
      <c r="BJ77" s="1"/>
      <c r="BK77" s="1"/>
      <c r="BL77" s="1"/>
      <c r="BM77" s="33"/>
      <c r="BN77" s="1"/>
      <c r="BO77" s="1"/>
      <c r="BP77" s="1"/>
      <c r="BQ77" s="1"/>
      <c r="BR77" s="1"/>
    </row>
    <row r="78" spans="1:70" s="2" customFormat="1" x14ac:dyDescent="0.3">
      <c r="A78" s="46" t="e">
        <f>IF(B78="","",COUNTA($B$6:B78))-1</f>
        <v>#VALUE!</v>
      </c>
      <c r="B78" s="14"/>
      <c r="D78" s="4"/>
      <c r="E78" s="4"/>
      <c r="F78" s="4"/>
      <c r="G78" s="39"/>
      <c r="H78" s="4"/>
      <c r="I78" s="4" t="str">
        <f t="shared" si="29"/>
        <v/>
      </c>
      <c r="AR78" s="1"/>
      <c r="AS78" s="1"/>
      <c r="AT78" s="1"/>
      <c r="AU78" s="1"/>
      <c r="AV78" s="1"/>
      <c r="AW78" s="1"/>
      <c r="AX78" s="1"/>
      <c r="AY78" s="1"/>
      <c r="AZ78" s="1"/>
      <c r="BA78" s="1"/>
      <c r="BF78" s="1"/>
      <c r="BG78" s="1"/>
      <c r="BH78" s="1"/>
      <c r="BI78" s="1"/>
      <c r="BJ78" s="1"/>
      <c r="BK78" s="1"/>
      <c r="BL78" s="1"/>
      <c r="BM78" s="33"/>
      <c r="BN78" s="1"/>
      <c r="BO78" s="1"/>
      <c r="BP78" s="1"/>
      <c r="BQ78" s="1"/>
      <c r="BR78" s="1"/>
    </row>
    <row r="79" spans="1:70" s="2" customFormat="1" x14ac:dyDescent="0.3">
      <c r="A79" s="46" t="e">
        <f>IF(B79="","",COUNTA($B$6:B79))-1</f>
        <v>#VALUE!</v>
      </c>
      <c r="B79" s="14"/>
      <c r="D79" s="4"/>
      <c r="E79" s="4"/>
      <c r="F79" s="4"/>
      <c r="G79" s="39"/>
      <c r="H79" s="4"/>
      <c r="I79" s="4" t="str">
        <f t="shared" si="29"/>
        <v/>
      </c>
      <c r="AR79" s="1"/>
      <c r="AS79" s="1"/>
      <c r="AT79" s="1"/>
      <c r="AU79" s="1"/>
      <c r="AV79" s="1"/>
      <c r="AW79" s="1"/>
      <c r="AX79" s="1"/>
      <c r="AY79" s="1"/>
      <c r="AZ79" s="1"/>
      <c r="BA79" s="1"/>
      <c r="BF79" s="1"/>
      <c r="BG79" s="1"/>
      <c r="BH79" s="1"/>
      <c r="BI79" s="1"/>
      <c r="BJ79" s="1"/>
      <c r="BK79" s="1"/>
      <c r="BL79" s="1"/>
      <c r="BM79" s="33"/>
      <c r="BN79" s="1"/>
      <c r="BO79" s="1"/>
      <c r="BP79" s="1"/>
      <c r="BQ79" s="1"/>
      <c r="BR79" s="1"/>
    </row>
    <row r="80" spans="1:70" s="2" customFormat="1" x14ac:dyDescent="0.3">
      <c r="A80" s="46" t="e">
        <f>IF(B80="","",COUNTA($B$6:B80))-1</f>
        <v>#VALUE!</v>
      </c>
      <c r="B80" s="14"/>
      <c r="D80" s="4"/>
      <c r="E80" s="4"/>
      <c r="F80" s="4"/>
      <c r="G80" s="39"/>
      <c r="H80" s="4"/>
      <c r="I80" s="4" t="str">
        <f t="shared" si="29"/>
        <v/>
      </c>
      <c r="AR80" s="1"/>
      <c r="AS80" s="1"/>
      <c r="AT80" s="1"/>
      <c r="AU80" s="1"/>
      <c r="AV80" s="1"/>
      <c r="AW80" s="1"/>
      <c r="AX80" s="1"/>
      <c r="AY80" s="1"/>
      <c r="AZ80" s="1"/>
      <c r="BA80" s="1"/>
      <c r="BF80" s="1"/>
      <c r="BG80" s="1"/>
      <c r="BH80" s="1"/>
      <c r="BI80" s="1"/>
      <c r="BJ80" s="1"/>
      <c r="BK80" s="1"/>
      <c r="BL80" s="1"/>
      <c r="BM80" s="33"/>
      <c r="BN80" s="1"/>
      <c r="BO80" s="1"/>
      <c r="BP80" s="1"/>
      <c r="BQ80" s="1"/>
      <c r="BR80" s="1"/>
    </row>
    <row r="81" spans="1:70" s="2" customFormat="1" x14ac:dyDescent="0.3">
      <c r="A81" s="46" t="e">
        <f>IF(B81="","",COUNTA($B$6:B81))-1</f>
        <v>#VALUE!</v>
      </c>
      <c r="B81" s="14"/>
      <c r="D81" s="4"/>
      <c r="E81" s="4"/>
      <c r="F81" s="4"/>
      <c r="G81" s="39"/>
      <c r="H81" s="4"/>
      <c r="I81" s="4" t="str">
        <f t="shared" si="29"/>
        <v/>
      </c>
      <c r="AR81" s="1"/>
      <c r="AS81" s="1"/>
      <c r="AT81" s="1"/>
      <c r="AU81" s="1"/>
      <c r="AV81" s="1"/>
      <c r="AW81" s="1"/>
      <c r="AX81" s="1"/>
      <c r="AY81" s="1"/>
      <c r="AZ81" s="1"/>
      <c r="BA81" s="1"/>
      <c r="BF81" s="1"/>
      <c r="BG81" s="1"/>
      <c r="BH81" s="1"/>
      <c r="BI81" s="1"/>
      <c r="BJ81" s="1"/>
      <c r="BK81" s="1"/>
      <c r="BL81" s="1"/>
      <c r="BM81" s="33"/>
      <c r="BN81" s="1"/>
      <c r="BO81" s="1"/>
      <c r="BP81" s="1"/>
      <c r="BQ81" s="1"/>
      <c r="BR81" s="1"/>
    </row>
    <row r="82" spans="1:70" s="2" customFormat="1" x14ac:dyDescent="0.3">
      <c r="A82" s="46" t="e">
        <f>IF(B82="","",COUNTA($B$6:B82))-1</f>
        <v>#VALUE!</v>
      </c>
      <c r="B82" s="14"/>
      <c r="D82" s="4"/>
      <c r="E82" s="4"/>
      <c r="F82" s="4"/>
      <c r="G82" s="39"/>
      <c r="H82" s="4"/>
      <c r="I82" s="4" t="str">
        <f t="shared" si="29"/>
        <v/>
      </c>
      <c r="AR82" s="1"/>
      <c r="AS82" s="1"/>
      <c r="AT82" s="1"/>
      <c r="AU82" s="1"/>
      <c r="AV82" s="1"/>
      <c r="AW82" s="1"/>
      <c r="AX82" s="1"/>
      <c r="AY82" s="1"/>
      <c r="AZ82" s="1"/>
      <c r="BA82" s="1"/>
      <c r="BF82" s="1"/>
      <c r="BG82" s="1"/>
      <c r="BH82" s="1"/>
      <c r="BI82" s="1"/>
      <c r="BJ82" s="1"/>
      <c r="BK82" s="1"/>
      <c r="BL82" s="1"/>
      <c r="BM82" s="33"/>
      <c r="BN82" s="1"/>
      <c r="BO82" s="1"/>
      <c r="BP82" s="1"/>
      <c r="BQ82" s="1"/>
      <c r="BR82" s="1"/>
    </row>
    <row r="83" spans="1:70" s="2" customFormat="1" x14ac:dyDescent="0.3">
      <c r="A83" s="46" t="e">
        <f>IF(B83="","",COUNTA($B$6:B83))-1</f>
        <v>#VALUE!</v>
      </c>
      <c r="B83" s="14"/>
      <c r="D83" s="4"/>
      <c r="E83" s="4"/>
      <c r="F83" s="4"/>
      <c r="G83" s="39"/>
      <c r="H83" s="4"/>
      <c r="I83" s="4" t="str">
        <f t="shared" si="29"/>
        <v/>
      </c>
      <c r="AR83" s="1"/>
      <c r="AS83" s="1"/>
      <c r="AT83" s="1"/>
      <c r="AU83" s="1"/>
      <c r="AV83" s="1"/>
      <c r="AW83" s="1"/>
      <c r="AX83" s="1"/>
      <c r="AY83" s="1"/>
      <c r="AZ83" s="1"/>
      <c r="BA83" s="1"/>
      <c r="BF83" s="1"/>
      <c r="BG83" s="1"/>
      <c r="BH83" s="1"/>
      <c r="BI83" s="1"/>
      <c r="BJ83" s="1"/>
      <c r="BK83" s="1"/>
      <c r="BL83" s="1"/>
      <c r="BM83" s="33"/>
      <c r="BN83" s="1"/>
      <c r="BO83" s="1"/>
      <c r="BP83" s="1"/>
      <c r="BQ83" s="1"/>
      <c r="BR83" s="1"/>
    </row>
    <row r="84" spans="1:70" s="2" customFormat="1" x14ac:dyDescent="0.3">
      <c r="A84" s="46" t="e">
        <f>IF(B84="","",COUNTA($B$6:B84))-1</f>
        <v>#VALUE!</v>
      </c>
      <c r="B84" s="14"/>
      <c r="D84" s="4"/>
      <c r="E84" s="4"/>
      <c r="F84" s="4"/>
      <c r="G84" s="39"/>
      <c r="H84" s="4"/>
      <c r="I84" s="4" t="str">
        <f t="shared" si="29"/>
        <v/>
      </c>
      <c r="AR84" s="1"/>
      <c r="AS84" s="1"/>
      <c r="AT84" s="1"/>
      <c r="AU84" s="1"/>
      <c r="AV84" s="1"/>
      <c r="AW84" s="1"/>
      <c r="AX84" s="1"/>
      <c r="AY84" s="1"/>
      <c r="AZ84" s="1"/>
      <c r="BA84" s="1"/>
      <c r="BF84" s="1"/>
      <c r="BG84" s="1"/>
      <c r="BH84" s="1"/>
      <c r="BI84" s="1"/>
      <c r="BJ84" s="1"/>
      <c r="BK84" s="1"/>
      <c r="BL84" s="1"/>
      <c r="BM84" s="33"/>
      <c r="BN84" s="1"/>
      <c r="BO84" s="1"/>
      <c r="BP84" s="1"/>
      <c r="BQ84" s="1"/>
      <c r="BR84" s="1"/>
    </row>
    <row r="85" spans="1:70" s="2" customFormat="1" x14ac:dyDescent="0.3">
      <c r="A85" s="46" t="e">
        <f>IF(B85="","",COUNTA($B$6:B85))-1</f>
        <v>#VALUE!</v>
      </c>
      <c r="B85" s="14"/>
      <c r="D85" s="4"/>
      <c r="E85" s="4"/>
      <c r="F85" s="4"/>
      <c r="G85" s="39"/>
      <c r="H85" s="4"/>
      <c r="I85" s="4" t="str">
        <f t="shared" si="29"/>
        <v/>
      </c>
      <c r="AR85" s="1"/>
      <c r="AS85" s="1"/>
      <c r="AT85" s="1"/>
      <c r="AU85" s="1"/>
      <c r="AV85" s="1"/>
      <c r="AW85" s="1"/>
      <c r="AX85" s="1"/>
      <c r="AY85" s="1"/>
      <c r="AZ85" s="1"/>
      <c r="BA85" s="1"/>
      <c r="BF85" s="1"/>
      <c r="BG85" s="1"/>
      <c r="BH85" s="1"/>
      <c r="BI85" s="1"/>
      <c r="BJ85" s="1"/>
      <c r="BK85" s="1"/>
      <c r="BL85" s="1"/>
      <c r="BM85" s="33"/>
      <c r="BN85" s="1"/>
      <c r="BO85" s="1"/>
      <c r="BP85" s="1"/>
      <c r="BQ85" s="1"/>
      <c r="BR85" s="1"/>
    </row>
    <row r="86" spans="1:70" s="2" customFormat="1" x14ac:dyDescent="0.3">
      <c r="A86" s="46" t="e">
        <f>IF(B86="","",COUNTA($B$6:B86))-1</f>
        <v>#VALUE!</v>
      </c>
      <c r="B86" s="14"/>
      <c r="D86" s="4"/>
      <c r="E86" s="4"/>
      <c r="F86" s="4"/>
      <c r="G86" s="39"/>
      <c r="H86" s="4"/>
      <c r="I86" s="4" t="str">
        <f t="shared" si="29"/>
        <v/>
      </c>
      <c r="AR86" s="1"/>
      <c r="AS86" s="1"/>
      <c r="AT86" s="1"/>
      <c r="AU86" s="1"/>
      <c r="AV86" s="1"/>
      <c r="AW86" s="1"/>
      <c r="AX86" s="1"/>
      <c r="AY86" s="1"/>
      <c r="AZ86" s="1"/>
      <c r="BA86" s="1"/>
      <c r="BF86" s="1"/>
      <c r="BG86" s="1"/>
      <c r="BH86" s="1"/>
      <c r="BI86" s="1"/>
      <c r="BJ86" s="1"/>
      <c r="BK86" s="1"/>
      <c r="BL86" s="1"/>
      <c r="BM86" s="33"/>
      <c r="BN86" s="1"/>
      <c r="BO86" s="1"/>
      <c r="BP86" s="1"/>
      <c r="BQ86" s="1"/>
      <c r="BR86" s="1"/>
    </row>
    <row r="87" spans="1:70" s="2" customFormat="1" x14ac:dyDescent="0.3">
      <c r="A87" s="46" t="e">
        <f>IF(B87="","",COUNTA($B$6:B87))-1</f>
        <v>#VALUE!</v>
      </c>
      <c r="B87" s="14"/>
      <c r="D87" s="4"/>
      <c r="E87" s="4"/>
      <c r="F87" s="4"/>
      <c r="G87" s="39"/>
      <c r="H87" s="4"/>
      <c r="I87" s="4" t="str">
        <f t="shared" si="29"/>
        <v/>
      </c>
      <c r="AR87" s="1"/>
      <c r="AS87" s="1"/>
      <c r="AT87" s="1"/>
      <c r="AU87" s="1"/>
      <c r="AV87" s="1"/>
      <c r="AW87" s="1"/>
      <c r="AX87" s="1"/>
      <c r="AY87" s="1"/>
      <c r="AZ87" s="1"/>
      <c r="BA87" s="1"/>
      <c r="BF87" s="1"/>
      <c r="BG87" s="1"/>
      <c r="BH87" s="1"/>
      <c r="BI87" s="1"/>
      <c r="BJ87" s="1"/>
      <c r="BK87" s="1"/>
      <c r="BL87" s="1"/>
      <c r="BM87" s="33"/>
      <c r="BN87" s="1"/>
      <c r="BO87" s="1"/>
      <c r="BP87" s="1"/>
      <c r="BQ87" s="1"/>
      <c r="BR87" s="1"/>
    </row>
    <row r="88" spans="1:70" s="2" customFormat="1" x14ac:dyDescent="0.3">
      <c r="A88" s="46" t="e">
        <f>IF(B88="","",COUNTA($B$6:B88))-1</f>
        <v>#VALUE!</v>
      </c>
      <c r="B88" s="14"/>
      <c r="D88" s="4"/>
      <c r="E88" s="4"/>
      <c r="F88" s="4"/>
      <c r="G88" s="39"/>
      <c r="H88" s="4"/>
      <c r="I88" s="4" t="str">
        <f t="shared" si="29"/>
        <v/>
      </c>
      <c r="AR88" s="1"/>
      <c r="AS88" s="1"/>
      <c r="AT88" s="1"/>
      <c r="AU88" s="1"/>
      <c r="AV88" s="1"/>
      <c r="AW88" s="1"/>
      <c r="AX88" s="1"/>
      <c r="AY88" s="1"/>
      <c r="AZ88" s="1"/>
      <c r="BA88" s="1"/>
      <c r="BF88" s="1"/>
      <c r="BG88" s="1"/>
      <c r="BH88" s="1"/>
      <c r="BI88" s="1"/>
      <c r="BJ88" s="1"/>
      <c r="BK88" s="1"/>
      <c r="BL88" s="1"/>
      <c r="BM88" s="33"/>
      <c r="BN88" s="1"/>
      <c r="BO88" s="1"/>
      <c r="BP88" s="1"/>
      <c r="BQ88" s="1"/>
      <c r="BR88" s="1"/>
    </row>
    <row r="89" spans="1:70" s="2" customFormat="1" x14ac:dyDescent="0.3">
      <c r="A89" s="46" t="e">
        <f>IF(B89="","",COUNTA($B$6:B89))-1</f>
        <v>#VALUE!</v>
      </c>
      <c r="B89" s="14"/>
      <c r="D89" s="4"/>
      <c r="E89" s="4"/>
      <c r="F89" s="4"/>
      <c r="G89" s="39"/>
      <c r="H89" s="4"/>
      <c r="I89" s="4" t="str">
        <f t="shared" si="29"/>
        <v/>
      </c>
      <c r="AR89" s="1"/>
      <c r="AS89" s="1"/>
      <c r="AT89" s="1"/>
      <c r="AU89" s="1"/>
      <c r="AV89" s="1"/>
      <c r="AW89" s="1"/>
      <c r="AX89" s="1"/>
      <c r="AY89" s="1"/>
      <c r="AZ89" s="1"/>
      <c r="BA89" s="1"/>
      <c r="BF89" s="1"/>
      <c r="BG89" s="1"/>
      <c r="BH89" s="1"/>
      <c r="BI89" s="1"/>
      <c r="BJ89" s="1"/>
      <c r="BK89" s="1"/>
      <c r="BL89" s="1"/>
      <c r="BM89" s="33"/>
      <c r="BN89" s="1"/>
      <c r="BO89" s="1"/>
      <c r="BP89" s="1"/>
      <c r="BQ89" s="1"/>
      <c r="BR89" s="1"/>
    </row>
    <row r="90" spans="1:70" s="2" customFormat="1" x14ac:dyDescent="0.3">
      <c r="A90" s="46" t="e">
        <f>IF(B90="","",COUNTA($B$6:B90))-1</f>
        <v>#VALUE!</v>
      </c>
      <c r="B90" s="14"/>
      <c r="D90" s="4"/>
      <c r="E90" s="4"/>
      <c r="F90" s="4"/>
      <c r="G90" s="39"/>
      <c r="H90" s="4"/>
      <c r="I90" s="4" t="str">
        <f t="shared" si="29"/>
        <v/>
      </c>
      <c r="AR90" s="1"/>
      <c r="AS90" s="1"/>
      <c r="AT90" s="1"/>
      <c r="AU90" s="1"/>
      <c r="AV90" s="1"/>
      <c r="AW90" s="1"/>
      <c r="AX90" s="1"/>
      <c r="AY90" s="1"/>
      <c r="AZ90" s="1"/>
      <c r="BA90" s="1"/>
      <c r="BF90" s="1"/>
      <c r="BG90" s="1"/>
      <c r="BH90" s="1"/>
      <c r="BI90" s="1"/>
      <c r="BJ90" s="1"/>
      <c r="BK90" s="1"/>
      <c r="BL90" s="1"/>
      <c r="BM90" s="33"/>
      <c r="BN90" s="1"/>
      <c r="BO90" s="1"/>
      <c r="BP90" s="1"/>
      <c r="BQ90" s="1"/>
      <c r="BR90" s="1"/>
    </row>
    <row r="91" spans="1:70" s="2" customFormat="1" x14ac:dyDescent="0.3">
      <c r="A91" s="46" t="e">
        <f>IF(B91="","",COUNTA($B$6:B91))-1</f>
        <v>#VALUE!</v>
      </c>
      <c r="B91" s="14"/>
      <c r="D91" s="4"/>
      <c r="E91" s="4"/>
      <c r="F91" s="4"/>
      <c r="G91" s="39"/>
      <c r="H91" s="4"/>
      <c r="I91" s="4" t="str">
        <f t="shared" si="29"/>
        <v/>
      </c>
      <c r="AR91" s="1"/>
      <c r="AS91" s="1"/>
      <c r="AT91" s="1"/>
      <c r="AU91" s="1"/>
      <c r="AV91" s="1"/>
      <c r="AW91" s="1"/>
      <c r="AX91" s="1"/>
      <c r="AY91" s="1"/>
      <c r="AZ91" s="1"/>
      <c r="BA91" s="1"/>
      <c r="BF91" s="1"/>
      <c r="BG91" s="1"/>
      <c r="BH91" s="1"/>
      <c r="BI91" s="1"/>
      <c r="BJ91" s="1"/>
      <c r="BK91" s="1"/>
      <c r="BL91" s="1"/>
      <c r="BM91" s="33"/>
      <c r="BN91" s="1"/>
      <c r="BO91" s="1"/>
      <c r="BP91" s="1"/>
      <c r="BQ91" s="1"/>
      <c r="BR91" s="1"/>
    </row>
    <row r="92" spans="1:70" s="2" customFormat="1" x14ac:dyDescent="0.3">
      <c r="A92" s="46" t="e">
        <f>IF(B92="","",COUNTA($B$6:B92))-1</f>
        <v>#VALUE!</v>
      </c>
      <c r="B92" s="14"/>
      <c r="D92" s="4"/>
      <c r="E92" s="4"/>
      <c r="F92" s="4"/>
      <c r="G92" s="39"/>
      <c r="H92" s="4"/>
      <c r="I92" s="4" t="str">
        <f t="shared" si="29"/>
        <v/>
      </c>
      <c r="AR92" s="1"/>
      <c r="AS92" s="1"/>
      <c r="AT92" s="1"/>
      <c r="AU92" s="1"/>
      <c r="AV92" s="1"/>
      <c r="AW92" s="1"/>
      <c r="AX92" s="1"/>
      <c r="AY92" s="1"/>
      <c r="AZ92" s="1"/>
      <c r="BA92" s="1"/>
      <c r="BF92" s="1"/>
      <c r="BG92" s="1"/>
      <c r="BH92" s="1"/>
      <c r="BI92" s="1"/>
      <c r="BJ92" s="1"/>
      <c r="BK92" s="1"/>
      <c r="BL92" s="1"/>
      <c r="BM92" s="33"/>
      <c r="BN92" s="1"/>
      <c r="BO92" s="1"/>
      <c r="BP92" s="1"/>
      <c r="BQ92" s="1"/>
      <c r="BR92" s="1"/>
    </row>
    <row r="93" spans="1:70" s="2" customFormat="1" x14ac:dyDescent="0.3">
      <c r="A93" s="46" t="e">
        <f>IF(B93="","",COUNTA($B$6:B93))-1</f>
        <v>#VALUE!</v>
      </c>
      <c r="B93" s="14"/>
      <c r="D93" s="4"/>
      <c r="E93" s="4"/>
      <c r="F93" s="4"/>
      <c r="G93" s="39"/>
      <c r="H93" s="4"/>
      <c r="I93" s="4" t="str">
        <f t="shared" si="29"/>
        <v/>
      </c>
      <c r="AR93" s="1"/>
      <c r="AS93" s="1"/>
      <c r="AT93" s="1"/>
      <c r="AU93" s="1"/>
      <c r="AV93" s="1"/>
      <c r="AW93" s="1"/>
      <c r="AX93" s="1"/>
      <c r="AY93" s="1"/>
      <c r="AZ93" s="1"/>
      <c r="BA93" s="1"/>
      <c r="BF93" s="1"/>
      <c r="BG93" s="1"/>
      <c r="BH93" s="1"/>
      <c r="BI93" s="1"/>
      <c r="BJ93" s="1"/>
      <c r="BK93" s="1"/>
      <c r="BL93" s="1"/>
      <c r="BM93" s="33"/>
      <c r="BN93" s="1"/>
      <c r="BO93" s="1"/>
      <c r="BP93" s="1"/>
      <c r="BQ93" s="1"/>
      <c r="BR93" s="1"/>
    </row>
    <row r="94" spans="1:70" s="2" customFormat="1" x14ac:dyDescent="0.3">
      <c r="A94" s="46" t="e">
        <f>IF(B94="","",COUNTA($B$6:B94))-1</f>
        <v>#VALUE!</v>
      </c>
      <c r="B94" s="14"/>
      <c r="D94" s="4"/>
      <c r="E94" s="4"/>
      <c r="F94" s="4"/>
      <c r="G94" s="39"/>
      <c r="H94" s="4"/>
      <c r="I94" s="4" t="str">
        <f t="shared" si="29"/>
        <v/>
      </c>
      <c r="AR94" s="1"/>
      <c r="AS94" s="1"/>
      <c r="AT94" s="1"/>
      <c r="AU94" s="1"/>
      <c r="AV94" s="1"/>
      <c r="AW94" s="1"/>
      <c r="AX94" s="1"/>
      <c r="AY94" s="1"/>
      <c r="AZ94" s="1"/>
      <c r="BA94" s="1"/>
      <c r="BF94" s="1"/>
      <c r="BG94" s="1"/>
      <c r="BH94" s="1"/>
      <c r="BI94" s="1"/>
      <c r="BJ94" s="1"/>
      <c r="BK94" s="1"/>
      <c r="BL94" s="1"/>
      <c r="BM94" s="33"/>
      <c r="BN94" s="1"/>
      <c r="BO94" s="1"/>
      <c r="BP94" s="1"/>
      <c r="BQ94" s="1"/>
      <c r="BR94" s="1"/>
    </row>
    <row r="95" spans="1:70" s="2" customFormat="1" x14ac:dyDescent="0.3">
      <c r="A95" s="46" t="e">
        <f>IF(B95="","",COUNTA($B$6:B95))-1</f>
        <v>#VALUE!</v>
      </c>
      <c r="B95" s="14"/>
      <c r="D95" s="4"/>
      <c r="E95" s="4"/>
      <c r="F95" s="4"/>
      <c r="G95" s="39"/>
      <c r="H95" s="4"/>
      <c r="I95" s="4" t="str">
        <f t="shared" si="29"/>
        <v/>
      </c>
      <c r="AR95" s="1"/>
      <c r="AS95" s="1"/>
      <c r="AT95" s="1"/>
      <c r="AU95" s="1"/>
      <c r="AV95" s="1"/>
      <c r="AW95" s="1"/>
      <c r="AX95" s="1"/>
      <c r="AY95" s="1"/>
      <c r="AZ95" s="1"/>
      <c r="BA95" s="1"/>
      <c r="BF95" s="1"/>
      <c r="BG95" s="1"/>
      <c r="BH95" s="1"/>
      <c r="BI95" s="1"/>
      <c r="BJ95" s="1"/>
      <c r="BK95" s="1"/>
      <c r="BL95" s="1"/>
      <c r="BM95" s="33"/>
      <c r="BN95" s="1"/>
      <c r="BO95" s="1"/>
      <c r="BP95" s="1"/>
      <c r="BQ95" s="1"/>
      <c r="BR95" s="1"/>
    </row>
    <row r="96" spans="1:70" s="2" customFormat="1" x14ac:dyDescent="0.3">
      <c r="A96" s="46" t="e">
        <f>IF(B96="","",COUNTA($B$6:B96))-1</f>
        <v>#VALUE!</v>
      </c>
      <c r="B96" s="14"/>
      <c r="D96" s="4"/>
      <c r="E96" s="4"/>
      <c r="F96" s="4"/>
      <c r="G96" s="39"/>
      <c r="H96" s="4"/>
      <c r="I96" s="4" t="str">
        <f t="shared" si="29"/>
        <v/>
      </c>
      <c r="AR96" s="1"/>
      <c r="AS96" s="1"/>
      <c r="AT96" s="1"/>
      <c r="AU96" s="1"/>
      <c r="AV96" s="1"/>
      <c r="AW96" s="1"/>
      <c r="AX96" s="1"/>
      <c r="AY96" s="1"/>
      <c r="AZ96" s="1"/>
      <c r="BA96" s="1"/>
      <c r="BF96" s="1"/>
      <c r="BG96" s="1"/>
      <c r="BH96" s="1"/>
      <c r="BI96" s="1"/>
      <c r="BJ96" s="1"/>
      <c r="BK96" s="1"/>
      <c r="BL96" s="1"/>
      <c r="BM96" s="33"/>
      <c r="BN96" s="1"/>
      <c r="BO96" s="1"/>
      <c r="BP96" s="1"/>
      <c r="BQ96" s="1"/>
      <c r="BR96" s="1"/>
    </row>
    <row r="97" spans="1:70" s="2" customFormat="1" x14ac:dyDescent="0.3">
      <c r="A97" s="46" t="e">
        <f>IF(B97="","",COUNTA($B$6:B97))-1</f>
        <v>#VALUE!</v>
      </c>
      <c r="B97" s="14"/>
      <c r="D97" s="4"/>
      <c r="E97" s="4"/>
      <c r="F97" s="4"/>
      <c r="G97" s="39"/>
      <c r="H97" s="4"/>
      <c r="I97" s="4" t="str">
        <f t="shared" si="29"/>
        <v/>
      </c>
      <c r="AR97" s="1"/>
      <c r="AS97" s="1"/>
      <c r="AT97" s="1"/>
      <c r="AU97" s="1"/>
      <c r="AV97" s="1"/>
      <c r="AW97" s="1"/>
      <c r="AX97" s="1"/>
      <c r="AY97" s="1"/>
      <c r="AZ97" s="1"/>
      <c r="BA97" s="1"/>
      <c r="BF97" s="1"/>
      <c r="BG97" s="1"/>
      <c r="BH97" s="1"/>
      <c r="BI97" s="1"/>
      <c r="BJ97" s="1"/>
      <c r="BK97" s="1"/>
      <c r="BL97" s="1"/>
      <c r="BM97" s="33"/>
      <c r="BN97" s="1"/>
      <c r="BO97" s="1"/>
      <c r="BP97" s="1"/>
      <c r="BQ97" s="1"/>
      <c r="BR97" s="1"/>
    </row>
    <row r="98" spans="1:70" s="2" customFormat="1" x14ac:dyDescent="0.3">
      <c r="A98" s="46" t="e">
        <f>IF(B98="","",COUNTA($B$6:B98))-1</f>
        <v>#VALUE!</v>
      </c>
      <c r="B98" s="14"/>
      <c r="D98" s="4"/>
      <c r="E98" s="4"/>
      <c r="F98" s="4"/>
      <c r="G98" s="39"/>
      <c r="H98" s="4"/>
      <c r="I98" s="4" t="str">
        <f t="shared" ref="I98:I129" si="30">IF(F98="","",F98+G98)</f>
        <v/>
      </c>
      <c r="AR98" s="1"/>
      <c r="AS98" s="1"/>
      <c r="AT98" s="1"/>
      <c r="AU98" s="1"/>
      <c r="AV98" s="1"/>
      <c r="AW98" s="1"/>
      <c r="AX98" s="1"/>
      <c r="AY98" s="1"/>
      <c r="AZ98" s="1"/>
      <c r="BA98" s="1"/>
      <c r="BF98" s="1"/>
      <c r="BG98" s="1"/>
      <c r="BH98" s="1"/>
      <c r="BI98" s="1"/>
      <c r="BJ98" s="1"/>
      <c r="BK98" s="1"/>
      <c r="BL98" s="1"/>
      <c r="BM98" s="33"/>
      <c r="BN98" s="1"/>
      <c r="BO98" s="1"/>
      <c r="BP98" s="1"/>
      <c r="BQ98" s="1"/>
      <c r="BR98" s="1"/>
    </row>
    <row r="99" spans="1:70" s="2" customFormat="1" x14ac:dyDescent="0.3">
      <c r="A99" s="46" t="e">
        <f>IF(B99="","",COUNTA($B$6:B99))-1</f>
        <v>#VALUE!</v>
      </c>
      <c r="B99" s="14"/>
      <c r="D99" s="4"/>
      <c r="E99" s="4"/>
      <c r="F99" s="4"/>
      <c r="G99" s="39"/>
      <c r="H99" s="4"/>
      <c r="I99" s="4" t="str">
        <f t="shared" si="30"/>
        <v/>
      </c>
      <c r="AR99" s="1"/>
      <c r="AS99" s="1"/>
      <c r="AT99" s="1"/>
      <c r="AU99" s="1"/>
      <c r="AV99" s="1"/>
      <c r="AW99" s="1"/>
      <c r="AX99" s="1"/>
      <c r="AY99" s="1"/>
      <c r="AZ99" s="1"/>
      <c r="BA99" s="1"/>
      <c r="BF99" s="1"/>
      <c r="BG99" s="1"/>
      <c r="BH99" s="1"/>
      <c r="BI99" s="1"/>
      <c r="BJ99" s="1"/>
      <c r="BK99" s="1"/>
      <c r="BL99" s="1"/>
      <c r="BM99" s="33"/>
      <c r="BN99" s="1"/>
      <c r="BO99" s="1"/>
      <c r="BP99" s="1"/>
      <c r="BQ99" s="1"/>
      <c r="BR99" s="1"/>
    </row>
    <row r="100" spans="1:70" s="2" customFormat="1" x14ac:dyDescent="0.3">
      <c r="A100" s="46" t="e">
        <f>IF(B100="","",COUNTA($B$6:B100))-1</f>
        <v>#VALUE!</v>
      </c>
      <c r="B100" s="14"/>
      <c r="D100" s="4"/>
      <c r="E100" s="4"/>
      <c r="F100" s="4"/>
      <c r="G100" s="39"/>
      <c r="H100" s="4"/>
      <c r="I100" s="4" t="str">
        <f t="shared" si="30"/>
        <v/>
      </c>
      <c r="AR100" s="1"/>
      <c r="AS100" s="1"/>
      <c r="AT100" s="1"/>
      <c r="AU100" s="1"/>
      <c r="AV100" s="1"/>
      <c r="AW100" s="1"/>
      <c r="AX100" s="1"/>
      <c r="AY100" s="1"/>
      <c r="AZ100" s="1"/>
      <c r="BA100" s="1"/>
      <c r="BF100" s="1"/>
      <c r="BG100" s="1"/>
      <c r="BH100" s="1"/>
      <c r="BI100" s="1"/>
      <c r="BJ100" s="1"/>
      <c r="BK100" s="1"/>
      <c r="BL100" s="1"/>
      <c r="BM100" s="33"/>
      <c r="BN100" s="1"/>
      <c r="BO100" s="1"/>
      <c r="BP100" s="1"/>
      <c r="BQ100" s="1"/>
      <c r="BR100" s="1"/>
    </row>
    <row r="101" spans="1:70" s="2" customFormat="1" x14ac:dyDescent="0.3">
      <c r="A101" s="46" t="e">
        <f>IF(B101="","",COUNTA($B$6:B101))-1</f>
        <v>#VALUE!</v>
      </c>
      <c r="B101" s="14"/>
      <c r="D101" s="4"/>
      <c r="E101" s="4"/>
      <c r="F101" s="4"/>
      <c r="G101" s="39"/>
      <c r="H101" s="4"/>
      <c r="I101" s="4" t="str">
        <f t="shared" si="30"/>
        <v/>
      </c>
      <c r="AR101" s="1"/>
      <c r="AS101" s="1"/>
      <c r="AT101" s="1"/>
      <c r="AU101" s="1"/>
      <c r="AV101" s="1"/>
      <c r="AW101" s="1"/>
      <c r="AX101" s="1"/>
      <c r="AY101" s="1"/>
      <c r="AZ101" s="1"/>
      <c r="BA101" s="1"/>
      <c r="BF101" s="1"/>
      <c r="BG101" s="1"/>
      <c r="BH101" s="1"/>
      <c r="BI101" s="1"/>
      <c r="BJ101" s="1"/>
      <c r="BK101" s="1"/>
      <c r="BL101" s="1"/>
      <c r="BM101" s="33"/>
      <c r="BN101" s="1"/>
      <c r="BO101" s="1"/>
      <c r="BP101" s="1"/>
      <c r="BQ101" s="1"/>
      <c r="BR101" s="1"/>
    </row>
    <row r="102" spans="1:70" s="2" customFormat="1" x14ac:dyDescent="0.3">
      <c r="A102" s="46" t="e">
        <f>IF(B102="","",COUNTA($B$6:B102))-1</f>
        <v>#VALUE!</v>
      </c>
      <c r="B102" s="14"/>
      <c r="D102" s="4"/>
      <c r="E102" s="4"/>
      <c r="F102" s="4"/>
      <c r="G102" s="39"/>
      <c r="H102" s="4"/>
      <c r="I102" s="4" t="str">
        <f t="shared" si="30"/>
        <v/>
      </c>
      <c r="AR102" s="1"/>
      <c r="AS102" s="1"/>
      <c r="AT102" s="1"/>
      <c r="AU102" s="1"/>
      <c r="AV102" s="1"/>
      <c r="AW102" s="1"/>
      <c r="AX102" s="1"/>
      <c r="AY102" s="1"/>
      <c r="AZ102" s="1"/>
      <c r="BA102" s="1"/>
      <c r="BF102" s="1"/>
      <c r="BG102" s="1"/>
      <c r="BH102" s="1"/>
      <c r="BI102" s="1"/>
      <c r="BJ102" s="1"/>
      <c r="BK102" s="1"/>
      <c r="BL102" s="1"/>
      <c r="BM102" s="33"/>
      <c r="BN102" s="1"/>
      <c r="BO102" s="1"/>
      <c r="BP102" s="1"/>
      <c r="BQ102" s="1"/>
      <c r="BR102" s="1"/>
    </row>
    <row r="103" spans="1:70" s="2" customFormat="1" x14ac:dyDescent="0.3">
      <c r="A103" s="46" t="e">
        <f>IF(B103="","",COUNTA($B$6:B103))-1</f>
        <v>#VALUE!</v>
      </c>
      <c r="B103" s="14"/>
      <c r="D103" s="4"/>
      <c r="E103" s="4"/>
      <c r="F103" s="4"/>
      <c r="G103" s="39"/>
      <c r="H103" s="4"/>
      <c r="I103" s="4" t="str">
        <f t="shared" si="30"/>
        <v/>
      </c>
      <c r="AR103" s="1"/>
      <c r="AS103" s="1"/>
      <c r="AT103" s="1"/>
      <c r="AU103" s="1"/>
      <c r="AV103" s="1"/>
      <c r="AW103" s="1"/>
      <c r="AX103" s="1"/>
      <c r="AY103" s="1"/>
      <c r="AZ103" s="1"/>
      <c r="BA103" s="1"/>
      <c r="BF103" s="1"/>
      <c r="BG103" s="1"/>
      <c r="BH103" s="1"/>
      <c r="BI103" s="1"/>
      <c r="BJ103" s="1"/>
      <c r="BK103" s="1"/>
      <c r="BL103" s="1"/>
      <c r="BM103" s="33"/>
      <c r="BN103" s="1"/>
      <c r="BO103" s="1"/>
      <c r="BP103" s="1"/>
      <c r="BQ103" s="1"/>
      <c r="BR103" s="1"/>
    </row>
    <row r="104" spans="1:70" s="2" customFormat="1" x14ac:dyDescent="0.3">
      <c r="A104" s="46" t="e">
        <f>IF(B104="","",COUNTA($B$6:B104))-1</f>
        <v>#VALUE!</v>
      </c>
      <c r="B104" s="14"/>
      <c r="D104" s="4"/>
      <c r="E104" s="4"/>
      <c r="F104" s="4"/>
      <c r="G104" s="39"/>
      <c r="H104" s="4"/>
      <c r="I104" s="4" t="str">
        <f t="shared" si="30"/>
        <v/>
      </c>
      <c r="AR104" s="1"/>
      <c r="AS104" s="1"/>
      <c r="AT104" s="1"/>
      <c r="AU104" s="1"/>
      <c r="AV104" s="1"/>
      <c r="AW104" s="1"/>
      <c r="AX104" s="1"/>
      <c r="AY104" s="1"/>
      <c r="AZ104" s="1"/>
      <c r="BA104" s="1"/>
      <c r="BF104" s="1"/>
      <c r="BG104" s="1"/>
      <c r="BH104" s="1"/>
      <c r="BI104" s="1"/>
      <c r="BJ104" s="1"/>
      <c r="BK104" s="1"/>
      <c r="BL104" s="1"/>
      <c r="BM104" s="33"/>
      <c r="BN104" s="1"/>
      <c r="BO104" s="1"/>
      <c r="BP104" s="1"/>
      <c r="BQ104" s="1"/>
      <c r="BR104" s="1"/>
    </row>
    <row r="105" spans="1:70" s="2" customFormat="1" x14ac:dyDescent="0.3">
      <c r="A105" s="46" t="e">
        <f>IF(B105="","",COUNTA($B$6:B105))-1</f>
        <v>#VALUE!</v>
      </c>
      <c r="B105" s="14"/>
      <c r="D105" s="4"/>
      <c r="E105" s="4"/>
      <c r="F105" s="4"/>
      <c r="G105" s="39"/>
      <c r="H105" s="4"/>
      <c r="I105" s="4" t="str">
        <f t="shared" si="30"/>
        <v/>
      </c>
      <c r="AR105" s="1"/>
      <c r="AS105" s="1"/>
      <c r="AT105" s="1"/>
      <c r="AU105" s="1"/>
      <c r="AV105" s="1"/>
      <c r="AW105" s="1"/>
      <c r="AX105" s="1"/>
      <c r="AY105" s="1"/>
      <c r="AZ105" s="1"/>
      <c r="BA105" s="1"/>
      <c r="BF105" s="1"/>
      <c r="BG105" s="1"/>
      <c r="BH105" s="1"/>
      <c r="BI105" s="1"/>
      <c r="BJ105" s="1"/>
      <c r="BK105" s="1"/>
      <c r="BL105" s="1"/>
      <c r="BM105" s="33"/>
      <c r="BN105" s="1"/>
      <c r="BO105" s="1"/>
      <c r="BP105" s="1"/>
      <c r="BQ105" s="1"/>
      <c r="BR105" s="1"/>
    </row>
    <row r="106" spans="1:70" s="2" customFormat="1" x14ac:dyDescent="0.3">
      <c r="A106" s="46" t="e">
        <f>IF(B106="","",COUNTA($B$6:B106))-1</f>
        <v>#VALUE!</v>
      </c>
      <c r="B106" s="14"/>
      <c r="D106" s="4"/>
      <c r="E106" s="4"/>
      <c r="F106" s="4"/>
      <c r="G106" s="39"/>
      <c r="H106" s="4"/>
      <c r="I106" s="4" t="str">
        <f t="shared" si="30"/>
        <v/>
      </c>
      <c r="AR106" s="1"/>
      <c r="AS106" s="1"/>
      <c r="AT106" s="1"/>
      <c r="AU106" s="1"/>
      <c r="AV106" s="1"/>
      <c r="AW106" s="1"/>
      <c r="AX106" s="1"/>
      <c r="AY106" s="1"/>
      <c r="AZ106" s="1"/>
      <c r="BA106" s="1"/>
      <c r="BF106" s="1"/>
      <c r="BG106" s="1"/>
      <c r="BH106" s="1"/>
      <c r="BI106" s="1"/>
      <c r="BJ106" s="1"/>
      <c r="BK106" s="1"/>
      <c r="BL106" s="1"/>
      <c r="BM106" s="33"/>
      <c r="BN106" s="1"/>
      <c r="BO106" s="1"/>
      <c r="BP106" s="1"/>
      <c r="BQ106" s="1"/>
      <c r="BR106" s="1"/>
    </row>
    <row r="107" spans="1:70" s="2" customFormat="1" x14ac:dyDescent="0.3">
      <c r="A107" s="46" t="e">
        <f>IF(B107="","",COUNTA($B$6:B107))-1</f>
        <v>#VALUE!</v>
      </c>
      <c r="B107" s="14"/>
      <c r="D107" s="4"/>
      <c r="E107" s="4"/>
      <c r="F107" s="4"/>
      <c r="G107" s="39"/>
      <c r="H107" s="4"/>
      <c r="I107" s="4" t="str">
        <f t="shared" si="30"/>
        <v/>
      </c>
      <c r="AR107" s="1"/>
      <c r="AS107" s="1"/>
      <c r="AT107" s="1"/>
      <c r="AU107" s="1"/>
      <c r="AV107" s="1"/>
      <c r="AW107" s="1"/>
      <c r="AX107" s="1"/>
      <c r="AY107" s="1"/>
      <c r="AZ107" s="1"/>
      <c r="BA107" s="1"/>
      <c r="BF107" s="1"/>
      <c r="BG107" s="1"/>
      <c r="BH107" s="1"/>
      <c r="BI107" s="1"/>
      <c r="BJ107" s="1"/>
      <c r="BK107" s="1"/>
      <c r="BL107" s="1"/>
      <c r="BM107" s="33"/>
      <c r="BN107" s="1"/>
      <c r="BO107" s="1"/>
      <c r="BP107" s="1"/>
      <c r="BQ107" s="1"/>
      <c r="BR107" s="1"/>
    </row>
    <row r="108" spans="1:70" s="2" customFormat="1" x14ac:dyDescent="0.3">
      <c r="A108" s="46" t="e">
        <f>IF(B108="","",COUNTA($B$6:B108))-1</f>
        <v>#VALUE!</v>
      </c>
      <c r="B108" s="14"/>
      <c r="D108" s="4"/>
      <c r="E108" s="4"/>
      <c r="F108" s="4"/>
      <c r="G108" s="39"/>
      <c r="H108" s="4"/>
      <c r="I108" s="4" t="str">
        <f t="shared" si="30"/>
        <v/>
      </c>
      <c r="AR108" s="1"/>
      <c r="AS108" s="1"/>
      <c r="AT108" s="1"/>
      <c r="AU108" s="1"/>
      <c r="AV108" s="1"/>
      <c r="AW108" s="1"/>
      <c r="AX108" s="1"/>
      <c r="AY108" s="1"/>
      <c r="AZ108" s="1"/>
      <c r="BA108" s="1"/>
      <c r="BF108" s="1"/>
      <c r="BG108" s="1"/>
      <c r="BH108" s="1"/>
      <c r="BI108" s="1"/>
      <c r="BJ108" s="1"/>
      <c r="BK108" s="1"/>
      <c r="BL108" s="1"/>
      <c r="BM108" s="33"/>
      <c r="BN108" s="1"/>
      <c r="BO108" s="1"/>
      <c r="BP108" s="1"/>
      <c r="BQ108" s="1"/>
      <c r="BR108" s="1"/>
    </row>
    <row r="109" spans="1:70" s="2" customFormat="1" x14ac:dyDescent="0.3">
      <c r="A109" s="46" t="e">
        <f>IF(B109="","",COUNTA($B$6:B109))-1</f>
        <v>#VALUE!</v>
      </c>
      <c r="B109" s="14"/>
      <c r="D109" s="4"/>
      <c r="E109" s="4"/>
      <c r="F109" s="4"/>
      <c r="G109" s="39"/>
      <c r="H109" s="4"/>
      <c r="I109" s="4" t="str">
        <f t="shared" si="30"/>
        <v/>
      </c>
      <c r="AR109" s="1"/>
      <c r="AS109" s="1"/>
      <c r="AT109" s="1"/>
      <c r="AU109" s="1"/>
      <c r="AV109" s="1"/>
      <c r="AW109" s="1"/>
      <c r="AX109" s="1"/>
      <c r="AY109" s="1"/>
      <c r="AZ109" s="1"/>
      <c r="BA109" s="1"/>
      <c r="BF109" s="1"/>
      <c r="BG109" s="1"/>
      <c r="BH109" s="1"/>
      <c r="BI109" s="1"/>
      <c r="BJ109" s="1"/>
      <c r="BK109" s="1"/>
      <c r="BL109" s="1"/>
      <c r="BM109" s="33"/>
      <c r="BN109" s="1"/>
      <c r="BO109" s="1"/>
      <c r="BP109" s="1"/>
      <c r="BQ109" s="1"/>
      <c r="BR109" s="1"/>
    </row>
    <row r="110" spans="1:70" s="2" customFormat="1" x14ac:dyDescent="0.3">
      <c r="A110" s="46" t="e">
        <f>IF(B110="","",COUNTA($B$6:B110))-1</f>
        <v>#VALUE!</v>
      </c>
      <c r="B110" s="14"/>
      <c r="D110" s="4"/>
      <c r="E110" s="4"/>
      <c r="F110" s="4"/>
      <c r="G110" s="39"/>
      <c r="H110" s="4"/>
      <c r="I110" s="4" t="str">
        <f t="shared" si="30"/>
        <v/>
      </c>
      <c r="AR110" s="1"/>
      <c r="AS110" s="1"/>
      <c r="AT110" s="1"/>
      <c r="AU110" s="1"/>
      <c r="AV110" s="1"/>
      <c r="AW110" s="1"/>
      <c r="AX110" s="1"/>
      <c r="AY110" s="1"/>
      <c r="AZ110" s="1"/>
      <c r="BA110" s="1"/>
      <c r="BF110" s="1"/>
      <c r="BG110" s="1"/>
      <c r="BH110" s="1"/>
      <c r="BI110" s="1"/>
      <c r="BJ110" s="1"/>
      <c r="BK110" s="1"/>
      <c r="BL110" s="1"/>
      <c r="BM110" s="33"/>
      <c r="BN110" s="1"/>
      <c r="BO110" s="1"/>
      <c r="BP110" s="1"/>
      <c r="BQ110" s="1"/>
      <c r="BR110" s="1"/>
    </row>
    <row r="111" spans="1:70" s="2" customFormat="1" x14ac:dyDescent="0.3">
      <c r="A111" s="46" t="e">
        <f>IF(B111="","",COUNTA($B$6:B111))-1</f>
        <v>#VALUE!</v>
      </c>
      <c r="B111" s="14"/>
      <c r="D111" s="4"/>
      <c r="E111" s="4"/>
      <c r="F111" s="4"/>
      <c r="G111" s="39"/>
      <c r="H111" s="4"/>
      <c r="I111" s="4" t="str">
        <f t="shared" si="30"/>
        <v/>
      </c>
      <c r="AR111" s="1"/>
      <c r="AS111" s="1"/>
      <c r="AT111" s="1"/>
      <c r="AU111" s="1"/>
      <c r="AV111" s="1"/>
      <c r="AW111" s="1"/>
      <c r="AX111" s="1"/>
      <c r="AY111" s="1"/>
      <c r="AZ111" s="1"/>
      <c r="BA111" s="1"/>
      <c r="BF111" s="1"/>
      <c r="BG111" s="1"/>
      <c r="BH111" s="1"/>
      <c r="BI111" s="1"/>
      <c r="BJ111" s="1"/>
      <c r="BK111" s="1"/>
      <c r="BL111" s="1"/>
      <c r="BM111" s="33"/>
      <c r="BN111" s="1"/>
      <c r="BO111" s="1"/>
      <c r="BP111" s="1"/>
      <c r="BQ111" s="1"/>
      <c r="BR111" s="1"/>
    </row>
    <row r="112" spans="1:70" s="2" customFormat="1" x14ac:dyDescent="0.3">
      <c r="A112" s="46" t="e">
        <f>IF(B112="","",COUNTA($B$6:B112))-1</f>
        <v>#VALUE!</v>
      </c>
      <c r="B112" s="14"/>
      <c r="D112" s="4"/>
      <c r="E112" s="4"/>
      <c r="F112" s="4"/>
      <c r="G112" s="39"/>
      <c r="H112" s="4"/>
      <c r="I112" s="4" t="str">
        <f t="shared" si="30"/>
        <v/>
      </c>
      <c r="AR112" s="1"/>
      <c r="AS112" s="1"/>
      <c r="AT112" s="1"/>
      <c r="AU112" s="1"/>
      <c r="AV112" s="1"/>
      <c r="AW112" s="1"/>
      <c r="AX112" s="1"/>
      <c r="AY112" s="1"/>
      <c r="AZ112" s="1"/>
      <c r="BA112" s="1"/>
      <c r="BF112" s="1"/>
      <c r="BG112" s="1"/>
      <c r="BH112" s="1"/>
      <c r="BI112" s="1"/>
      <c r="BJ112" s="1"/>
      <c r="BK112" s="1"/>
      <c r="BL112" s="1"/>
      <c r="BM112" s="33"/>
      <c r="BN112" s="1"/>
      <c r="BO112" s="1"/>
      <c r="BP112" s="1"/>
      <c r="BQ112" s="1"/>
      <c r="BR112" s="1"/>
    </row>
    <row r="113" spans="1:70" s="2" customFormat="1" x14ac:dyDescent="0.3">
      <c r="A113" s="46" t="e">
        <f>IF(B113="","",COUNTA($B$6:B113))-1</f>
        <v>#VALUE!</v>
      </c>
      <c r="B113" s="14"/>
      <c r="D113" s="4"/>
      <c r="E113" s="4"/>
      <c r="F113" s="4"/>
      <c r="G113" s="39"/>
      <c r="H113" s="4"/>
      <c r="I113" s="4" t="str">
        <f t="shared" si="30"/>
        <v/>
      </c>
      <c r="AR113" s="1"/>
      <c r="AS113" s="1"/>
      <c r="AT113" s="1"/>
      <c r="AU113" s="1"/>
      <c r="AV113" s="1"/>
      <c r="AW113" s="1"/>
      <c r="AX113" s="1"/>
      <c r="AY113" s="1"/>
      <c r="AZ113" s="1"/>
      <c r="BA113" s="1"/>
      <c r="BF113" s="1"/>
      <c r="BG113" s="1"/>
      <c r="BH113" s="1"/>
      <c r="BI113" s="1"/>
      <c r="BJ113" s="1"/>
      <c r="BK113" s="1"/>
      <c r="BL113" s="1"/>
      <c r="BM113" s="33"/>
      <c r="BN113" s="1"/>
      <c r="BO113" s="1"/>
      <c r="BP113" s="1"/>
      <c r="BQ113" s="1"/>
      <c r="BR113" s="1"/>
    </row>
    <row r="114" spans="1:70" s="2" customFormat="1" x14ac:dyDescent="0.3">
      <c r="A114" s="46" t="e">
        <f>IF(B114="","",COUNTA($B$6:B114))-1</f>
        <v>#VALUE!</v>
      </c>
      <c r="B114" s="14"/>
      <c r="D114" s="4"/>
      <c r="E114" s="4"/>
      <c r="F114" s="4"/>
      <c r="G114" s="39"/>
      <c r="H114" s="4"/>
      <c r="I114" s="4" t="str">
        <f t="shared" si="30"/>
        <v/>
      </c>
      <c r="AR114" s="1"/>
      <c r="AS114" s="1"/>
      <c r="AT114" s="1"/>
      <c r="AU114" s="1"/>
      <c r="AV114" s="1"/>
      <c r="AW114" s="1"/>
      <c r="AX114" s="1"/>
      <c r="AY114" s="1"/>
      <c r="AZ114" s="1"/>
      <c r="BA114" s="1"/>
      <c r="BF114" s="1"/>
      <c r="BG114" s="1"/>
      <c r="BH114" s="1"/>
      <c r="BI114" s="1"/>
      <c r="BJ114" s="1"/>
      <c r="BK114" s="1"/>
      <c r="BL114" s="1"/>
      <c r="BM114" s="33"/>
      <c r="BN114" s="1"/>
      <c r="BO114" s="1"/>
      <c r="BP114" s="1"/>
      <c r="BQ114" s="1"/>
      <c r="BR114" s="1"/>
    </row>
    <row r="115" spans="1:70" s="2" customFormat="1" x14ac:dyDescent="0.3">
      <c r="A115" s="46" t="e">
        <f>IF(B115="","",COUNTA($B$6:B115))-1</f>
        <v>#VALUE!</v>
      </c>
      <c r="B115" s="14"/>
      <c r="D115" s="4"/>
      <c r="E115" s="4"/>
      <c r="F115" s="4"/>
      <c r="G115" s="39"/>
      <c r="H115" s="4"/>
      <c r="I115" s="4" t="str">
        <f t="shared" si="30"/>
        <v/>
      </c>
      <c r="AR115" s="1"/>
      <c r="AS115" s="1"/>
      <c r="AT115" s="1"/>
      <c r="AU115" s="1"/>
      <c r="AV115" s="1"/>
      <c r="AW115" s="1"/>
      <c r="AX115" s="1"/>
      <c r="AY115" s="1"/>
      <c r="AZ115" s="1"/>
      <c r="BA115" s="1"/>
      <c r="BF115" s="1"/>
      <c r="BG115" s="1"/>
      <c r="BH115" s="1"/>
      <c r="BI115" s="1"/>
      <c r="BJ115" s="1"/>
      <c r="BK115" s="1"/>
      <c r="BL115" s="1"/>
      <c r="BM115" s="33"/>
      <c r="BN115" s="1"/>
      <c r="BO115" s="1"/>
      <c r="BP115" s="1"/>
      <c r="BQ115" s="1"/>
      <c r="BR115" s="1"/>
    </row>
    <row r="116" spans="1:70" s="2" customFormat="1" x14ac:dyDescent="0.3">
      <c r="A116" s="46" t="e">
        <f>IF(B116="","",COUNTA($B$6:B116))-1</f>
        <v>#VALUE!</v>
      </c>
      <c r="B116" s="14"/>
      <c r="D116" s="4"/>
      <c r="E116" s="4"/>
      <c r="F116" s="4"/>
      <c r="G116" s="39"/>
      <c r="H116" s="4"/>
      <c r="I116" s="4" t="str">
        <f t="shared" si="30"/>
        <v/>
      </c>
      <c r="AR116" s="1"/>
      <c r="AS116" s="1"/>
      <c r="AT116" s="1"/>
      <c r="AU116" s="1"/>
      <c r="AV116" s="1"/>
      <c r="AW116" s="1"/>
      <c r="AX116" s="1"/>
      <c r="AY116" s="1"/>
      <c r="AZ116" s="1"/>
      <c r="BA116" s="1"/>
      <c r="BF116" s="1"/>
      <c r="BG116" s="1"/>
      <c r="BH116" s="1"/>
      <c r="BI116" s="1"/>
      <c r="BJ116" s="1"/>
      <c r="BK116" s="1"/>
      <c r="BL116" s="1"/>
      <c r="BM116" s="33"/>
      <c r="BN116" s="1"/>
      <c r="BO116" s="1"/>
      <c r="BP116" s="1"/>
      <c r="BQ116" s="1"/>
      <c r="BR116" s="1"/>
    </row>
    <row r="117" spans="1:70" s="2" customFormat="1" x14ac:dyDescent="0.3">
      <c r="A117" s="46" t="e">
        <f>IF(B117="","",COUNTA($B$6:B117))-1</f>
        <v>#VALUE!</v>
      </c>
      <c r="B117" s="14"/>
      <c r="D117" s="4"/>
      <c r="E117" s="4"/>
      <c r="F117" s="4"/>
      <c r="G117" s="39"/>
      <c r="H117" s="4"/>
      <c r="I117" s="4" t="str">
        <f t="shared" si="30"/>
        <v/>
      </c>
      <c r="AR117" s="1"/>
      <c r="AS117" s="1"/>
      <c r="AT117" s="1"/>
      <c r="AU117" s="1"/>
      <c r="AV117" s="1"/>
      <c r="AW117" s="1"/>
      <c r="AX117" s="1"/>
      <c r="AY117" s="1"/>
      <c r="AZ117" s="1"/>
      <c r="BA117" s="1"/>
      <c r="BF117" s="1"/>
      <c r="BG117" s="1"/>
      <c r="BH117" s="1"/>
      <c r="BI117" s="1"/>
      <c r="BJ117" s="1"/>
      <c r="BK117" s="1"/>
      <c r="BL117" s="1"/>
      <c r="BM117" s="33"/>
      <c r="BN117" s="1"/>
      <c r="BO117" s="1"/>
      <c r="BP117" s="1"/>
      <c r="BQ117" s="1"/>
      <c r="BR117" s="1"/>
    </row>
    <row r="118" spans="1:70" s="2" customFormat="1" x14ac:dyDescent="0.3">
      <c r="A118" s="46" t="e">
        <f>IF(B118="","",COUNTA($B$6:B118))-1</f>
        <v>#VALUE!</v>
      </c>
      <c r="B118" s="14"/>
      <c r="D118" s="4"/>
      <c r="E118" s="4"/>
      <c r="F118" s="4"/>
      <c r="G118" s="39"/>
      <c r="H118" s="4"/>
      <c r="I118" s="4" t="str">
        <f t="shared" si="30"/>
        <v/>
      </c>
      <c r="AR118" s="1"/>
      <c r="AS118" s="1"/>
      <c r="AT118" s="1"/>
      <c r="AU118" s="1"/>
      <c r="AV118" s="1"/>
      <c r="AW118" s="1"/>
      <c r="AX118" s="1"/>
      <c r="AY118" s="1"/>
      <c r="AZ118" s="1"/>
      <c r="BA118" s="1"/>
      <c r="BF118" s="1"/>
      <c r="BG118" s="1"/>
      <c r="BH118" s="1"/>
      <c r="BI118" s="1"/>
      <c r="BJ118" s="1"/>
      <c r="BK118" s="1"/>
      <c r="BL118" s="1"/>
      <c r="BM118" s="33"/>
      <c r="BN118" s="1"/>
      <c r="BO118" s="1"/>
      <c r="BP118" s="1"/>
      <c r="BQ118" s="1"/>
      <c r="BR118" s="1"/>
    </row>
    <row r="119" spans="1:70" s="2" customFormat="1" x14ac:dyDescent="0.3">
      <c r="A119" s="46" t="e">
        <f>IF(B119="","",COUNTA($B$6:B119))-1</f>
        <v>#VALUE!</v>
      </c>
      <c r="B119" s="14"/>
      <c r="D119" s="4"/>
      <c r="E119" s="4"/>
      <c r="F119" s="4"/>
      <c r="G119" s="39"/>
      <c r="H119" s="4"/>
      <c r="I119" s="4" t="str">
        <f t="shared" si="30"/>
        <v/>
      </c>
      <c r="AR119" s="1"/>
      <c r="AS119" s="1"/>
      <c r="AT119" s="1"/>
      <c r="AU119" s="1"/>
      <c r="AV119" s="1"/>
      <c r="AW119" s="1"/>
      <c r="AX119" s="1"/>
      <c r="AY119" s="1"/>
      <c r="AZ119" s="1"/>
      <c r="BA119" s="1"/>
      <c r="BF119" s="1"/>
      <c r="BG119" s="1"/>
      <c r="BH119" s="1"/>
      <c r="BI119" s="1"/>
      <c r="BJ119" s="1"/>
      <c r="BK119" s="1"/>
      <c r="BL119" s="1"/>
      <c r="BM119" s="33"/>
      <c r="BN119" s="1"/>
      <c r="BO119" s="1"/>
      <c r="BP119" s="1"/>
      <c r="BQ119" s="1"/>
      <c r="BR119" s="1"/>
    </row>
    <row r="120" spans="1:70" s="2" customFormat="1" x14ac:dyDescent="0.3">
      <c r="A120" s="46" t="e">
        <f>IF(B120="","",COUNTA($B$6:B120))-1</f>
        <v>#VALUE!</v>
      </c>
      <c r="B120" s="14"/>
      <c r="D120" s="4"/>
      <c r="E120" s="4"/>
      <c r="F120" s="4"/>
      <c r="G120" s="39"/>
      <c r="H120" s="4"/>
      <c r="I120" s="4" t="str">
        <f t="shared" si="30"/>
        <v/>
      </c>
      <c r="AR120" s="1"/>
      <c r="AS120" s="1"/>
      <c r="AT120" s="1"/>
      <c r="AU120" s="1"/>
      <c r="AV120" s="1"/>
      <c r="AW120" s="1"/>
      <c r="AX120" s="1"/>
      <c r="AY120" s="1"/>
      <c r="AZ120" s="1"/>
      <c r="BA120" s="1"/>
      <c r="BF120" s="1"/>
      <c r="BG120" s="1"/>
      <c r="BH120" s="1"/>
      <c r="BI120" s="1"/>
      <c r="BJ120" s="1"/>
      <c r="BK120" s="1"/>
      <c r="BL120" s="1"/>
      <c r="BM120" s="33"/>
      <c r="BN120" s="1"/>
      <c r="BO120" s="1"/>
      <c r="BP120" s="1"/>
      <c r="BQ120" s="1"/>
      <c r="BR120" s="1"/>
    </row>
    <row r="121" spans="1:70" s="2" customFormat="1" x14ac:dyDescent="0.3">
      <c r="A121" s="46" t="e">
        <f>IF(B121="","",COUNTA($B$6:B121))-1</f>
        <v>#VALUE!</v>
      </c>
      <c r="B121" s="14"/>
      <c r="D121" s="4"/>
      <c r="E121" s="4"/>
      <c r="F121" s="4"/>
      <c r="G121" s="39"/>
      <c r="H121" s="4"/>
      <c r="I121" s="4" t="str">
        <f t="shared" si="30"/>
        <v/>
      </c>
      <c r="AR121" s="1"/>
      <c r="AS121" s="1"/>
      <c r="AT121" s="1"/>
      <c r="AU121" s="1"/>
      <c r="AV121" s="1"/>
      <c r="AW121" s="1"/>
      <c r="AX121" s="1"/>
      <c r="AY121" s="1"/>
      <c r="AZ121" s="1"/>
      <c r="BA121" s="1"/>
      <c r="BF121" s="1"/>
      <c r="BG121" s="1"/>
      <c r="BH121" s="1"/>
      <c r="BI121" s="1"/>
      <c r="BJ121" s="1"/>
      <c r="BK121" s="1"/>
      <c r="BL121" s="1"/>
      <c r="BM121" s="33"/>
      <c r="BN121" s="1"/>
      <c r="BO121" s="1"/>
      <c r="BP121" s="1"/>
      <c r="BQ121" s="1"/>
      <c r="BR121" s="1"/>
    </row>
    <row r="122" spans="1:70" s="2" customFormat="1" x14ac:dyDescent="0.3">
      <c r="A122" s="46" t="e">
        <f>IF(B122="","",COUNTA($B$6:B122))-1</f>
        <v>#VALUE!</v>
      </c>
      <c r="B122" s="14"/>
      <c r="D122" s="4"/>
      <c r="E122" s="4"/>
      <c r="F122" s="4"/>
      <c r="G122" s="39"/>
      <c r="H122" s="4"/>
      <c r="I122" s="4" t="str">
        <f t="shared" si="30"/>
        <v/>
      </c>
      <c r="AR122" s="1"/>
      <c r="AS122" s="1"/>
      <c r="AT122" s="1"/>
      <c r="AU122" s="1"/>
      <c r="AV122" s="1"/>
      <c r="AW122" s="1"/>
      <c r="AX122" s="1"/>
      <c r="AY122" s="1"/>
      <c r="AZ122" s="1"/>
      <c r="BA122" s="1"/>
      <c r="BF122" s="1"/>
      <c r="BG122" s="1"/>
      <c r="BH122" s="1"/>
      <c r="BI122" s="1"/>
      <c r="BJ122" s="1"/>
      <c r="BK122" s="1"/>
      <c r="BL122" s="1"/>
      <c r="BM122" s="33"/>
      <c r="BN122" s="1"/>
      <c r="BO122" s="1"/>
      <c r="BP122" s="1"/>
      <c r="BQ122" s="1"/>
      <c r="BR122" s="1"/>
    </row>
    <row r="123" spans="1:70" s="2" customFormat="1" x14ac:dyDescent="0.3">
      <c r="A123" s="46" t="e">
        <f>IF(B123="","",COUNTA($B$6:B123))-1</f>
        <v>#VALUE!</v>
      </c>
      <c r="B123" s="14"/>
      <c r="D123" s="4"/>
      <c r="E123" s="4"/>
      <c r="F123" s="4"/>
      <c r="G123" s="39"/>
      <c r="H123" s="4"/>
      <c r="I123" s="4" t="str">
        <f t="shared" si="30"/>
        <v/>
      </c>
      <c r="AR123" s="1"/>
      <c r="AS123" s="1"/>
      <c r="AT123" s="1"/>
      <c r="AU123" s="1"/>
      <c r="AV123" s="1"/>
      <c r="AW123" s="1"/>
      <c r="AX123" s="1"/>
      <c r="AY123" s="1"/>
      <c r="AZ123" s="1"/>
      <c r="BA123" s="1"/>
      <c r="BF123" s="1"/>
      <c r="BG123" s="1"/>
      <c r="BH123" s="1"/>
      <c r="BI123" s="1"/>
      <c r="BJ123" s="1"/>
      <c r="BK123" s="1"/>
      <c r="BL123" s="1"/>
      <c r="BM123" s="33"/>
      <c r="BN123" s="1"/>
      <c r="BO123" s="1"/>
      <c r="BP123" s="1"/>
      <c r="BQ123" s="1"/>
      <c r="BR123" s="1"/>
    </row>
    <row r="124" spans="1:70" s="2" customFormat="1" x14ac:dyDescent="0.3">
      <c r="A124" s="46" t="e">
        <f>IF(B124="","",COUNTA($B$6:B124))-1</f>
        <v>#VALUE!</v>
      </c>
      <c r="B124" s="14"/>
      <c r="D124" s="4"/>
      <c r="E124" s="4"/>
      <c r="F124" s="4"/>
      <c r="G124" s="39"/>
      <c r="H124" s="4"/>
      <c r="I124" s="4" t="str">
        <f t="shared" si="30"/>
        <v/>
      </c>
      <c r="AR124" s="1"/>
      <c r="AS124" s="1"/>
      <c r="AT124" s="1"/>
      <c r="AU124" s="1"/>
      <c r="AV124" s="1"/>
      <c r="AW124" s="1"/>
      <c r="AX124" s="1"/>
      <c r="AY124" s="1"/>
      <c r="AZ124" s="1"/>
      <c r="BA124" s="1"/>
      <c r="BF124" s="1"/>
      <c r="BG124" s="1"/>
      <c r="BH124" s="1"/>
      <c r="BI124" s="1"/>
      <c r="BJ124" s="1"/>
      <c r="BK124" s="1"/>
      <c r="BL124" s="1"/>
      <c r="BM124" s="33"/>
      <c r="BN124" s="1"/>
      <c r="BO124" s="1"/>
      <c r="BP124" s="1"/>
      <c r="BQ124" s="1"/>
      <c r="BR124" s="1"/>
    </row>
    <row r="125" spans="1:70" s="2" customFormat="1" x14ac:dyDescent="0.3">
      <c r="A125" s="46" t="e">
        <f>IF(B125="","",COUNTA($B$6:B125))-1</f>
        <v>#VALUE!</v>
      </c>
      <c r="B125" s="14"/>
      <c r="D125" s="4"/>
      <c r="E125" s="4"/>
      <c r="F125" s="4"/>
      <c r="G125" s="39"/>
      <c r="H125" s="4"/>
      <c r="I125" s="4" t="str">
        <f t="shared" si="30"/>
        <v/>
      </c>
      <c r="AR125" s="1"/>
      <c r="AS125" s="1"/>
      <c r="AT125" s="1"/>
      <c r="AU125" s="1"/>
      <c r="AV125" s="1"/>
      <c r="AW125" s="1"/>
      <c r="AX125" s="1"/>
      <c r="AY125" s="1"/>
      <c r="AZ125" s="1"/>
      <c r="BA125" s="1"/>
      <c r="BF125" s="1"/>
      <c r="BG125" s="1"/>
      <c r="BH125" s="1"/>
      <c r="BI125" s="1"/>
      <c r="BJ125" s="1"/>
      <c r="BK125" s="1"/>
      <c r="BL125" s="1"/>
      <c r="BM125" s="33"/>
      <c r="BN125" s="1"/>
      <c r="BO125" s="1"/>
      <c r="BP125" s="1"/>
      <c r="BQ125" s="1"/>
      <c r="BR125" s="1"/>
    </row>
    <row r="126" spans="1:70" s="2" customFormat="1" x14ac:dyDescent="0.3">
      <c r="A126" s="46" t="e">
        <f>IF(B126="","",COUNTA($B$6:B126))-1</f>
        <v>#VALUE!</v>
      </c>
      <c r="B126" s="14"/>
      <c r="D126" s="4"/>
      <c r="E126" s="4"/>
      <c r="F126" s="4"/>
      <c r="G126" s="39"/>
      <c r="H126" s="4"/>
      <c r="I126" s="4" t="str">
        <f t="shared" si="30"/>
        <v/>
      </c>
      <c r="AR126" s="1"/>
      <c r="AS126" s="1"/>
      <c r="AT126" s="1"/>
      <c r="AU126" s="1"/>
      <c r="AV126" s="1"/>
      <c r="AW126" s="1"/>
      <c r="AX126" s="1"/>
      <c r="AY126" s="1"/>
      <c r="AZ126" s="1"/>
      <c r="BA126" s="1"/>
      <c r="BF126" s="1"/>
      <c r="BG126" s="1"/>
      <c r="BH126" s="1"/>
      <c r="BI126" s="1"/>
      <c r="BJ126" s="1"/>
      <c r="BK126" s="1"/>
      <c r="BL126" s="1"/>
      <c r="BM126" s="33"/>
      <c r="BN126" s="1"/>
      <c r="BO126" s="1"/>
      <c r="BP126" s="1"/>
      <c r="BQ126" s="1"/>
      <c r="BR126" s="1"/>
    </row>
    <row r="127" spans="1:70" s="2" customFormat="1" x14ac:dyDescent="0.3">
      <c r="A127" s="46" t="e">
        <f>IF(B127="","",COUNTA($B$6:B127))-1</f>
        <v>#VALUE!</v>
      </c>
      <c r="B127" s="14"/>
      <c r="D127" s="4"/>
      <c r="E127" s="4"/>
      <c r="F127" s="4"/>
      <c r="G127" s="39"/>
      <c r="H127" s="4"/>
      <c r="I127" s="4" t="str">
        <f t="shared" si="30"/>
        <v/>
      </c>
      <c r="AR127" s="1"/>
      <c r="AS127" s="1"/>
      <c r="AT127" s="1"/>
      <c r="AU127" s="1"/>
      <c r="AV127" s="1"/>
      <c r="AW127" s="1"/>
      <c r="AX127" s="1"/>
      <c r="AY127" s="1"/>
      <c r="AZ127" s="1"/>
      <c r="BA127" s="1"/>
      <c r="BF127" s="1"/>
      <c r="BG127" s="1"/>
      <c r="BH127" s="1"/>
      <c r="BI127" s="1"/>
      <c r="BJ127" s="1"/>
      <c r="BK127" s="1"/>
      <c r="BL127" s="1"/>
      <c r="BM127" s="33"/>
      <c r="BN127" s="1"/>
      <c r="BO127" s="1"/>
      <c r="BP127" s="1"/>
      <c r="BQ127" s="1"/>
      <c r="BR127" s="1"/>
    </row>
    <row r="128" spans="1:70" s="2" customFormat="1" x14ac:dyDescent="0.3">
      <c r="A128" s="46" t="e">
        <f>IF(B128="","",COUNTA($B$6:B128))-1</f>
        <v>#VALUE!</v>
      </c>
      <c r="B128" s="14"/>
      <c r="D128" s="4"/>
      <c r="E128" s="4"/>
      <c r="F128" s="4"/>
      <c r="G128" s="39"/>
      <c r="H128" s="4"/>
      <c r="I128" s="4" t="str">
        <f t="shared" si="30"/>
        <v/>
      </c>
      <c r="AR128" s="1"/>
      <c r="AS128" s="1"/>
      <c r="AT128" s="1"/>
      <c r="AU128" s="1"/>
      <c r="AV128" s="1"/>
      <c r="AW128" s="1"/>
      <c r="AX128" s="1"/>
      <c r="AY128" s="1"/>
      <c r="AZ128" s="1"/>
      <c r="BA128" s="1"/>
      <c r="BF128" s="1"/>
      <c r="BG128" s="1"/>
      <c r="BH128" s="1"/>
      <c r="BI128" s="1"/>
      <c r="BJ128" s="1"/>
      <c r="BK128" s="1"/>
      <c r="BL128" s="1"/>
      <c r="BM128" s="33"/>
      <c r="BN128" s="1"/>
      <c r="BO128" s="1"/>
      <c r="BP128" s="1"/>
      <c r="BQ128" s="1"/>
      <c r="BR128" s="1"/>
    </row>
    <row r="129" spans="1:70" s="2" customFormat="1" x14ac:dyDescent="0.3">
      <c r="A129" s="46" t="e">
        <f>IF(B129="","",COUNTA($B$6:B129))-1</f>
        <v>#VALUE!</v>
      </c>
      <c r="B129" s="14"/>
      <c r="D129" s="4"/>
      <c r="E129" s="4"/>
      <c r="F129" s="4"/>
      <c r="G129" s="39"/>
      <c r="H129" s="4"/>
      <c r="I129" s="4" t="str">
        <f t="shared" si="30"/>
        <v/>
      </c>
      <c r="AR129" s="1"/>
      <c r="AS129" s="1"/>
      <c r="AT129" s="1"/>
      <c r="AU129" s="1"/>
      <c r="AV129" s="1"/>
      <c r="AW129" s="1"/>
      <c r="AX129" s="1"/>
      <c r="AY129" s="1"/>
      <c r="AZ129" s="1"/>
      <c r="BA129" s="1"/>
      <c r="BF129" s="1"/>
      <c r="BG129" s="1"/>
      <c r="BH129" s="1"/>
      <c r="BI129" s="1"/>
      <c r="BJ129" s="1"/>
      <c r="BK129" s="1"/>
      <c r="BL129" s="1"/>
      <c r="BM129" s="33"/>
      <c r="BN129" s="1"/>
      <c r="BO129" s="1"/>
      <c r="BP129" s="1"/>
      <c r="BQ129" s="1"/>
      <c r="BR129" s="1"/>
    </row>
    <row r="130" spans="1:70" s="2" customFormat="1" x14ac:dyDescent="0.3">
      <c r="A130" s="46" t="e">
        <f>IF(B130="","",COUNTA($B$6:B130))-1</f>
        <v>#VALUE!</v>
      </c>
      <c r="B130" s="14"/>
      <c r="D130" s="4"/>
      <c r="E130" s="4"/>
      <c r="F130" s="4"/>
      <c r="G130" s="39"/>
      <c r="H130" s="4"/>
      <c r="I130" s="4" t="str">
        <f t="shared" ref="I130:I161" si="31">IF(F130="","",F130+G130)</f>
        <v/>
      </c>
      <c r="AR130" s="1"/>
      <c r="AS130" s="1"/>
      <c r="AT130" s="1"/>
      <c r="AU130" s="1"/>
      <c r="AV130" s="1"/>
      <c r="AW130" s="1"/>
      <c r="AX130" s="1"/>
      <c r="AY130" s="1"/>
      <c r="AZ130" s="1"/>
      <c r="BA130" s="1"/>
      <c r="BF130" s="1"/>
      <c r="BG130" s="1"/>
      <c r="BH130" s="1"/>
      <c r="BI130" s="1"/>
      <c r="BJ130" s="1"/>
      <c r="BK130" s="1"/>
      <c r="BL130" s="1"/>
      <c r="BM130" s="33"/>
      <c r="BN130" s="1"/>
      <c r="BO130" s="1"/>
      <c r="BP130" s="1"/>
      <c r="BQ130" s="1"/>
      <c r="BR130" s="1"/>
    </row>
    <row r="131" spans="1:70" s="2" customFormat="1" x14ac:dyDescent="0.3">
      <c r="A131" s="46" t="e">
        <f>IF(B131="","",COUNTA($B$6:B131))-1</f>
        <v>#VALUE!</v>
      </c>
      <c r="B131" s="14"/>
      <c r="D131" s="4"/>
      <c r="E131" s="4"/>
      <c r="F131" s="4"/>
      <c r="G131" s="39"/>
      <c r="H131" s="4"/>
      <c r="I131" s="4" t="str">
        <f t="shared" si="31"/>
        <v/>
      </c>
      <c r="AR131" s="1"/>
      <c r="AS131" s="1"/>
      <c r="AT131" s="1"/>
      <c r="AU131" s="1"/>
      <c r="AV131" s="1"/>
      <c r="AW131" s="1"/>
      <c r="AX131" s="1"/>
      <c r="AY131" s="1"/>
      <c r="AZ131" s="1"/>
      <c r="BA131" s="1"/>
      <c r="BF131" s="1"/>
      <c r="BG131" s="1"/>
      <c r="BH131" s="1"/>
      <c r="BI131" s="1"/>
      <c r="BJ131" s="1"/>
      <c r="BK131" s="1"/>
      <c r="BL131" s="1"/>
      <c r="BM131" s="33"/>
      <c r="BN131" s="1"/>
      <c r="BO131" s="1"/>
      <c r="BP131" s="1"/>
      <c r="BQ131" s="1"/>
      <c r="BR131" s="1"/>
    </row>
    <row r="132" spans="1:70" s="2" customFormat="1" x14ac:dyDescent="0.3">
      <c r="A132" s="46" t="e">
        <f>IF(B132="","",COUNTA($B$6:B132))-1</f>
        <v>#VALUE!</v>
      </c>
      <c r="B132" s="14"/>
      <c r="D132" s="4"/>
      <c r="E132" s="4"/>
      <c r="F132" s="4"/>
      <c r="G132" s="39"/>
      <c r="H132" s="4"/>
      <c r="I132" s="4" t="str">
        <f t="shared" si="31"/>
        <v/>
      </c>
      <c r="AR132" s="1"/>
      <c r="AS132" s="1"/>
      <c r="AT132" s="1"/>
      <c r="AU132" s="1"/>
      <c r="AV132" s="1"/>
      <c r="AW132" s="1"/>
      <c r="AX132" s="1"/>
      <c r="AY132" s="1"/>
      <c r="AZ132" s="1"/>
      <c r="BA132" s="1"/>
      <c r="BF132" s="1"/>
      <c r="BG132" s="1"/>
      <c r="BH132" s="1"/>
      <c r="BI132" s="1"/>
      <c r="BJ132" s="1"/>
      <c r="BK132" s="1"/>
      <c r="BL132" s="1"/>
      <c r="BM132" s="33"/>
      <c r="BN132" s="1"/>
      <c r="BO132" s="1"/>
      <c r="BP132" s="1"/>
      <c r="BQ132" s="1"/>
      <c r="BR132" s="1"/>
    </row>
    <row r="133" spans="1:70" s="2" customFormat="1" x14ac:dyDescent="0.3">
      <c r="A133" s="46" t="e">
        <f>IF(B133="","",COUNTA($B$6:B133))-1</f>
        <v>#VALUE!</v>
      </c>
      <c r="B133" s="14"/>
      <c r="D133" s="4"/>
      <c r="E133" s="4"/>
      <c r="F133" s="4"/>
      <c r="G133" s="39"/>
      <c r="H133" s="4"/>
      <c r="I133" s="4" t="str">
        <f t="shared" si="31"/>
        <v/>
      </c>
      <c r="AR133" s="1"/>
      <c r="AS133" s="1"/>
      <c r="AT133" s="1"/>
      <c r="AU133" s="1"/>
      <c r="AV133" s="1"/>
      <c r="AW133" s="1"/>
      <c r="AX133" s="1"/>
      <c r="AY133" s="1"/>
      <c r="AZ133" s="1"/>
      <c r="BA133" s="1"/>
      <c r="BF133" s="1"/>
      <c r="BG133" s="1"/>
      <c r="BH133" s="1"/>
      <c r="BI133" s="1"/>
      <c r="BJ133" s="1"/>
      <c r="BK133" s="1"/>
      <c r="BL133" s="1"/>
      <c r="BM133" s="33"/>
      <c r="BN133" s="1"/>
      <c r="BO133" s="1"/>
      <c r="BP133" s="1"/>
      <c r="BQ133" s="1"/>
      <c r="BR133" s="1"/>
    </row>
    <row r="134" spans="1:70" s="2" customFormat="1" x14ac:dyDescent="0.3">
      <c r="A134" s="46" t="e">
        <f>IF(B134="","",COUNTA($B$6:B134))-1</f>
        <v>#VALUE!</v>
      </c>
      <c r="B134" s="14"/>
      <c r="D134" s="4"/>
      <c r="E134" s="4"/>
      <c r="F134" s="4"/>
      <c r="G134" s="39"/>
      <c r="H134" s="4"/>
      <c r="I134" s="4" t="str">
        <f t="shared" si="31"/>
        <v/>
      </c>
      <c r="AR134" s="1"/>
      <c r="AS134" s="1"/>
      <c r="AT134" s="1"/>
      <c r="AU134" s="1"/>
      <c r="AV134" s="1"/>
      <c r="AW134" s="1"/>
      <c r="AX134" s="1"/>
      <c r="AY134" s="1"/>
      <c r="AZ134" s="1"/>
      <c r="BA134" s="1"/>
      <c r="BF134" s="1"/>
      <c r="BG134" s="1"/>
      <c r="BH134" s="1"/>
      <c r="BI134" s="1"/>
      <c r="BJ134" s="1"/>
      <c r="BK134" s="1"/>
      <c r="BL134" s="1"/>
      <c r="BM134" s="33"/>
      <c r="BN134" s="1"/>
      <c r="BO134" s="1"/>
      <c r="BP134" s="1"/>
      <c r="BQ134" s="1"/>
      <c r="BR134" s="1"/>
    </row>
    <row r="135" spans="1:70" s="2" customFormat="1" x14ac:dyDescent="0.3">
      <c r="A135" s="46" t="e">
        <f>IF(B135="","",COUNTA($B$6:B135))-1</f>
        <v>#VALUE!</v>
      </c>
      <c r="B135" s="14"/>
      <c r="D135" s="4"/>
      <c r="E135" s="4"/>
      <c r="F135" s="4"/>
      <c r="G135" s="39"/>
      <c r="H135" s="4"/>
      <c r="I135" s="4" t="str">
        <f t="shared" si="31"/>
        <v/>
      </c>
      <c r="AR135" s="1"/>
      <c r="AS135" s="1"/>
      <c r="AT135" s="1"/>
      <c r="AU135" s="1"/>
      <c r="AV135" s="1"/>
      <c r="AW135" s="1"/>
      <c r="AX135" s="1"/>
      <c r="AY135" s="1"/>
      <c r="AZ135" s="1"/>
      <c r="BA135" s="1"/>
      <c r="BF135" s="1"/>
      <c r="BG135" s="1"/>
      <c r="BH135" s="1"/>
      <c r="BI135" s="1"/>
      <c r="BJ135" s="1"/>
      <c r="BK135" s="1"/>
      <c r="BL135" s="1"/>
      <c r="BM135" s="33"/>
      <c r="BN135" s="1"/>
      <c r="BO135" s="1"/>
      <c r="BP135" s="1"/>
      <c r="BQ135" s="1"/>
      <c r="BR135" s="1"/>
    </row>
    <row r="136" spans="1:70" s="2" customFormat="1" x14ac:dyDescent="0.3">
      <c r="A136" s="46" t="e">
        <f>IF(B136="","",COUNTA($B$6:B136))-1</f>
        <v>#VALUE!</v>
      </c>
      <c r="B136" s="14"/>
      <c r="D136" s="4"/>
      <c r="E136" s="4"/>
      <c r="F136" s="4"/>
      <c r="G136" s="39"/>
      <c r="H136" s="4"/>
      <c r="I136" s="4" t="str">
        <f t="shared" si="31"/>
        <v/>
      </c>
      <c r="AR136" s="1"/>
      <c r="AS136" s="1"/>
      <c r="AT136" s="1"/>
      <c r="AU136" s="1"/>
      <c r="AV136" s="1"/>
      <c r="AW136" s="1"/>
      <c r="AX136" s="1"/>
      <c r="AY136" s="1"/>
      <c r="AZ136" s="1"/>
      <c r="BA136" s="1"/>
      <c r="BF136" s="1"/>
      <c r="BG136" s="1"/>
      <c r="BH136" s="1"/>
      <c r="BI136" s="1"/>
      <c r="BJ136" s="1"/>
      <c r="BK136" s="1"/>
      <c r="BL136" s="1"/>
      <c r="BM136" s="33"/>
      <c r="BN136" s="1"/>
      <c r="BO136" s="1"/>
      <c r="BP136" s="1"/>
      <c r="BQ136" s="1"/>
      <c r="BR136" s="1"/>
    </row>
    <row r="137" spans="1:70" s="2" customFormat="1" x14ac:dyDescent="0.3">
      <c r="A137" s="46" t="e">
        <f>IF(B137="","",COUNTA($B$6:B137))-1</f>
        <v>#VALUE!</v>
      </c>
      <c r="B137" s="14"/>
      <c r="D137" s="4"/>
      <c r="E137" s="4"/>
      <c r="F137" s="4"/>
      <c r="G137" s="39"/>
      <c r="H137" s="4"/>
      <c r="I137" s="4" t="str">
        <f t="shared" si="31"/>
        <v/>
      </c>
      <c r="AR137" s="1"/>
      <c r="AS137" s="1"/>
      <c r="AT137" s="1"/>
      <c r="AU137" s="1"/>
      <c r="AV137" s="1"/>
      <c r="AW137" s="1"/>
      <c r="AX137" s="1"/>
      <c r="AY137" s="1"/>
      <c r="AZ137" s="1"/>
      <c r="BA137" s="1"/>
      <c r="BF137" s="1"/>
      <c r="BG137" s="1"/>
      <c r="BH137" s="1"/>
      <c r="BI137" s="1"/>
      <c r="BJ137" s="1"/>
      <c r="BK137" s="1"/>
      <c r="BL137" s="1"/>
      <c r="BM137" s="33"/>
      <c r="BN137" s="1"/>
      <c r="BO137" s="1"/>
      <c r="BP137" s="1"/>
      <c r="BQ137" s="1"/>
      <c r="BR137" s="1"/>
    </row>
    <row r="138" spans="1:70" s="2" customFormat="1" x14ac:dyDescent="0.3">
      <c r="A138" s="46" t="e">
        <f>IF(B138="","",COUNTA($B$6:B138))-1</f>
        <v>#VALUE!</v>
      </c>
      <c r="B138" s="14"/>
      <c r="D138" s="4"/>
      <c r="E138" s="4"/>
      <c r="F138" s="4"/>
      <c r="G138" s="39"/>
      <c r="H138" s="4"/>
      <c r="I138" s="4" t="str">
        <f t="shared" si="31"/>
        <v/>
      </c>
      <c r="AR138" s="1"/>
      <c r="AS138" s="1"/>
      <c r="AT138" s="1"/>
      <c r="AU138" s="1"/>
      <c r="AV138" s="1"/>
      <c r="AW138" s="1"/>
      <c r="AX138" s="1"/>
      <c r="AY138" s="1"/>
      <c r="AZ138" s="1"/>
      <c r="BA138" s="1"/>
      <c r="BF138" s="1"/>
      <c r="BG138" s="1"/>
      <c r="BH138" s="1"/>
      <c r="BI138" s="1"/>
      <c r="BJ138" s="1"/>
      <c r="BK138" s="1"/>
      <c r="BL138" s="1"/>
      <c r="BM138" s="33"/>
      <c r="BN138" s="1"/>
      <c r="BO138" s="1"/>
      <c r="BP138" s="1"/>
      <c r="BQ138" s="1"/>
      <c r="BR138" s="1"/>
    </row>
    <row r="139" spans="1:70" s="2" customFormat="1" x14ac:dyDescent="0.3">
      <c r="A139" s="46" t="e">
        <f>IF(B139="","",COUNTA($B$6:B139))-1</f>
        <v>#VALUE!</v>
      </c>
      <c r="B139" s="14"/>
      <c r="D139" s="4"/>
      <c r="E139" s="4"/>
      <c r="F139" s="4"/>
      <c r="G139" s="39"/>
      <c r="H139" s="4"/>
      <c r="I139" s="4" t="str">
        <f t="shared" si="31"/>
        <v/>
      </c>
      <c r="AR139" s="1"/>
      <c r="AS139" s="1"/>
      <c r="AT139" s="1"/>
      <c r="AU139" s="1"/>
      <c r="AV139" s="1"/>
      <c r="AW139" s="1"/>
      <c r="AX139" s="1"/>
      <c r="AY139" s="1"/>
      <c r="AZ139" s="1"/>
      <c r="BA139" s="1"/>
      <c r="BF139" s="1"/>
      <c r="BG139" s="1"/>
      <c r="BH139" s="1"/>
      <c r="BI139" s="1"/>
      <c r="BJ139" s="1"/>
      <c r="BK139" s="1"/>
      <c r="BL139" s="1"/>
      <c r="BM139" s="33"/>
      <c r="BN139" s="1"/>
      <c r="BO139" s="1"/>
      <c r="BP139" s="1"/>
      <c r="BQ139" s="1"/>
      <c r="BR139" s="1"/>
    </row>
    <row r="140" spans="1:70" s="2" customFormat="1" x14ac:dyDescent="0.3">
      <c r="A140" s="46" t="e">
        <f>IF(B140="","",COUNTA($B$6:B140))-1</f>
        <v>#VALUE!</v>
      </c>
      <c r="B140" s="14"/>
      <c r="D140" s="4"/>
      <c r="E140" s="4"/>
      <c r="F140" s="4"/>
      <c r="G140" s="39"/>
      <c r="H140" s="4"/>
      <c r="I140" s="4" t="str">
        <f t="shared" si="31"/>
        <v/>
      </c>
      <c r="AR140" s="1"/>
      <c r="AS140" s="1"/>
      <c r="AT140" s="1"/>
      <c r="AU140" s="1"/>
      <c r="AV140" s="1"/>
      <c r="AW140" s="1"/>
      <c r="AX140" s="1"/>
      <c r="AY140" s="1"/>
      <c r="AZ140" s="1"/>
      <c r="BA140" s="1"/>
      <c r="BF140" s="1"/>
      <c r="BG140" s="1"/>
      <c r="BH140" s="1"/>
      <c r="BI140" s="1"/>
      <c r="BJ140" s="1"/>
      <c r="BK140" s="1"/>
      <c r="BL140" s="1"/>
      <c r="BM140" s="33"/>
      <c r="BN140" s="1"/>
      <c r="BO140" s="1"/>
      <c r="BP140" s="1"/>
      <c r="BQ140" s="1"/>
      <c r="BR140" s="1"/>
    </row>
    <row r="141" spans="1:70" s="2" customFormat="1" x14ac:dyDescent="0.3">
      <c r="A141" s="46" t="e">
        <f>IF(B141="","",COUNTA($B$6:B141))-1</f>
        <v>#VALUE!</v>
      </c>
      <c r="B141" s="14"/>
      <c r="D141" s="4"/>
      <c r="E141" s="4"/>
      <c r="F141" s="4"/>
      <c r="G141" s="39"/>
      <c r="H141" s="4"/>
      <c r="I141" s="4" t="str">
        <f t="shared" si="31"/>
        <v/>
      </c>
      <c r="AR141" s="1"/>
      <c r="AS141" s="1"/>
      <c r="AT141" s="1"/>
      <c r="AU141" s="1"/>
      <c r="AV141" s="1"/>
      <c r="AW141" s="1"/>
      <c r="AX141" s="1"/>
      <c r="AY141" s="1"/>
      <c r="AZ141" s="1"/>
      <c r="BA141" s="1"/>
      <c r="BF141" s="1"/>
      <c r="BG141" s="1"/>
      <c r="BH141" s="1"/>
      <c r="BI141" s="1"/>
      <c r="BJ141" s="1"/>
      <c r="BK141" s="1"/>
      <c r="BL141" s="1"/>
      <c r="BM141" s="33"/>
      <c r="BN141" s="1"/>
      <c r="BO141" s="1"/>
      <c r="BP141" s="1"/>
      <c r="BQ141" s="1"/>
      <c r="BR141" s="1"/>
    </row>
    <row r="142" spans="1:70" s="2" customFormat="1" x14ac:dyDescent="0.3">
      <c r="A142" s="46" t="e">
        <f>IF(B142="","",COUNTA($B$6:B142))-1</f>
        <v>#VALUE!</v>
      </c>
      <c r="B142" s="14"/>
      <c r="D142" s="4"/>
      <c r="E142" s="4"/>
      <c r="F142" s="4"/>
      <c r="G142" s="39"/>
      <c r="H142" s="4"/>
      <c r="I142" s="4" t="str">
        <f t="shared" si="31"/>
        <v/>
      </c>
      <c r="AR142" s="1"/>
      <c r="AS142" s="1"/>
      <c r="AT142" s="1"/>
      <c r="AU142" s="1"/>
      <c r="AV142" s="1"/>
      <c r="AW142" s="1"/>
      <c r="AX142" s="1"/>
      <c r="AY142" s="1"/>
      <c r="AZ142" s="1"/>
      <c r="BA142" s="1"/>
      <c r="BF142" s="1"/>
      <c r="BG142" s="1"/>
      <c r="BH142" s="1"/>
      <c r="BI142" s="1"/>
      <c r="BJ142" s="1"/>
      <c r="BK142" s="1"/>
      <c r="BL142" s="1"/>
      <c r="BM142" s="33"/>
      <c r="BN142" s="1"/>
      <c r="BO142" s="1"/>
      <c r="BP142" s="1"/>
      <c r="BQ142" s="1"/>
      <c r="BR142" s="1"/>
    </row>
    <row r="143" spans="1:70" s="2" customFormat="1" x14ac:dyDescent="0.3">
      <c r="A143" s="46" t="e">
        <f>IF(B143="","",COUNTA($B$6:B143))-1</f>
        <v>#VALUE!</v>
      </c>
      <c r="B143" s="14"/>
      <c r="D143" s="4"/>
      <c r="E143" s="4"/>
      <c r="F143" s="4"/>
      <c r="G143" s="39"/>
      <c r="H143" s="4"/>
      <c r="I143" s="4" t="str">
        <f t="shared" si="31"/>
        <v/>
      </c>
      <c r="AR143" s="1"/>
      <c r="AS143" s="1"/>
      <c r="AT143" s="1"/>
      <c r="AU143" s="1"/>
      <c r="AV143" s="1"/>
      <c r="AW143" s="1"/>
      <c r="AX143" s="1"/>
      <c r="AY143" s="1"/>
      <c r="AZ143" s="1"/>
      <c r="BA143" s="1"/>
      <c r="BF143" s="1"/>
      <c r="BG143" s="1"/>
      <c r="BH143" s="1"/>
      <c r="BI143" s="1"/>
      <c r="BJ143" s="1"/>
      <c r="BK143" s="1"/>
      <c r="BL143" s="1"/>
      <c r="BM143" s="33"/>
      <c r="BN143" s="1"/>
      <c r="BO143" s="1"/>
      <c r="BP143" s="1"/>
      <c r="BQ143" s="1"/>
      <c r="BR143" s="1"/>
    </row>
    <row r="144" spans="1:70" s="2" customFormat="1" x14ac:dyDescent="0.3">
      <c r="A144" s="46" t="e">
        <f>IF(B144="","",COUNTA($B$6:B144))-1</f>
        <v>#VALUE!</v>
      </c>
      <c r="B144" s="14"/>
      <c r="D144" s="4"/>
      <c r="E144" s="4"/>
      <c r="F144" s="4"/>
      <c r="G144" s="39"/>
      <c r="H144" s="4"/>
      <c r="I144" s="4" t="str">
        <f t="shared" si="31"/>
        <v/>
      </c>
      <c r="AR144" s="1"/>
      <c r="AS144" s="1"/>
      <c r="AT144" s="1"/>
      <c r="AU144" s="1"/>
      <c r="AV144" s="1"/>
      <c r="AW144" s="1"/>
      <c r="AX144" s="1"/>
      <c r="AY144" s="1"/>
      <c r="AZ144" s="1"/>
      <c r="BA144" s="1"/>
      <c r="BF144" s="1"/>
      <c r="BG144" s="1"/>
      <c r="BH144" s="1"/>
      <c r="BI144" s="1"/>
      <c r="BJ144" s="1"/>
      <c r="BK144" s="1"/>
      <c r="BL144" s="1"/>
      <c r="BM144" s="33"/>
      <c r="BN144" s="1"/>
      <c r="BO144" s="1"/>
      <c r="BP144" s="1"/>
      <c r="BQ144" s="1"/>
      <c r="BR144" s="1"/>
    </row>
    <row r="145" spans="1:70" s="2" customFormat="1" x14ac:dyDescent="0.3">
      <c r="A145" s="46" t="e">
        <f>IF(B145="","",COUNTA($B$6:B145))-1</f>
        <v>#VALUE!</v>
      </c>
      <c r="B145" s="14"/>
      <c r="D145" s="4"/>
      <c r="E145" s="4"/>
      <c r="F145" s="4"/>
      <c r="G145" s="39"/>
      <c r="H145" s="4"/>
      <c r="I145" s="4" t="str">
        <f t="shared" si="31"/>
        <v/>
      </c>
      <c r="AR145" s="1"/>
      <c r="AS145" s="1"/>
      <c r="AT145" s="1"/>
      <c r="AU145" s="1"/>
      <c r="AV145" s="1"/>
      <c r="AW145" s="1"/>
      <c r="AX145" s="1"/>
      <c r="AY145" s="1"/>
      <c r="AZ145" s="1"/>
      <c r="BA145" s="1"/>
      <c r="BF145" s="1"/>
      <c r="BG145" s="1"/>
      <c r="BH145" s="1"/>
      <c r="BI145" s="1"/>
      <c r="BJ145" s="1"/>
      <c r="BK145" s="1"/>
      <c r="BL145" s="1"/>
      <c r="BM145" s="33"/>
      <c r="BN145" s="1"/>
      <c r="BO145" s="1"/>
      <c r="BP145" s="1"/>
      <c r="BQ145" s="1"/>
      <c r="BR145" s="1"/>
    </row>
    <row r="146" spans="1:70" s="2" customFormat="1" x14ac:dyDescent="0.3">
      <c r="A146" s="46" t="e">
        <f>IF(B146="","",COUNTA($B$6:B146))-1</f>
        <v>#VALUE!</v>
      </c>
      <c r="B146" s="14"/>
      <c r="D146" s="4"/>
      <c r="E146" s="4"/>
      <c r="F146" s="4"/>
      <c r="G146" s="39"/>
      <c r="H146" s="4"/>
      <c r="I146" s="4" t="str">
        <f t="shared" si="31"/>
        <v/>
      </c>
      <c r="AR146" s="1"/>
      <c r="AS146" s="1"/>
      <c r="AT146" s="1"/>
      <c r="AU146" s="1"/>
      <c r="AV146" s="1"/>
      <c r="AW146" s="1"/>
      <c r="AX146" s="1"/>
      <c r="AY146" s="1"/>
      <c r="AZ146" s="1"/>
      <c r="BA146" s="1"/>
      <c r="BF146" s="1"/>
      <c r="BG146" s="1"/>
      <c r="BH146" s="1"/>
      <c r="BI146" s="1"/>
      <c r="BJ146" s="1"/>
      <c r="BK146" s="1"/>
      <c r="BL146" s="1"/>
      <c r="BM146" s="33"/>
      <c r="BN146" s="1"/>
      <c r="BO146" s="1"/>
      <c r="BP146" s="1"/>
      <c r="BQ146" s="1"/>
      <c r="BR146" s="1"/>
    </row>
    <row r="147" spans="1:70" s="2" customFormat="1" x14ac:dyDescent="0.3">
      <c r="A147" s="46" t="e">
        <f>IF(B147="","",COUNTA($B$6:B147))-1</f>
        <v>#VALUE!</v>
      </c>
      <c r="B147" s="14"/>
      <c r="D147" s="4"/>
      <c r="E147" s="4"/>
      <c r="F147" s="4"/>
      <c r="G147" s="39"/>
      <c r="H147" s="4"/>
      <c r="I147" s="4" t="str">
        <f t="shared" si="31"/>
        <v/>
      </c>
      <c r="AR147" s="1"/>
      <c r="AS147" s="1"/>
      <c r="AT147" s="1"/>
      <c r="AU147" s="1"/>
      <c r="AV147" s="1"/>
      <c r="AW147" s="1"/>
      <c r="AX147" s="1"/>
      <c r="AY147" s="1"/>
      <c r="AZ147" s="1"/>
      <c r="BA147" s="1"/>
      <c r="BF147" s="1"/>
      <c r="BG147" s="1"/>
      <c r="BH147" s="1"/>
      <c r="BI147" s="1"/>
      <c r="BJ147" s="1"/>
      <c r="BK147" s="1"/>
      <c r="BL147" s="1"/>
      <c r="BM147" s="33"/>
      <c r="BN147" s="1"/>
      <c r="BO147" s="1"/>
      <c r="BP147" s="1"/>
      <c r="BQ147" s="1"/>
      <c r="BR147" s="1"/>
    </row>
    <row r="148" spans="1:70" s="2" customFormat="1" x14ac:dyDescent="0.3">
      <c r="A148" s="46" t="e">
        <f>IF(B148="","",COUNTA($B$6:B148))-1</f>
        <v>#VALUE!</v>
      </c>
      <c r="B148" s="14"/>
      <c r="D148" s="4"/>
      <c r="E148" s="4"/>
      <c r="F148" s="4"/>
      <c r="G148" s="39"/>
      <c r="H148" s="4"/>
      <c r="I148" s="4" t="str">
        <f t="shared" si="31"/>
        <v/>
      </c>
      <c r="AR148" s="1"/>
      <c r="AS148" s="1"/>
      <c r="AT148" s="1"/>
      <c r="AU148" s="1"/>
      <c r="AV148" s="1"/>
      <c r="AW148" s="1"/>
      <c r="AX148" s="1"/>
      <c r="AY148" s="1"/>
      <c r="AZ148" s="1"/>
      <c r="BA148" s="1"/>
      <c r="BF148" s="1"/>
      <c r="BG148" s="1"/>
      <c r="BH148" s="1"/>
      <c r="BI148" s="1"/>
      <c r="BJ148" s="1"/>
      <c r="BK148" s="1"/>
      <c r="BL148" s="1"/>
      <c r="BM148" s="33"/>
      <c r="BN148" s="1"/>
      <c r="BO148" s="1"/>
      <c r="BP148" s="1"/>
      <c r="BQ148" s="1"/>
      <c r="BR148" s="1"/>
    </row>
    <row r="149" spans="1:70" s="2" customFormat="1" x14ac:dyDescent="0.3">
      <c r="A149" s="46" t="e">
        <f>IF(B149="","",COUNTA($B$6:B149))-1</f>
        <v>#VALUE!</v>
      </c>
      <c r="B149" s="14"/>
      <c r="D149" s="4"/>
      <c r="E149" s="4"/>
      <c r="F149" s="4"/>
      <c r="G149" s="39"/>
      <c r="H149" s="4"/>
      <c r="I149" s="4" t="str">
        <f t="shared" si="31"/>
        <v/>
      </c>
      <c r="AR149" s="1"/>
      <c r="AS149" s="1"/>
      <c r="AT149" s="1"/>
      <c r="AU149" s="1"/>
      <c r="AV149" s="1"/>
      <c r="AW149" s="1"/>
      <c r="AX149" s="1"/>
      <c r="AY149" s="1"/>
      <c r="AZ149" s="1"/>
      <c r="BA149" s="1"/>
      <c r="BF149" s="1"/>
      <c r="BG149" s="1"/>
      <c r="BH149" s="1"/>
      <c r="BI149" s="1"/>
      <c r="BJ149" s="1"/>
      <c r="BK149" s="1"/>
      <c r="BL149" s="1"/>
      <c r="BM149" s="33"/>
      <c r="BN149" s="1"/>
      <c r="BO149" s="1"/>
      <c r="BP149" s="1"/>
      <c r="BQ149" s="1"/>
      <c r="BR149" s="1"/>
    </row>
    <row r="150" spans="1:70" s="2" customFormat="1" x14ac:dyDescent="0.3">
      <c r="A150" s="46" t="e">
        <f>IF(B150="","",COUNTA($B$6:B150))-1</f>
        <v>#VALUE!</v>
      </c>
      <c r="B150" s="14"/>
      <c r="D150" s="4"/>
      <c r="E150" s="4"/>
      <c r="F150" s="4"/>
      <c r="G150" s="39"/>
      <c r="H150" s="4"/>
      <c r="I150" s="4" t="str">
        <f t="shared" si="31"/>
        <v/>
      </c>
      <c r="AR150" s="1"/>
      <c r="AS150" s="1"/>
      <c r="AT150" s="1"/>
      <c r="AU150" s="1"/>
      <c r="AV150" s="1"/>
      <c r="AW150" s="1"/>
      <c r="AX150" s="1"/>
      <c r="AY150" s="1"/>
      <c r="AZ150" s="1"/>
      <c r="BA150" s="1"/>
      <c r="BF150" s="1"/>
      <c r="BG150" s="1"/>
      <c r="BH150" s="1"/>
      <c r="BI150" s="1"/>
      <c r="BJ150" s="1"/>
      <c r="BK150" s="1"/>
      <c r="BL150" s="1"/>
      <c r="BM150" s="33"/>
      <c r="BN150" s="1"/>
      <c r="BO150" s="1"/>
      <c r="BP150" s="1"/>
      <c r="BQ150" s="1"/>
      <c r="BR150" s="1"/>
    </row>
    <row r="151" spans="1:70" s="2" customFormat="1" x14ac:dyDescent="0.3">
      <c r="A151" s="46" t="e">
        <f>IF(B151="","",COUNTA($B$6:B151))-1</f>
        <v>#VALUE!</v>
      </c>
      <c r="B151" s="14"/>
      <c r="D151" s="4"/>
      <c r="E151" s="4"/>
      <c r="F151" s="4"/>
      <c r="G151" s="39"/>
      <c r="H151" s="4"/>
      <c r="I151" s="4" t="str">
        <f t="shared" si="31"/>
        <v/>
      </c>
      <c r="AR151" s="1"/>
      <c r="AS151" s="1"/>
      <c r="AT151" s="1"/>
      <c r="AU151" s="1"/>
      <c r="AV151" s="1"/>
      <c r="AW151" s="1"/>
      <c r="AX151" s="1"/>
      <c r="AY151" s="1"/>
      <c r="AZ151" s="1"/>
      <c r="BA151" s="1"/>
      <c r="BF151" s="1"/>
      <c r="BG151" s="1"/>
      <c r="BH151" s="1"/>
      <c r="BI151" s="1"/>
      <c r="BJ151" s="1"/>
      <c r="BK151" s="1"/>
      <c r="BL151" s="1"/>
      <c r="BM151" s="33"/>
      <c r="BN151" s="1"/>
      <c r="BO151" s="1"/>
      <c r="BP151" s="1"/>
      <c r="BQ151" s="1"/>
      <c r="BR151" s="1"/>
    </row>
    <row r="152" spans="1:70" s="2" customFormat="1" x14ac:dyDescent="0.3">
      <c r="A152" s="46" t="e">
        <f>IF(B152="","",COUNTA($B$6:B152))-1</f>
        <v>#VALUE!</v>
      </c>
      <c r="B152" s="14"/>
      <c r="D152" s="4"/>
      <c r="E152" s="4"/>
      <c r="F152" s="4"/>
      <c r="G152" s="39"/>
      <c r="H152" s="4"/>
      <c r="I152" s="4" t="str">
        <f t="shared" si="31"/>
        <v/>
      </c>
      <c r="AR152" s="1"/>
      <c r="AS152" s="1"/>
      <c r="AT152" s="1"/>
      <c r="AU152" s="1"/>
      <c r="AV152" s="1"/>
      <c r="AW152" s="1"/>
      <c r="AX152" s="1"/>
      <c r="AY152" s="1"/>
      <c r="AZ152" s="1"/>
      <c r="BA152" s="1"/>
      <c r="BF152" s="1"/>
      <c r="BG152" s="1"/>
      <c r="BH152" s="1"/>
      <c r="BI152" s="1"/>
      <c r="BJ152" s="1"/>
      <c r="BK152" s="1"/>
      <c r="BL152" s="1"/>
      <c r="BM152" s="33"/>
      <c r="BN152" s="1"/>
      <c r="BO152" s="1"/>
      <c r="BP152" s="1"/>
      <c r="BQ152" s="1"/>
      <c r="BR152" s="1"/>
    </row>
    <row r="153" spans="1:70" s="2" customFormat="1" x14ac:dyDescent="0.3">
      <c r="A153" s="46" t="e">
        <f>IF(B153="","",COUNTA($B$6:B153))-1</f>
        <v>#VALUE!</v>
      </c>
      <c r="B153" s="14"/>
      <c r="D153" s="4"/>
      <c r="E153" s="4"/>
      <c r="F153" s="4"/>
      <c r="G153" s="39"/>
      <c r="H153" s="4"/>
      <c r="I153" s="4" t="str">
        <f t="shared" si="31"/>
        <v/>
      </c>
      <c r="AR153" s="1"/>
      <c r="AS153" s="1"/>
      <c r="AT153" s="1"/>
      <c r="AU153" s="1"/>
      <c r="AV153" s="1"/>
      <c r="AW153" s="1"/>
      <c r="AX153" s="1"/>
      <c r="AY153" s="1"/>
      <c r="AZ153" s="1"/>
      <c r="BA153" s="1"/>
      <c r="BF153" s="1"/>
      <c r="BG153" s="1"/>
      <c r="BH153" s="1"/>
      <c r="BI153" s="1"/>
      <c r="BJ153" s="1"/>
      <c r="BK153" s="1"/>
      <c r="BL153" s="1"/>
      <c r="BM153" s="33"/>
      <c r="BN153" s="1"/>
      <c r="BO153" s="1"/>
      <c r="BP153" s="1"/>
      <c r="BQ153" s="1"/>
      <c r="BR153" s="1"/>
    </row>
    <row r="154" spans="1:70" s="2" customFormat="1" x14ac:dyDescent="0.3">
      <c r="A154" s="46" t="e">
        <f>IF(B154="","",COUNTA($B$6:B154))-1</f>
        <v>#VALUE!</v>
      </c>
      <c r="B154" s="14"/>
      <c r="D154" s="4"/>
      <c r="E154" s="4"/>
      <c r="F154" s="4"/>
      <c r="G154" s="39"/>
      <c r="H154" s="4"/>
      <c r="I154" s="4" t="str">
        <f t="shared" si="31"/>
        <v/>
      </c>
      <c r="AR154" s="1"/>
      <c r="AS154" s="1"/>
      <c r="AT154" s="1"/>
      <c r="AU154" s="1"/>
      <c r="AV154" s="1"/>
      <c r="AW154" s="1"/>
      <c r="AX154" s="1"/>
      <c r="AY154" s="1"/>
      <c r="AZ154" s="1"/>
      <c r="BA154" s="1"/>
      <c r="BF154" s="1"/>
      <c r="BG154" s="1"/>
      <c r="BH154" s="1"/>
      <c r="BI154" s="1"/>
      <c r="BJ154" s="1"/>
      <c r="BK154" s="1"/>
      <c r="BL154" s="1"/>
      <c r="BM154" s="33"/>
      <c r="BN154" s="1"/>
      <c r="BO154" s="1"/>
      <c r="BP154" s="1"/>
      <c r="BQ154" s="1"/>
      <c r="BR154" s="1"/>
    </row>
    <row r="155" spans="1:70" s="2" customFormat="1" x14ac:dyDescent="0.3">
      <c r="A155" s="46" t="e">
        <f>IF(B155="","",COUNTA($B$6:B155))-1</f>
        <v>#VALUE!</v>
      </c>
      <c r="B155" s="14"/>
      <c r="D155" s="4"/>
      <c r="E155" s="4"/>
      <c r="F155" s="4"/>
      <c r="G155" s="39"/>
      <c r="H155" s="4"/>
      <c r="I155" s="4" t="str">
        <f t="shared" si="31"/>
        <v/>
      </c>
      <c r="AR155" s="1"/>
      <c r="AS155" s="1"/>
      <c r="AT155" s="1"/>
      <c r="AU155" s="1"/>
      <c r="AV155" s="1"/>
      <c r="AW155" s="1"/>
      <c r="AX155" s="1"/>
      <c r="AY155" s="1"/>
      <c r="AZ155" s="1"/>
      <c r="BA155" s="1"/>
      <c r="BF155" s="1"/>
      <c r="BG155" s="1"/>
      <c r="BH155" s="1"/>
      <c r="BI155" s="1"/>
      <c r="BJ155" s="1"/>
      <c r="BK155" s="1"/>
      <c r="BL155" s="1"/>
      <c r="BM155" s="33"/>
      <c r="BN155" s="1"/>
      <c r="BO155" s="1"/>
      <c r="BP155" s="1"/>
      <c r="BQ155" s="1"/>
      <c r="BR155" s="1"/>
    </row>
    <row r="156" spans="1:70" s="2" customFormat="1" x14ac:dyDescent="0.3">
      <c r="B156" s="14"/>
      <c r="D156" s="4"/>
      <c r="E156" s="4"/>
      <c r="F156" s="4"/>
      <c r="G156" s="39"/>
      <c r="H156" s="4"/>
      <c r="I156" s="4" t="str">
        <f t="shared" si="31"/>
        <v/>
      </c>
      <c r="AR156" s="1"/>
      <c r="AS156" s="1"/>
      <c r="AT156" s="1"/>
      <c r="AU156" s="1"/>
      <c r="AV156" s="1"/>
      <c r="AW156" s="1"/>
      <c r="AX156" s="1"/>
      <c r="AY156" s="1"/>
      <c r="AZ156" s="1"/>
      <c r="BA156" s="1"/>
      <c r="BF156" s="1"/>
      <c r="BG156" s="1"/>
      <c r="BH156" s="1"/>
      <c r="BI156" s="1"/>
      <c r="BJ156" s="1"/>
      <c r="BK156" s="1"/>
      <c r="BL156" s="1"/>
      <c r="BM156" s="33"/>
      <c r="BN156" s="1"/>
      <c r="BO156" s="1"/>
      <c r="BP156" s="1"/>
      <c r="BQ156" s="1"/>
      <c r="BR156" s="1"/>
    </row>
    <row r="157" spans="1:70" s="2" customFormat="1" x14ac:dyDescent="0.3">
      <c r="B157" s="14"/>
      <c r="D157" s="4"/>
      <c r="E157" s="4"/>
      <c r="F157" s="4"/>
      <c r="G157" s="39"/>
      <c r="H157" s="4"/>
      <c r="I157" s="4" t="str">
        <f t="shared" si="31"/>
        <v/>
      </c>
      <c r="AR157" s="1"/>
      <c r="AS157" s="1"/>
      <c r="AT157" s="1"/>
      <c r="AU157" s="1"/>
      <c r="AV157" s="1"/>
      <c r="AW157" s="1"/>
      <c r="AX157" s="1"/>
      <c r="AY157" s="1"/>
      <c r="AZ157" s="1"/>
      <c r="BA157" s="1"/>
      <c r="BF157" s="1"/>
      <c r="BG157" s="1"/>
      <c r="BH157" s="1"/>
      <c r="BI157" s="1"/>
      <c r="BJ157" s="1"/>
      <c r="BK157" s="1"/>
      <c r="BL157" s="1"/>
      <c r="BM157" s="33"/>
      <c r="BN157" s="1"/>
      <c r="BO157" s="1"/>
      <c r="BP157" s="1"/>
      <c r="BQ157" s="1"/>
      <c r="BR157" s="1"/>
    </row>
    <row r="158" spans="1:70" s="2" customFormat="1" x14ac:dyDescent="0.3">
      <c r="B158" s="14"/>
      <c r="D158" s="4"/>
      <c r="E158" s="4"/>
      <c r="F158" s="4"/>
      <c r="G158" s="39"/>
      <c r="H158" s="4"/>
      <c r="I158" s="4" t="str">
        <f t="shared" si="31"/>
        <v/>
      </c>
      <c r="AR158" s="1"/>
      <c r="AS158" s="1"/>
      <c r="AT158" s="1"/>
      <c r="AU158" s="1"/>
      <c r="AV158" s="1"/>
      <c r="AW158" s="1"/>
      <c r="AX158" s="1"/>
      <c r="AY158" s="1"/>
      <c r="AZ158" s="1"/>
      <c r="BA158" s="1"/>
      <c r="BF158" s="1"/>
      <c r="BG158" s="1"/>
      <c r="BH158" s="1"/>
      <c r="BI158" s="1"/>
      <c r="BJ158" s="1"/>
      <c r="BK158" s="1"/>
      <c r="BL158" s="1"/>
      <c r="BM158" s="33"/>
      <c r="BN158" s="1"/>
      <c r="BO158" s="1"/>
      <c r="BP158" s="1"/>
      <c r="BQ158" s="1"/>
      <c r="BR158" s="1"/>
    </row>
    <row r="159" spans="1:70" s="2" customFormat="1" x14ac:dyDescent="0.3">
      <c r="B159" s="14"/>
      <c r="D159" s="4"/>
      <c r="E159" s="4"/>
      <c r="F159" s="4"/>
      <c r="G159" s="39"/>
      <c r="H159" s="4"/>
      <c r="I159" s="4" t="str">
        <f t="shared" si="31"/>
        <v/>
      </c>
      <c r="AR159" s="1"/>
      <c r="AS159" s="1"/>
      <c r="AT159" s="1"/>
      <c r="AU159" s="1"/>
      <c r="AV159" s="1"/>
      <c r="AW159" s="1"/>
      <c r="AX159" s="1"/>
      <c r="AY159" s="1"/>
      <c r="AZ159" s="1"/>
      <c r="BA159" s="1"/>
      <c r="BF159" s="1"/>
      <c r="BG159" s="1"/>
      <c r="BH159" s="1"/>
      <c r="BI159" s="1"/>
      <c r="BJ159" s="1"/>
      <c r="BK159" s="1"/>
      <c r="BL159" s="1"/>
      <c r="BM159" s="33"/>
      <c r="BN159" s="1"/>
      <c r="BO159" s="1"/>
      <c r="BP159" s="1"/>
      <c r="BQ159" s="1"/>
      <c r="BR159" s="1"/>
    </row>
    <row r="160" spans="1:70" s="2" customFormat="1" x14ac:dyDescent="0.3">
      <c r="B160" s="14"/>
      <c r="D160" s="4"/>
      <c r="E160" s="4"/>
      <c r="F160" s="4"/>
      <c r="G160" s="39"/>
      <c r="H160" s="4"/>
      <c r="I160" s="4" t="str">
        <f t="shared" si="31"/>
        <v/>
      </c>
      <c r="AR160" s="1"/>
      <c r="AS160" s="1"/>
      <c r="AT160" s="1"/>
      <c r="AU160" s="1"/>
      <c r="AV160" s="1"/>
      <c r="AW160" s="1"/>
      <c r="AX160" s="1"/>
      <c r="AY160" s="1"/>
      <c r="AZ160" s="1"/>
      <c r="BA160" s="1"/>
      <c r="BF160" s="1"/>
      <c r="BG160" s="1"/>
      <c r="BH160" s="1"/>
      <c r="BI160" s="1"/>
      <c r="BJ160" s="1"/>
      <c r="BK160" s="1"/>
      <c r="BL160" s="1"/>
      <c r="BM160" s="33"/>
      <c r="BN160" s="1"/>
      <c r="BO160" s="1"/>
      <c r="BP160" s="1"/>
      <c r="BQ160" s="1"/>
      <c r="BR160" s="1"/>
    </row>
    <row r="161" spans="2:70" s="2" customFormat="1" x14ac:dyDescent="0.3">
      <c r="B161" s="14"/>
      <c r="D161" s="4"/>
      <c r="E161" s="4"/>
      <c r="F161" s="4"/>
      <c r="G161" s="39"/>
      <c r="H161" s="4"/>
      <c r="I161" s="4" t="str">
        <f t="shared" si="31"/>
        <v/>
      </c>
      <c r="AR161" s="1"/>
      <c r="AS161" s="1"/>
      <c r="AT161" s="1"/>
      <c r="AU161" s="1"/>
      <c r="AV161" s="1"/>
      <c r="AW161" s="1"/>
      <c r="AX161" s="1"/>
      <c r="AY161" s="1"/>
      <c r="AZ161" s="1"/>
      <c r="BA161" s="1"/>
      <c r="BF161" s="1"/>
      <c r="BG161" s="1"/>
      <c r="BH161" s="1"/>
      <c r="BI161" s="1"/>
      <c r="BJ161" s="1"/>
      <c r="BK161" s="1"/>
      <c r="BL161" s="1"/>
      <c r="BM161" s="33"/>
      <c r="BN161" s="1"/>
      <c r="BO161" s="1"/>
      <c r="BP161" s="1"/>
      <c r="BQ161" s="1"/>
      <c r="BR161" s="1"/>
    </row>
    <row r="162" spans="2:70" s="2" customFormat="1" x14ac:dyDescent="0.3">
      <c r="B162" s="14"/>
      <c r="D162" s="4"/>
      <c r="E162" s="4"/>
      <c r="F162" s="4"/>
      <c r="G162" s="39"/>
      <c r="H162" s="4"/>
      <c r="I162" s="4" t="str">
        <f t="shared" ref="I162:I187" si="32">IF(F162="","",F162+G162)</f>
        <v/>
      </c>
      <c r="AR162" s="1"/>
      <c r="AS162" s="1"/>
      <c r="AT162" s="1"/>
      <c r="AU162" s="1"/>
      <c r="AV162" s="1"/>
      <c r="AW162" s="1"/>
      <c r="AX162" s="1"/>
      <c r="AY162" s="1"/>
      <c r="AZ162" s="1"/>
      <c r="BA162" s="1"/>
      <c r="BF162" s="1"/>
      <c r="BG162" s="1"/>
      <c r="BH162" s="1"/>
      <c r="BI162" s="1"/>
      <c r="BJ162" s="1"/>
      <c r="BK162" s="1"/>
      <c r="BL162" s="1"/>
      <c r="BM162" s="33"/>
      <c r="BN162" s="1"/>
      <c r="BO162" s="1"/>
      <c r="BP162" s="1"/>
      <c r="BQ162" s="1"/>
      <c r="BR162" s="1"/>
    </row>
    <row r="163" spans="2:70" s="2" customFormat="1" x14ac:dyDescent="0.3">
      <c r="B163" s="14"/>
      <c r="D163" s="4"/>
      <c r="E163" s="4"/>
      <c r="F163" s="4"/>
      <c r="G163" s="39"/>
      <c r="H163" s="4"/>
      <c r="I163" s="4" t="str">
        <f t="shared" si="32"/>
        <v/>
      </c>
      <c r="AR163" s="1"/>
      <c r="AS163" s="1"/>
      <c r="AT163" s="1"/>
      <c r="AU163" s="1"/>
      <c r="AV163" s="1"/>
      <c r="AW163" s="1"/>
      <c r="AX163" s="1"/>
      <c r="AY163" s="1"/>
      <c r="AZ163" s="1"/>
      <c r="BA163" s="1"/>
      <c r="BF163" s="1"/>
      <c r="BG163" s="1"/>
      <c r="BH163" s="1"/>
      <c r="BI163" s="1"/>
      <c r="BJ163" s="1"/>
      <c r="BK163" s="1"/>
      <c r="BL163" s="1"/>
      <c r="BM163" s="33"/>
      <c r="BN163" s="1"/>
      <c r="BO163" s="1"/>
      <c r="BP163" s="1"/>
      <c r="BQ163" s="1"/>
      <c r="BR163" s="1"/>
    </row>
    <row r="164" spans="2:70" s="2" customFormat="1" x14ac:dyDescent="0.3">
      <c r="B164" s="14"/>
      <c r="D164" s="4"/>
      <c r="E164" s="4"/>
      <c r="F164" s="4"/>
      <c r="G164" s="39"/>
      <c r="H164" s="4"/>
      <c r="I164" s="4" t="str">
        <f t="shared" si="32"/>
        <v/>
      </c>
      <c r="AR164" s="1"/>
      <c r="AS164" s="1"/>
      <c r="AT164" s="1"/>
      <c r="AU164" s="1"/>
      <c r="AV164" s="1"/>
      <c r="AW164" s="1"/>
      <c r="AX164" s="1"/>
      <c r="AY164" s="1"/>
      <c r="AZ164" s="1"/>
      <c r="BA164" s="1"/>
      <c r="BF164" s="1"/>
      <c r="BG164" s="1"/>
      <c r="BH164" s="1"/>
      <c r="BI164" s="1"/>
      <c r="BJ164" s="1"/>
      <c r="BK164" s="1"/>
      <c r="BL164" s="1"/>
      <c r="BM164" s="33"/>
      <c r="BN164" s="1"/>
      <c r="BO164" s="1"/>
      <c r="BP164" s="1"/>
      <c r="BQ164" s="1"/>
      <c r="BR164" s="1"/>
    </row>
    <row r="165" spans="2:70" s="2" customFormat="1" x14ac:dyDescent="0.3">
      <c r="B165" s="14"/>
      <c r="D165" s="4"/>
      <c r="E165" s="4"/>
      <c r="F165" s="4"/>
      <c r="G165" s="39"/>
      <c r="H165" s="4"/>
      <c r="I165" s="4" t="str">
        <f t="shared" si="32"/>
        <v/>
      </c>
      <c r="AR165" s="1"/>
      <c r="AS165" s="1"/>
      <c r="AT165" s="1"/>
      <c r="AU165" s="1"/>
      <c r="AV165" s="1"/>
      <c r="AW165" s="1"/>
      <c r="AX165" s="1"/>
      <c r="AY165" s="1"/>
      <c r="AZ165" s="1"/>
      <c r="BA165" s="1"/>
      <c r="BF165" s="1"/>
      <c r="BG165" s="1"/>
      <c r="BH165" s="1"/>
      <c r="BI165" s="1"/>
      <c r="BJ165" s="1"/>
      <c r="BK165" s="1"/>
      <c r="BL165" s="1"/>
      <c r="BM165" s="33"/>
      <c r="BN165" s="1"/>
      <c r="BO165" s="1"/>
      <c r="BP165" s="1"/>
      <c r="BQ165" s="1"/>
      <c r="BR165" s="1"/>
    </row>
    <row r="166" spans="2:70" s="2" customFormat="1" x14ac:dyDescent="0.3">
      <c r="B166" s="14"/>
      <c r="D166" s="4"/>
      <c r="E166" s="4"/>
      <c r="F166" s="4"/>
      <c r="G166" s="39"/>
      <c r="H166" s="4"/>
      <c r="I166" s="4" t="str">
        <f t="shared" si="32"/>
        <v/>
      </c>
      <c r="AR166" s="1"/>
      <c r="AS166" s="1"/>
      <c r="AT166" s="1"/>
      <c r="AU166" s="1"/>
      <c r="AV166" s="1"/>
      <c r="AW166" s="1"/>
      <c r="AX166" s="1"/>
      <c r="AY166" s="1"/>
      <c r="AZ166" s="1"/>
      <c r="BA166" s="1"/>
      <c r="BF166" s="1"/>
      <c r="BG166" s="1"/>
      <c r="BH166" s="1"/>
      <c r="BI166" s="1"/>
      <c r="BJ166" s="1"/>
      <c r="BK166" s="1"/>
      <c r="BL166" s="1"/>
      <c r="BM166" s="33"/>
      <c r="BN166" s="1"/>
      <c r="BO166" s="1"/>
      <c r="BP166" s="1"/>
      <c r="BQ166" s="1"/>
      <c r="BR166" s="1"/>
    </row>
    <row r="167" spans="2:70" s="2" customFormat="1" x14ac:dyDescent="0.3">
      <c r="B167" s="14"/>
      <c r="D167" s="4"/>
      <c r="E167" s="4"/>
      <c r="F167" s="4"/>
      <c r="G167" s="39"/>
      <c r="H167" s="4"/>
      <c r="I167" s="4" t="str">
        <f t="shared" si="32"/>
        <v/>
      </c>
      <c r="AR167" s="1"/>
      <c r="AS167" s="1"/>
      <c r="AT167" s="1"/>
      <c r="AU167" s="1"/>
      <c r="AV167" s="1"/>
      <c r="AW167" s="1"/>
      <c r="AX167" s="1"/>
      <c r="AY167" s="1"/>
      <c r="AZ167" s="1"/>
      <c r="BA167" s="1"/>
      <c r="BF167" s="1"/>
      <c r="BG167" s="1"/>
      <c r="BH167" s="1"/>
      <c r="BI167" s="1"/>
      <c r="BJ167" s="1"/>
      <c r="BK167" s="1"/>
      <c r="BL167" s="1"/>
      <c r="BM167" s="33"/>
      <c r="BN167" s="1"/>
      <c r="BO167" s="1"/>
      <c r="BP167" s="1"/>
      <c r="BQ167" s="1"/>
      <c r="BR167" s="1"/>
    </row>
    <row r="168" spans="2:70" s="2" customFormat="1" x14ac:dyDescent="0.3">
      <c r="B168" s="14"/>
      <c r="D168" s="4"/>
      <c r="E168" s="4"/>
      <c r="F168" s="4"/>
      <c r="G168" s="39"/>
      <c r="H168" s="4"/>
      <c r="I168" s="4" t="str">
        <f t="shared" si="32"/>
        <v/>
      </c>
      <c r="AR168" s="1"/>
      <c r="AS168" s="1"/>
      <c r="AT168" s="1"/>
      <c r="AU168" s="1"/>
      <c r="AV168" s="1"/>
      <c r="AW168" s="1"/>
      <c r="AX168" s="1"/>
      <c r="AY168" s="1"/>
      <c r="AZ168" s="1"/>
      <c r="BA168" s="1"/>
      <c r="BF168" s="1"/>
      <c r="BG168" s="1"/>
      <c r="BH168" s="1"/>
      <c r="BI168" s="1"/>
      <c r="BJ168" s="1"/>
      <c r="BK168" s="1"/>
      <c r="BL168" s="1"/>
      <c r="BM168" s="33"/>
      <c r="BN168" s="1"/>
      <c r="BO168" s="1"/>
      <c r="BP168" s="1"/>
      <c r="BQ168" s="1"/>
      <c r="BR168" s="1"/>
    </row>
    <row r="169" spans="2:70" s="2" customFormat="1" x14ac:dyDescent="0.3">
      <c r="B169" s="14"/>
      <c r="D169" s="4"/>
      <c r="E169" s="4"/>
      <c r="F169" s="4"/>
      <c r="G169" s="39"/>
      <c r="H169" s="4"/>
      <c r="I169" s="4" t="str">
        <f t="shared" si="32"/>
        <v/>
      </c>
      <c r="AR169" s="1"/>
      <c r="AS169" s="1"/>
      <c r="AT169" s="1"/>
      <c r="AU169" s="1"/>
      <c r="AV169" s="1"/>
      <c r="AW169" s="1"/>
      <c r="AX169" s="1"/>
      <c r="AY169" s="1"/>
      <c r="AZ169" s="1"/>
      <c r="BA169" s="1"/>
      <c r="BF169" s="1"/>
      <c r="BG169" s="1"/>
      <c r="BH169" s="1"/>
      <c r="BI169" s="1"/>
      <c r="BJ169" s="1"/>
      <c r="BK169" s="1"/>
      <c r="BL169" s="1"/>
      <c r="BM169" s="33"/>
      <c r="BN169" s="1"/>
      <c r="BO169" s="1"/>
      <c r="BP169" s="1"/>
      <c r="BQ169" s="1"/>
      <c r="BR169" s="1"/>
    </row>
    <row r="170" spans="2:70" s="2" customFormat="1" x14ac:dyDescent="0.3">
      <c r="B170" s="14"/>
      <c r="D170" s="4"/>
      <c r="E170" s="4"/>
      <c r="F170" s="4"/>
      <c r="G170" s="39"/>
      <c r="H170" s="4"/>
      <c r="I170" s="4" t="str">
        <f t="shared" si="32"/>
        <v/>
      </c>
      <c r="AR170" s="1"/>
      <c r="AS170" s="1"/>
      <c r="AT170" s="1"/>
      <c r="AU170" s="1"/>
      <c r="AV170" s="1"/>
      <c r="AW170" s="1"/>
      <c r="AX170" s="1"/>
      <c r="AY170" s="1"/>
      <c r="AZ170" s="1"/>
      <c r="BA170" s="1"/>
      <c r="BF170" s="1"/>
      <c r="BG170" s="1"/>
      <c r="BH170" s="1"/>
      <c r="BI170" s="1"/>
      <c r="BJ170" s="1"/>
      <c r="BK170" s="1"/>
      <c r="BL170" s="1"/>
      <c r="BM170" s="33"/>
      <c r="BN170" s="1"/>
      <c r="BO170" s="1"/>
      <c r="BP170" s="1"/>
      <c r="BQ170" s="1"/>
      <c r="BR170" s="1"/>
    </row>
    <row r="171" spans="2:70" s="2" customFormat="1" x14ac:dyDescent="0.3">
      <c r="B171" s="14"/>
      <c r="D171" s="4"/>
      <c r="E171" s="4"/>
      <c r="F171" s="4"/>
      <c r="G171" s="39"/>
      <c r="H171" s="4"/>
      <c r="I171" s="4" t="str">
        <f t="shared" si="32"/>
        <v/>
      </c>
      <c r="AR171" s="1"/>
      <c r="AS171" s="1"/>
      <c r="AT171" s="1"/>
      <c r="AU171" s="1"/>
      <c r="AV171" s="1"/>
      <c r="AW171" s="1"/>
      <c r="AX171" s="1"/>
      <c r="AY171" s="1"/>
      <c r="AZ171" s="1"/>
      <c r="BA171" s="1"/>
      <c r="BF171" s="1"/>
      <c r="BG171" s="1"/>
      <c r="BH171" s="1"/>
      <c r="BI171" s="1"/>
      <c r="BJ171" s="1"/>
      <c r="BK171" s="1"/>
      <c r="BL171" s="1"/>
      <c r="BM171" s="33"/>
      <c r="BN171" s="1"/>
      <c r="BO171" s="1"/>
      <c r="BP171" s="1"/>
      <c r="BQ171" s="1"/>
      <c r="BR171" s="1"/>
    </row>
    <row r="172" spans="2:70" s="2" customFormat="1" x14ac:dyDescent="0.3">
      <c r="B172" s="14"/>
      <c r="D172" s="4"/>
      <c r="E172" s="4"/>
      <c r="F172" s="4"/>
      <c r="G172" s="39"/>
      <c r="H172" s="4"/>
      <c r="I172" s="4" t="str">
        <f t="shared" si="32"/>
        <v/>
      </c>
      <c r="AR172" s="1"/>
      <c r="AS172" s="1"/>
      <c r="AT172" s="1"/>
      <c r="AU172" s="1"/>
      <c r="AV172" s="1"/>
      <c r="AW172" s="1"/>
      <c r="AX172" s="1"/>
      <c r="AY172" s="1"/>
      <c r="AZ172" s="1"/>
      <c r="BA172" s="1"/>
      <c r="BF172" s="1"/>
      <c r="BG172" s="1"/>
      <c r="BH172" s="1"/>
      <c r="BI172" s="1"/>
      <c r="BJ172" s="1"/>
      <c r="BK172" s="1"/>
      <c r="BL172" s="1"/>
      <c r="BM172" s="33"/>
      <c r="BN172" s="1"/>
      <c r="BO172" s="1"/>
      <c r="BP172" s="1"/>
      <c r="BQ172" s="1"/>
      <c r="BR172" s="1"/>
    </row>
    <row r="173" spans="2:70" s="2" customFormat="1" x14ac:dyDescent="0.3">
      <c r="B173" s="14"/>
      <c r="D173" s="4"/>
      <c r="E173" s="4"/>
      <c r="F173" s="4"/>
      <c r="G173" s="39"/>
      <c r="H173" s="4"/>
      <c r="I173" s="4" t="str">
        <f t="shared" si="32"/>
        <v/>
      </c>
      <c r="AR173" s="1"/>
      <c r="AS173" s="1"/>
      <c r="AT173" s="1"/>
      <c r="AU173" s="1"/>
      <c r="AV173" s="1"/>
      <c r="AW173" s="1"/>
      <c r="AX173" s="1"/>
      <c r="AY173" s="1"/>
      <c r="AZ173" s="1"/>
      <c r="BA173" s="1"/>
      <c r="BF173" s="1"/>
      <c r="BG173" s="1"/>
      <c r="BH173" s="1"/>
      <c r="BI173" s="1"/>
      <c r="BJ173" s="1"/>
      <c r="BK173" s="1"/>
      <c r="BL173" s="1"/>
      <c r="BM173" s="33"/>
      <c r="BN173" s="1"/>
      <c r="BO173" s="1"/>
      <c r="BP173" s="1"/>
      <c r="BQ173" s="1"/>
      <c r="BR173" s="1"/>
    </row>
    <row r="174" spans="2:70" s="2" customFormat="1" x14ac:dyDescent="0.3">
      <c r="B174" s="14"/>
      <c r="D174" s="4"/>
      <c r="E174" s="4"/>
      <c r="F174" s="4"/>
      <c r="G174" s="39"/>
      <c r="H174" s="4"/>
      <c r="I174" s="4" t="str">
        <f t="shared" si="32"/>
        <v/>
      </c>
      <c r="AR174" s="1"/>
      <c r="AS174" s="1"/>
      <c r="AT174" s="1"/>
      <c r="AU174" s="1"/>
      <c r="AV174" s="1"/>
      <c r="AW174" s="1"/>
      <c r="AX174" s="1"/>
      <c r="AY174" s="1"/>
      <c r="AZ174" s="1"/>
      <c r="BA174" s="1"/>
      <c r="BF174" s="1"/>
      <c r="BG174" s="1"/>
      <c r="BH174" s="1"/>
      <c r="BI174" s="1"/>
      <c r="BJ174" s="1"/>
      <c r="BK174" s="1"/>
      <c r="BL174" s="1"/>
      <c r="BM174" s="33"/>
      <c r="BN174" s="1"/>
      <c r="BO174" s="1"/>
      <c r="BP174" s="1"/>
      <c r="BQ174" s="1"/>
      <c r="BR174" s="1"/>
    </row>
    <row r="175" spans="2:70" s="2" customFormat="1" x14ac:dyDescent="0.3">
      <c r="B175" s="14"/>
      <c r="D175" s="4"/>
      <c r="E175" s="4"/>
      <c r="F175" s="4"/>
      <c r="G175" s="39"/>
      <c r="H175" s="4"/>
      <c r="I175" s="4" t="str">
        <f t="shared" si="32"/>
        <v/>
      </c>
      <c r="AR175" s="1"/>
      <c r="AS175" s="1"/>
      <c r="AT175" s="1"/>
      <c r="AU175" s="1"/>
      <c r="AV175" s="1"/>
      <c r="AW175" s="1"/>
      <c r="AX175" s="1"/>
      <c r="AY175" s="1"/>
      <c r="AZ175" s="1"/>
      <c r="BA175" s="1"/>
      <c r="BF175" s="1"/>
      <c r="BG175" s="1"/>
      <c r="BH175" s="1"/>
      <c r="BI175" s="1"/>
      <c r="BJ175" s="1"/>
      <c r="BK175" s="1"/>
      <c r="BL175" s="1"/>
      <c r="BM175" s="33"/>
      <c r="BN175" s="1"/>
      <c r="BO175" s="1"/>
      <c r="BP175" s="1"/>
      <c r="BQ175" s="1"/>
      <c r="BR175" s="1"/>
    </row>
    <row r="176" spans="2:70" s="2" customFormat="1" x14ac:dyDescent="0.3">
      <c r="B176" s="14"/>
      <c r="D176" s="4"/>
      <c r="E176" s="4"/>
      <c r="F176" s="4"/>
      <c r="G176" s="39"/>
      <c r="H176" s="4"/>
      <c r="I176" s="4" t="str">
        <f t="shared" si="32"/>
        <v/>
      </c>
      <c r="AR176" s="1"/>
      <c r="AS176" s="1"/>
      <c r="AT176" s="1"/>
      <c r="AU176" s="1"/>
      <c r="AV176" s="1"/>
      <c r="AW176" s="1"/>
      <c r="AX176" s="1"/>
      <c r="AY176" s="1"/>
      <c r="AZ176" s="1"/>
      <c r="BA176" s="1"/>
      <c r="BF176" s="1"/>
      <c r="BG176" s="1"/>
      <c r="BH176" s="1"/>
      <c r="BI176" s="1"/>
      <c r="BJ176" s="1"/>
      <c r="BK176" s="1"/>
      <c r="BL176" s="1"/>
      <c r="BM176" s="33"/>
      <c r="BN176" s="1"/>
      <c r="BO176" s="1"/>
      <c r="BP176" s="1"/>
      <c r="BQ176" s="1"/>
      <c r="BR176" s="1"/>
    </row>
    <row r="177" spans="2:70" s="2" customFormat="1" x14ac:dyDescent="0.3">
      <c r="B177" s="14"/>
      <c r="D177" s="4"/>
      <c r="E177" s="4"/>
      <c r="F177" s="4"/>
      <c r="G177" s="39"/>
      <c r="H177" s="4"/>
      <c r="I177" s="4" t="str">
        <f t="shared" si="32"/>
        <v/>
      </c>
      <c r="AR177" s="1"/>
      <c r="AS177" s="1"/>
      <c r="AT177" s="1"/>
      <c r="AU177" s="1"/>
      <c r="AV177" s="1"/>
      <c r="AW177" s="1"/>
      <c r="AX177" s="1"/>
      <c r="AY177" s="1"/>
      <c r="AZ177" s="1"/>
      <c r="BA177" s="1"/>
      <c r="BF177" s="1"/>
      <c r="BG177" s="1"/>
      <c r="BH177" s="1"/>
      <c r="BI177" s="1"/>
      <c r="BJ177" s="1"/>
      <c r="BK177" s="1"/>
      <c r="BL177" s="1"/>
      <c r="BM177" s="33"/>
      <c r="BN177" s="1"/>
      <c r="BO177" s="1"/>
      <c r="BP177" s="1"/>
      <c r="BQ177" s="1"/>
      <c r="BR177" s="1"/>
    </row>
    <row r="178" spans="2:70" s="2" customFormat="1" x14ac:dyDescent="0.3">
      <c r="B178" s="14"/>
      <c r="D178" s="4"/>
      <c r="E178" s="4"/>
      <c r="F178" s="4"/>
      <c r="G178" s="39"/>
      <c r="H178" s="4"/>
      <c r="I178" s="4" t="str">
        <f t="shared" si="32"/>
        <v/>
      </c>
      <c r="AR178" s="1"/>
      <c r="AS178" s="1"/>
      <c r="AT178" s="1"/>
      <c r="AU178" s="1"/>
      <c r="AV178" s="1"/>
      <c r="AW178" s="1"/>
      <c r="AX178" s="1"/>
      <c r="AY178" s="1"/>
      <c r="AZ178" s="1"/>
      <c r="BA178" s="1"/>
      <c r="BF178" s="1"/>
      <c r="BG178" s="1"/>
      <c r="BH178" s="1"/>
      <c r="BI178" s="1"/>
      <c r="BJ178" s="1"/>
      <c r="BK178" s="1"/>
      <c r="BL178" s="1"/>
      <c r="BM178" s="33"/>
      <c r="BN178" s="1"/>
      <c r="BO178" s="1"/>
      <c r="BP178" s="1"/>
      <c r="BQ178" s="1"/>
      <c r="BR178" s="1"/>
    </row>
    <row r="179" spans="2:70" s="2" customFormat="1" x14ac:dyDescent="0.3">
      <c r="B179" s="14"/>
      <c r="D179" s="4"/>
      <c r="E179" s="4"/>
      <c r="F179" s="4"/>
      <c r="G179" s="39"/>
      <c r="H179" s="4"/>
      <c r="I179" s="4" t="str">
        <f t="shared" si="32"/>
        <v/>
      </c>
      <c r="AR179" s="1"/>
      <c r="AS179" s="1"/>
      <c r="AT179" s="1"/>
      <c r="AU179" s="1"/>
      <c r="AV179" s="1"/>
      <c r="AW179" s="1"/>
      <c r="AX179" s="1"/>
      <c r="AY179" s="1"/>
      <c r="AZ179" s="1"/>
      <c r="BA179" s="1"/>
      <c r="BF179" s="1"/>
      <c r="BG179" s="1"/>
      <c r="BH179" s="1"/>
      <c r="BI179" s="1"/>
      <c r="BJ179" s="1"/>
      <c r="BK179" s="1"/>
      <c r="BL179" s="1"/>
      <c r="BM179" s="33"/>
      <c r="BN179" s="1"/>
      <c r="BO179" s="1"/>
      <c r="BP179" s="1"/>
      <c r="BQ179" s="1"/>
      <c r="BR179" s="1"/>
    </row>
    <row r="180" spans="2:70" s="2" customFormat="1" x14ac:dyDescent="0.3">
      <c r="B180" s="14"/>
      <c r="D180" s="4"/>
      <c r="E180" s="4"/>
      <c r="F180" s="4"/>
      <c r="G180" s="39"/>
      <c r="H180" s="4"/>
      <c r="I180" s="4" t="str">
        <f t="shared" si="32"/>
        <v/>
      </c>
      <c r="AR180" s="1"/>
      <c r="AS180" s="1"/>
      <c r="AT180" s="1"/>
      <c r="AU180" s="1"/>
      <c r="AV180" s="1"/>
      <c r="AW180" s="1"/>
      <c r="AX180" s="1"/>
      <c r="AY180" s="1"/>
      <c r="AZ180" s="1"/>
      <c r="BA180" s="1"/>
      <c r="BF180" s="1"/>
      <c r="BG180" s="1"/>
      <c r="BH180" s="1"/>
      <c r="BI180" s="1"/>
      <c r="BJ180" s="1"/>
      <c r="BK180" s="1"/>
      <c r="BL180" s="1"/>
      <c r="BM180" s="33"/>
      <c r="BN180" s="1"/>
      <c r="BO180" s="1"/>
      <c r="BP180" s="1"/>
      <c r="BQ180" s="1"/>
      <c r="BR180" s="1"/>
    </row>
    <row r="181" spans="2:70" s="2" customFormat="1" x14ac:dyDescent="0.3">
      <c r="B181" s="14"/>
      <c r="D181" s="4"/>
      <c r="E181" s="4"/>
      <c r="F181" s="4"/>
      <c r="G181" s="39"/>
      <c r="H181" s="4"/>
      <c r="I181" s="4" t="str">
        <f t="shared" si="32"/>
        <v/>
      </c>
      <c r="AR181" s="1"/>
      <c r="AS181" s="1"/>
      <c r="AT181" s="1"/>
      <c r="AU181" s="1"/>
      <c r="AV181" s="1"/>
      <c r="AW181" s="1"/>
      <c r="AX181" s="1"/>
      <c r="AY181" s="1"/>
      <c r="AZ181" s="1"/>
      <c r="BA181" s="1"/>
      <c r="BF181" s="1"/>
      <c r="BG181" s="1"/>
      <c r="BH181" s="1"/>
      <c r="BI181" s="1"/>
      <c r="BJ181" s="1"/>
      <c r="BK181" s="1"/>
      <c r="BL181" s="1"/>
      <c r="BM181" s="33"/>
      <c r="BN181" s="1"/>
      <c r="BO181" s="1"/>
      <c r="BP181" s="1"/>
      <c r="BQ181" s="1"/>
      <c r="BR181" s="1"/>
    </row>
    <row r="182" spans="2:70" s="2" customFormat="1" x14ac:dyDescent="0.3">
      <c r="B182" s="14"/>
      <c r="D182" s="4"/>
      <c r="E182" s="4"/>
      <c r="F182" s="4"/>
      <c r="G182" s="39"/>
      <c r="H182" s="4"/>
      <c r="I182" s="4" t="str">
        <f t="shared" si="32"/>
        <v/>
      </c>
      <c r="AR182" s="1"/>
      <c r="AS182" s="1"/>
      <c r="AT182" s="1"/>
      <c r="AU182" s="1"/>
      <c r="AV182" s="1"/>
      <c r="AW182" s="1"/>
      <c r="AX182" s="1"/>
      <c r="AY182" s="1"/>
      <c r="AZ182" s="1"/>
      <c r="BA182" s="1"/>
      <c r="BF182" s="1"/>
      <c r="BG182" s="1"/>
      <c r="BH182" s="1"/>
      <c r="BI182" s="1"/>
      <c r="BJ182" s="1"/>
      <c r="BK182" s="1"/>
      <c r="BL182" s="1"/>
      <c r="BM182" s="33"/>
      <c r="BN182" s="1"/>
      <c r="BO182" s="1"/>
      <c r="BP182" s="1"/>
      <c r="BQ182" s="1"/>
      <c r="BR182" s="1"/>
    </row>
    <row r="183" spans="2:70" s="2" customFormat="1" x14ac:dyDescent="0.3">
      <c r="B183" s="14"/>
      <c r="D183" s="4"/>
      <c r="E183" s="4"/>
      <c r="F183" s="4"/>
      <c r="G183" s="39"/>
      <c r="H183" s="4"/>
      <c r="I183" s="4" t="str">
        <f t="shared" si="32"/>
        <v/>
      </c>
      <c r="AR183" s="1"/>
      <c r="AS183" s="1"/>
      <c r="AT183" s="1"/>
      <c r="AU183" s="1"/>
      <c r="AV183" s="1"/>
      <c r="AW183" s="1"/>
      <c r="AX183" s="1"/>
      <c r="AY183" s="1"/>
      <c r="AZ183" s="1"/>
      <c r="BA183" s="1"/>
      <c r="BF183" s="1"/>
      <c r="BG183" s="1"/>
      <c r="BH183" s="1"/>
      <c r="BI183" s="1"/>
      <c r="BJ183" s="1"/>
      <c r="BK183" s="1"/>
      <c r="BL183" s="1"/>
      <c r="BM183" s="33"/>
      <c r="BN183" s="1"/>
      <c r="BO183" s="1"/>
      <c r="BP183" s="1"/>
      <c r="BQ183" s="1"/>
      <c r="BR183" s="1"/>
    </row>
    <row r="184" spans="2:70" s="2" customFormat="1" x14ac:dyDescent="0.3">
      <c r="B184" s="14"/>
      <c r="D184" s="4"/>
      <c r="E184" s="4"/>
      <c r="F184" s="4"/>
      <c r="G184" s="39"/>
      <c r="H184" s="4"/>
      <c r="I184" s="4" t="str">
        <f t="shared" si="32"/>
        <v/>
      </c>
      <c r="AR184" s="1"/>
      <c r="AS184" s="1"/>
      <c r="AT184" s="1"/>
      <c r="AU184" s="1"/>
      <c r="AV184" s="1"/>
      <c r="AW184" s="1"/>
      <c r="AX184" s="1"/>
      <c r="AY184" s="1"/>
      <c r="AZ184" s="1"/>
      <c r="BA184" s="1"/>
      <c r="BF184" s="1"/>
      <c r="BG184" s="1"/>
      <c r="BH184" s="1"/>
      <c r="BI184" s="1"/>
      <c r="BJ184" s="1"/>
      <c r="BK184" s="1"/>
      <c r="BL184" s="1"/>
      <c r="BM184" s="33"/>
      <c r="BN184" s="1"/>
      <c r="BO184" s="1"/>
      <c r="BP184" s="1"/>
      <c r="BQ184" s="1"/>
      <c r="BR184" s="1"/>
    </row>
    <row r="185" spans="2:70" s="2" customFormat="1" x14ac:dyDescent="0.3">
      <c r="B185" s="14"/>
      <c r="D185" s="4"/>
      <c r="E185" s="4"/>
      <c r="F185" s="4"/>
      <c r="G185" s="39"/>
      <c r="H185" s="4"/>
      <c r="I185" s="4" t="str">
        <f t="shared" si="32"/>
        <v/>
      </c>
      <c r="AR185" s="1"/>
      <c r="AS185" s="1"/>
      <c r="AT185" s="1"/>
      <c r="AU185" s="1"/>
      <c r="AV185" s="1"/>
      <c r="AW185" s="1"/>
      <c r="AX185" s="1"/>
      <c r="AY185" s="1"/>
      <c r="AZ185" s="1"/>
      <c r="BA185" s="1"/>
      <c r="BF185" s="1"/>
      <c r="BG185" s="1"/>
      <c r="BH185" s="1"/>
      <c r="BI185" s="1"/>
      <c r="BJ185" s="1"/>
      <c r="BK185" s="1"/>
      <c r="BL185" s="1"/>
      <c r="BM185" s="33"/>
      <c r="BN185" s="1"/>
      <c r="BO185" s="1"/>
      <c r="BP185" s="1"/>
      <c r="BQ185" s="1"/>
      <c r="BR185" s="1"/>
    </row>
    <row r="186" spans="2:70" s="2" customFormat="1" x14ac:dyDescent="0.3">
      <c r="B186" s="14"/>
      <c r="D186" s="4"/>
      <c r="E186" s="4"/>
      <c r="F186" s="4"/>
      <c r="G186" s="39"/>
      <c r="H186" s="4"/>
      <c r="I186" s="4" t="str">
        <f t="shared" si="32"/>
        <v/>
      </c>
      <c r="AR186" s="1"/>
      <c r="AS186" s="1"/>
      <c r="AT186" s="1"/>
      <c r="AU186" s="1"/>
      <c r="AV186" s="1"/>
      <c r="AW186" s="1"/>
      <c r="AX186" s="1"/>
      <c r="AY186" s="1"/>
      <c r="AZ186" s="1"/>
      <c r="BA186" s="1"/>
      <c r="BF186" s="1"/>
      <c r="BG186" s="1"/>
      <c r="BH186" s="1"/>
      <c r="BI186" s="1"/>
      <c r="BJ186" s="1"/>
      <c r="BK186" s="1"/>
      <c r="BL186" s="1"/>
      <c r="BM186" s="33"/>
      <c r="BN186" s="1"/>
      <c r="BO186" s="1"/>
      <c r="BP186" s="1"/>
      <c r="BQ186" s="1"/>
      <c r="BR186" s="1"/>
    </row>
    <row r="187" spans="2:70" s="2" customFormat="1" x14ac:dyDescent="0.3">
      <c r="B187" s="14"/>
      <c r="D187" s="4"/>
      <c r="E187" s="4"/>
      <c r="F187" s="4"/>
      <c r="G187" s="39"/>
      <c r="H187" s="4"/>
      <c r="I187" s="4" t="str">
        <f t="shared" si="32"/>
        <v/>
      </c>
      <c r="AR187" s="1"/>
      <c r="AS187" s="1"/>
      <c r="AT187" s="1"/>
      <c r="AU187" s="1"/>
      <c r="AV187" s="1"/>
      <c r="AW187" s="1"/>
      <c r="AX187" s="1"/>
      <c r="AY187" s="1"/>
      <c r="AZ187" s="1"/>
      <c r="BA187" s="1"/>
      <c r="BF187" s="1"/>
      <c r="BG187" s="1"/>
      <c r="BH187" s="1"/>
      <c r="BI187" s="1"/>
      <c r="BJ187" s="1"/>
      <c r="BK187" s="1"/>
      <c r="BL187" s="1"/>
      <c r="BM187" s="33"/>
      <c r="BN187" s="1"/>
      <c r="BO187" s="1"/>
      <c r="BP187" s="1"/>
      <c r="BQ187" s="1"/>
      <c r="BR187" s="1"/>
    </row>
    <row r="188" spans="2:70" s="2" customFormat="1" x14ac:dyDescent="0.3">
      <c r="B188" s="14"/>
      <c r="D188" s="4"/>
      <c r="E188" s="4"/>
      <c r="F188" s="4"/>
      <c r="G188" s="39"/>
      <c r="H188" s="4"/>
      <c r="I188" s="4"/>
      <c r="AR188" s="1"/>
      <c r="AS188" s="1"/>
      <c r="AT188" s="1"/>
      <c r="AU188" s="1"/>
      <c r="AV188" s="1"/>
      <c r="AW188" s="1"/>
      <c r="AX188" s="1"/>
      <c r="AY188" s="1"/>
      <c r="AZ188" s="1"/>
      <c r="BA188" s="1"/>
      <c r="BF188" s="1"/>
      <c r="BG188" s="1"/>
      <c r="BH188" s="1"/>
      <c r="BI188" s="1"/>
      <c r="BJ188" s="1"/>
      <c r="BK188" s="1"/>
      <c r="BL188" s="1"/>
      <c r="BM188" s="33"/>
      <c r="BN188" s="1"/>
      <c r="BO188" s="1"/>
      <c r="BP188" s="1"/>
      <c r="BQ188" s="1"/>
      <c r="BR188" s="1"/>
    </row>
    <row r="189" spans="2:70" s="2" customFormat="1" x14ac:dyDescent="0.3">
      <c r="B189" s="14"/>
      <c r="D189" s="4"/>
      <c r="E189" s="4"/>
      <c r="F189" s="4"/>
      <c r="G189" s="39"/>
      <c r="H189" s="4"/>
      <c r="I189" s="4"/>
      <c r="AR189" s="1"/>
      <c r="AS189" s="1"/>
      <c r="AT189" s="1"/>
      <c r="AU189" s="1"/>
      <c r="AV189" s="1"/>
      <c r="AW189" s="1"/>
      <c r="AX189" s="1"/>
      <c r="AY189" s="1"/>
      <c r="AZ189" s="1"/>
      <c r="BA189" s="1"/>
      <c r="BF189" s="1"/>
      <c r="BG189" s="1"/>
      <c r="BH189" s="1"/>
      <c r="BI189" s="1"/>
      <c r="BJ189" s="1"/>
      <c r="BK189" s="1"/>
      <c r="BL189" s="1"/>
      <c r="BM189" s="33"/>
      <c r="BN189" s="1"/>
      <c r="BO189" s="1"/>
      <c r="BP189" s="1"/>
      <c r="BQ189" s="1"/>
      <c r="BR189" s="1"/>
    </row>
    <row r="190" spans="2:70" s="2" customFormat="1" x14ac:dyDescent="0.3">
      <c r="B190" s="14"/>
      <c r="D190" s="4"/>
      <c r="E190" s="4"/>
      <c r="F190" s="4"/>
      <c r="G190" s="39"/>
      <c r="H190" s="4"/>
      <c r="I190" s="4"/>
      <c r="AR190" s="1"/>
      <c r="AS190" s="1"/>
      <c r="AT190" s="1"/>
      <c r="AU190" s="1"/>
      <c r="AV190" s="1"/>
      <c r="AW190" s="1"/>
      <c r="AX190" s="1"/>
      <c r="AY190" s="1"/>
      <c r="AZ190" s="1"/>
      <c r="BA190" s="1"/>
      <c r="BF190" s="1"/>
      <c r="BG190" s="1"/>
      <c r="BH190" s="1"/>
      <c r="BI190" s="1"/>
      <c r="BJ190" s="1"/>
      <c r="BK190" s="1"/>
      <c r="BL190" s="1"/>
      <c r="BM190" s="33"/>
      <c r="BN190" s="1"/>
      <c r="BO190" s="1"/>
      <c r="BP190" s="1"/>
      <c r="BQ190" s="1"/>
      <c r="BR190" s="1"/>
    </row>
    <row r="191" spans="2:70" s="2" customFormat="1" x14ac:dyDescent="0.3">
      <c r="B191" s="14"/>
      <c r="D191" s="4"/>
      <c r="E191" s="4"/>
      <c r="F191" s="4"/>
      <c r="G191" s="39"/>
      <c r="H191" s="4"/>
      <c r="I191" s="4"/>
      <c r="AR191" s="1"/>
      <c r="AS191" s="1"/>
      <c r="AT191" s="1"/>
      <c r="AU191" s="1"/>
      <c r="AV191" s="1"/>
      <c r="AW191" s="1"/>
      <c r="AX191" s="1"/>
      <c r="AY191" s="1"/>
      <c r="AZ191" s="1"/>
      <c r="BA191" s="1"/>
      <c r="BF191" s="1"/>
      <c r="BG191" s="1"/>
      <c r="BH191" s="1"/>
      <c r="BI191" s="1"/>
      <c r="BJ191" s="1"/>
      <c r="BK191" s="1"/>
      <c r="BL191" s="1"/>
      <c r="BM191" s="33"/>
      <c r="BN191" s="1"/>
      <c r="BO191" s="1"/>
      <c r="BP191" s="1"/>
      <c r="BQ191" s="1"/>
      <c r="BR191" s="1"/>
    </row>
    <row r="192" spans="2:70" s="2" customFormat="1" x14ac:dyDescent="0.3">
      <c r="B192" s="14"/>
      <c r="D192" s="4"/>
      <c r="E192" s="4"/>
      <c r="F192" s="4"/>
      <c r="G192" s="39"/>
      <c r="H192" s="4"/>
      <c r="I192" s="4"/>
      <c r="AR192" s="1"/>
      <c r="AS192" s="1"/>
      <c r="AT192" s="1"/>
      <c r="AU192" s="1"/>
      <c r="AV192" s="1"/>
      <c r="AW192" s="1"/>
      <c r="AX192" s="1"/>
      <c r="AY192" s="1"/>
      <c r="AZ192" s="1"/>
      <c r="BA192" s="1"/>
      <c r="BF192" s="1"/>
      <c r="BG192" s="1"/>
      <c r="BH192" s="1"/>
      <c r="BI192" s="1"/>
      <c r="BJ192" s="1"/>
      <c r="BK192" s="1"/>
      <c r="BL192" s="1"/>
      <c r="BM192" s="33"/>
      <c r="BN192" s="1"/>
      <c r="BO192" s="1"/>
      <c r="BP192" s="1"/>
      <c r="BQ192" s="1"/>
      <c r="BR192" s="1"/>
    </row>
    <row r="193" spans="2:70" s="2" customFormat="1" x14ac:dyDescent="0.3">
      <c r="B193" s="14"/>
      <c r="D193" s="4"/>
      <c r="E193" s="4"/>
      <c r="F193" s="4"/>
      <c r="G193" s="39"/>
      <c r="H193" s="4"/>
      <c r="I193" s="4"/>
      <c r="AR193" s="1"/>
      <c r="AS193" s="1"/>
      <c r="AT193" s="1"/>
      <c r="AU193" s="1"/>
      <c r="AV193" s="1"/>
      <c r="AW193" s="1"/>
      <c r="AX193" s="1"/>
      <c r="AY193" s="1"/>
      <c r="AZ193" s="1"/>
      <c r="BA193" s="1"/>
      <c r="BF193" s="1"/>
      <c r="BG193" s="1"/>
      <c r="BH193" s="1"/>
      <c r="BI193" s="1"/>
      <c r="BJ193" s="1"/>
      <c r="BK193" s="1"/>
      <c r="BL193" s="1"/>
      <c r="BM193" s="33"/>
      <c r="BN193" s="1"/>
      <c r="BO193" s="1"/>
      <c r="BP193" s="1"/>
      <c r="BQ193" s="1"/>
      <c r="BR193" s="1"/>
    </row>
    <row r="194" spans="2:70" s="2" customFormat="1" x14ac:dyDescent="0.3">
      <c r="B194" s="14"/>
      <c r="D194" s="4"/>
      <c r="E194" s="4"/>
      <c r="F194" s="4"/>
      <c r="G194" s="39"/>
      <c r="H194" s="4"/>
      <c r="I194" s="4"/>
      <c r="AR194" s="1"/>
      <c r="AS194" s="1"/>
      <c r="AT194" s="1"/>
      <c r="AU194" s="1"/>
      <c r="AV194" s="1"/>
      <c r="AW194" s="1"/>
      <c r="AX194" s="1"/>
      <c r="AY194" s="1"/>
      <c r="AZ194" s="1"/>
      <c r="BA194" s="1"/>
      <c r="BF194" s="1"/>
      <c r="BG194" s="1"/>
      <c r="BH194" s="1"/>
      <c r="BI194" s="1"/>
      <c r="BJ194" s="1"/>
      <c r="BK194" s="1"/>
      <c r="BL194" s="1"/>
      <c r="BM194" s="33"/>
      <c r="BN194" s="1"/>
      <c r="BO194" s="1"/>
      <c r="BP194" s="1"/>
      <c r="BQ194" s="1"/>
      <c r="BR194" s="1"/>
    </row>
    <row r="195" spans="2:70" s="2" customFormat="1" x14ac:dyDescent="0.3">
      <c r="B195" s="14"/>
      <c r="D195" s="4"/>
      <c r="E195" s="4"/>
      <c r="F195" s="4"/>
      <c r="G195" s="39"/>
      <c r="H195" s="4"/>
      <c r="I195" s="4"/>
      <c r="AR195" s="1"/>
      <c r="AS195" s="1"/>
      <c r="AT195" s="1"/>
      <c r="AU195" s="1"/>
      <c r="AV195" s="1"/>
      <c r="AW195" s="1"/>
      <c r="AX195" s="1"/>
      <c r="AY195" s="1"/>
      <c r="AZ195" s="1"/>
      <c r="BA195" s="1"/>
      <c r="BF195" s="1"/>
      <c r="BG195" s="1"/>
      <c r="BH195" s="1"/>
      <c r="BI195" s="1"/>
      <c r="BJ195" s="1"/>
      <c r="BK195" s="1"/>
      <c r="BL195" s="1"/>
      <c r="BM195" s="33"/>
      <c r="BN195" s="1"/>
      <c r="BO195" s="1"/>
      <c r="BP195" s="1"/>
      <c r="BQ195" s="1"/>
      <c r="BR195" s="1"/>
    </row>
    <row r="196" spans="2:70" s="2" customFormat="1" x14ac:dyDescent="0.3">
      <c r="B196" s="14"/>
      <c r="D196" s="4"/>
      <c r="E196" s="4"/>
      <c r="F196" s="4"/>
      <c r="G196" s="39"/>
      <c r="H196" s="4"/>
      <c r="I196" s="4"/>
      <c r="AR196" s="1"/>
      <c r="AS196" s="1"/>
      <c r="AT196" s="1"/>
      <c r="AU196" s="1"/>
      <c r="AV196" s="1"/>
      <c r="AW196" s="1"/>
      <c r="AX196" s="1"/>
      <c r="AY196" s="1"/>
      <c r="AZ196" s="1"/>
      <c r="BA196" s="1"/>
      <c r="BF196" s="1"/>
      <c r="BG196" s="1"/>
      <c r="BH196" s="1"/>
      <c r="BI196" s="1"/>
      <c r="BJ196" s="1"/>
      <c r="BK196" s="1"/>
      <c r="BL196" s="1"/>
      <c r="BM196" s="33"/>
      <c r="BN196" s="1"/>
      <c r="BO196" s="1"/>
      <c r="BP196" s="1"/>
      <c r="BQ196" s="1"/>
      <c r="BR196" s="1"/>
    </row>
    <row r="197" spans="2:70" s="2" customFormat="1" x14ac:dyDescent="0.3">
      <c r="B197" s="14"/>
      <c r="D197" s="4"/>
      <c r="E197" s="4"/>
      <c r="F197" s="4"/>
      <c r="G197" s="39"/>
      <c r="H197" s="4"/>
      <c r="I197" s="4"/>
      <c r="AR197" s="1"/>
      <c r="AS197" s="1"/>
      <c r="AT197" s="1"/>
      <c r="AU197" s="1"/>
      <c r="AV197" s="1"/>
      <c r="AW197" s="1"/>
      <c r="AX197" s="1"/>
      <c r="AY197" s="1"/>
      <c r="AZ197" s="1"/>
      <c r="BA197" s="1"/>
      <c r="BF197" s="1"/>
      <c r="BG197" s="1"/>
      <c r="BH197" s="1"/>
      <c r="BI197" s="1"/>
      <c r="BJ197" s="1"/>
      <c r="BK197" s="1"/>
      <c r="BL197" s="1"/>
      <c r="BM197" s="33"/>
      <c r="BN197" s="1"/>
      <c r="BO197" s="1"/>
      <c r="BP197" s="1"/>
      <c r="BQ197" s="1"/>
      <c r="BR197" s="1"/>
    </row>
    <row r="198" spans="2:70" s="2" customFormat="1" x14ac:dyDescent="0.3">
      <c r="B198" s="14"/>
      <c r="D198" s="4"/>
      <c r="E198" s="4"/>
      <c r="F198" s="4"/>
      <c r="G198" s="39"/>
      <c r="H198" s="4"/>
      <c r="I198" s="4"/>
      <c r="AR198" s="1"/>
      <c r="AS198" s="1"/>
      <c r="AT198" s="1"/>
      <c r="AU198" s="1"/>
      <c r="AV198" s="1"/>
      <c r="AW198" s="1"/>
      <c r="AX198" s="1"/>
      <c r="AY198" s="1"/>
      <c r="AZ198" s="1"/>
      <c r="BA198" s="1"/>
      <c r="BF198" s="1"/>
      <c r="BG198" s="1"/>
      <c r="BH198" s="1"/>
      <c r="BI198" s="1"/>
      <c r="BJ198" s="1"/>
      <c r="BK198" s="1"/>
      <c r="BL198" s="1"/>
      <c r="BM198" s="33"/>
      <c r="BN198" s="1"/>
      <c r="BO198" s="1"/>
      <c r="BP198" s="1"/>
      <c r="BQ198" s="1"/>
      <c r="BR198" s="1"/>
    </row>
    <row r="199" spans="2:70" s="2" customFormat="1" x14ac:dyDescent="0.3">
      <c r="B199" s="14"/>
      <c r="D199" s="4"/>
      <c r="E199" s="4"/>
      <c r="F199" s="4"/>
      <c r="G199" s="39"/>
      <c r="H199" s="4"/>
      <c r="I199" s="4"/>
      <c r="AR199" s="1"/>
      <c r="AS199" s="1"/>
      <c r="AT199" s="1"/>
      <c r="AU199" s="1"/>
      <c r="AV199" s="1"/>
      <c r="AW199" s="1"/>
      <c r="AX199" s="1"/>
      <c r="AY199" s="1"/>
      <c r="AZ199" s="1"/>
      <c r="BA199" s="1"/>
      <c r="BF199" s="1"/>
      <c r="BG199" s="1"/>
      <c r="BH199" s="1"/>
      <c r="BI199" s="1"/>
      <c r="BJ199" s="1"/>
      <c r="BK199" s="1"/>
      <c r="BL199" s="1"/>
      <c r="BM199" s="33"/>
      <c r="BN199" s="1"/>
      <c r="BO199" s="1"/>
      <c r="BP199" s="1"/>
      <c r="BQ199" s="1"/>
      <c r="BR199" s="1"/>
    </row>
    <row r="200" spans="2:70" s="2" customFormat="1" x14ac:dyDescent="0.3">
      <c r="B200" s="14"/>
      <c r="D200" s="4"/>
      <c r="E200" s="4"/>
      <c r="F200" s="4"/>
      <c r="G200" s="39"/>
      <c r="H200" s="4"/>
      <c r="I200" s="4"/>
      <c r="AR200" s="1"/>
      <c r="AS200" s="1"/>
      <c r="AT200" s="1"/>
      <c r="AU200" s="1"/>
      <c r="AV200" s="1"/>
      <c r="AW200" s="1"/>
      <c r="AX200" s="1"/>
      <c r="AY200" s="1"/>
      <c r="AZ200" s="1"/>
      <c r="BA200" s="1"/>
      <c r="BF200" s="1"/>
      <c r="BG200" s="1"/>
      <c r="BH200" s="1"/>
      <c r="BI200" s="1"/>
      <c r="BJ200" s="1"/>
      <c r="BK200" s="1"/>
      <c r="BL200" s="1"/>
      <c r="BM200" s="33"/>
      <c r="BN200" s="1"/>
      <c r="BO200" s="1"/>
      <c r="BP200" s="1"/>
      <c r="BQ200" s="1"/>
      <c r="BR200" s="1"/>
    </row>
    <row r="201" spans="2:70" s="2" customFormat="1" x14ac:dyDescent="0.3">
      <c r="B201" s="14"/>
      <c r="D201" s="4"/>
      <c r="E201" s="4"/>
      <c r="F201" s="4"/>
      <c r="G201" s="39"/>
      <c r="H201" s="4"/>
      <c r="I201" s="4"/>
      <c r="AR201" s="1"/>
      <c r="AS201" s="1"/>
      <c r="AT201" s="1"/>
      <c r="AU201" s="1"/>
      <c r="AV201" s="1"/>
      <c r="AW201" s="1"/>
      <c r="AX201" s="1"/>
      <c r="AY201" s="1"/>
      <c r="AZ201" s="1"/>
      <c r="BA201" s="1"/>
      <c r="BF201" s="1"/>
      <c r="BG201" s="1"/>
      <c r="BH201" s="1"/>
      <c r="BI201" s="1"/>
      <c r="BJ201" s="1"/>
      <c r="BK201" s="1"/>
      <c r="BL201" s="1"/>
      <c r="BM201" s="33"/>
      <c r="BN201" s="1"/>
      <c r="BO201" s="1"/>
      <c r="BP201" s="1"/>
      <c r="BQ201" s="1"/>
      <c r="BR201" s="1"/>
    </row>
    <row r="202" spans="2:70" s="2" customFormat="1" x14ac:dyDescent="0.3">
      <c r="B202" s="14"/>
      <c r="D202" s="4"/>
      <c r="E202" s="4"/>
      <c r="F202" s="4"/>
      <c r="G202" s="39"/>
      <c r="H202" s="4"/>
      <c r="I202" s="4"/>
      <c r="AR202" s="1"/>
      <c r="AS202" s="1"/>
      <c r="AT202" s="1"/>
      <c r="AU202" s="1"/>
      <c r="AV202" s="1"/>
      <c r="AW202" s="1"/>
      <c r="AX202" s="1"/>
      <c r="AY202" s="1"/>
      <c r="AZ202" s="1"/>
      <c r="BA202" s="1"/>
      <c r="BF202" s="1"/>
      <c r="BG202" s="1"/>
      <c r="BH202" s="1"/>
      <c r="BI202" s="1"/>
      <c r="BJ202" s="1"/>
      <c r="BK202" s="1"/>
      <c r="BL202" s="1"/>
      <c r="BM202" s="33"/>
      <c r="BN202" s="1"/>
      <c r="BO202" s="1"/>
      <c r="BP202" s="1"/>
      <c r="BQ202" s="1"/>
      <c r="BR202" s="1"/>
    </row>
    <row r="203" spans="2:70" s="2" customFormat="1" x14ac:dyDescent="0.3">
      <c r="B203" s="14"/>
      <c r="D203" s="4"/>
      <c r="E203" s="4"/>
      <c r="F203" s="4"/>
      <c r="G203" s="39"/>
      <c r="H203" s="4"/>
      <c r="I203" s="4"/>
      <c r="AR203" s="1"/>
      <c r="AS203" s="1"/>
      <c r="AT203" s="1"/>
      <c r="AU203" s="1"/>
      <c r="AV203" s="1"/>
      <c r="AW203" s="1"/>
      <c r="AX203" s="1"/>
      <c r="AY203" s="1"/>
      <c r="AZ203" s="1"/>
      <c r="BA203" s="1"/>
      <c r="BF203" s="1"/>
      <c r="BG203" s="1"/>
      <c r="BH203" s="1"/>
      <c r="BI203" s="1"/>
      <c r="BJ203" s="1"/>
      <c r="BK203" s="1"/>
      <c r="BL203" s="1"/>
      <c r="BM203" s="33"/>
      <c r="BN203" s="1"/>
      <c r="BO203" s="1"/>
      <c r="BP203" s="1"/>
      <c r="BQ203" s="1"/>
      <c r="BR203" s="1"/>
    </row>
    <row r="204" spans="2:70" s="2" customFormat="1" x14ac:dyDescent="0.3">
      <c r="B204" s="14"/>
      <c r="D204" s="4"/>
      <c r="E204" s="4"/>
      <c r="F204" s="4"/>
      <c r="G204" s="39"/>
      <c r="H204" s="4"/>
      <c r="I204" s="4"/>
      <c r="AR204" s="1"/>
      <c r="AS204" s="1"/>
      <c r="AT204" s="1"/>
      <c r="AU204" s="1"/>
      <c r="AV204" s="1"/>
      <c r="AW204" s="1"/>
      <c r="AX204" s="1"/>
      <c r="AY204" s="1"/>
      <c r="AZ204" s="1"/>
      <c r="BA204" s="1"/>
      <c r="BF204" s="1"/>
      <c r="BG204" s="1"/>
      <c r="BH204" s="1"/>
      <c r="BI204" s="1"/>
      <c r="BJ204" s="1"/>
      <c r="BK204" s="1"/>
      <c r="BL204" s="1"/>
      <c r="BM204" s="33"/>
      <c r="BN204" s="1"/>
      <c r="BO204" s="1"/>
      <c r="BP204" s="1"/>
      <c r="BQ204" s="1"/>
      <c r="BR204" s="1"/>
    </row>
    <row r="205" spans="2:70" s="2" customFormat="1" x14ac:dyDescent="0.3">
      <c r="B205" s="14"/>
      <c r="D205" s="4"/>
      <c r="E205" s="4"/>
      <c r="F205" s="4"/>
      <c r="G205" s="39"/>
      <c r="H205" s="4"/>
      <c r="I205" s="4"/>
      <c r="AR205" s="1"/>
      <c r="AS205" s="1"/>
      <c r="AT205" s="1"/>
      <c r="AU205" s="1"/>
      <c r="AV205" s="1"/>
      <c r="AW205" s="1"/>
      <c r="AX205" s="1"/>
      <c r="AY205" s="1"/>
      <c r="AZ205" s="1"/>
      <c r="BA205" s="1"/>
      <c r="BF205" s="1"/>
      <c r="BG205" s="1"/>
      <c r="BH205" s="1"/>
      <c r="BI205" s="1"/>
      <c r="BJ205" s="1"/>
      <c r="BK205" s="1"/>
      <c r="BL205" s="1"/>
      <c r="BM205" s="33"/>
      <c r="BN205" s="1"/>
      <c r="BO205" s="1"/>
      <c r="BP205" s="1"/>
      <c r="BQ205" s="1"/>
      <c r="BR205" s="1"/>
    </row>
    <row r="206" spans="2:70" s="2" customFormat="1" x14ac:dyDescent="0.3">
      <c r="B206" s="14"/>
      <c r="D206" s="4"/>
      <c r="E206" s="4"/>
      <c r="F206" s="4"/>
      <c r="G206" s="39"/>
      <c r="H206" s="4"/>
      <c r="I206" s="4"/>
      <c r="AR206" s="1"/>
      <c r="AS206" s="1"/>
      <c r="AT206" s="1"/>
      <c r="AU206" s="1"/>
      <c r="AV206" s="1"/>
      <c r="AW206" s="1"/>
      <c r="AX206" s="1"/>
      <c r="AY206" s="1"/>
      <c r="AZ206" s="1"/>
      <c r="BA206" s="1"/>
      <c r="BF206" s="1"/>
      <c r="BG206" s="1"/>
      <c r="BH206" s="1"/>
      <c r="BI206" s="1"/>
      <c r="BJ206" s="1"/>
      <c r="BK206" s="1"/>
      <c r="BL206" s="1"/>
      <c r="BM206" s="33"/>
      <c r="BN206" s="1"/>
      <c r="BO206" s="1"/>
      <c r="BP206" s="1"/>
      <c r="BQ206" s="1"/>
      <c r="BR206" s="1"/>
    </row>
    <row r="207" spans="2:70" s="2" customFormat="1" x14ac:dyDescent="0.3">
      <c r="B207" s="14"/>
      <c r="D207" s="4"/>
      <c r="E207" s="4"/>
      <c r="F207" s="4"/>
      <c r="G207" s="39"/>
      <c r="H207" s="4"/>
      <c r="I207" s="4"/>
      <c r="AR207" s="1"/>
      <c r="AS207" s="1"/>
      <c r="AT207" s="1"/>
      <c r="AU207" s="1"/>
      <c r="AV207" s="1"/>
      <c r="AW207" s="1"/>
      <c r="AX207" s="1"/>
      <c r="AY207" s="1"/>
      <c r="AZ207" s="1"/>
      <c r="BA207" s="1"/>
      <c r="BF207" s="1"/>
      <c r="BG207" s="1"/>
      <c r="BH207" s="1"/>
      <c r="BI207" s="1"/>
      <c r="BJ207" s="1"/>
      <c r="BK207" s="1"/>
      <c r="BL207" s="1"/>
      <c r="BM207" s="33"/>
      <c r="BN207" s="1"/>
      <c r="BO207" s="1"/>
      <c r="BP207" s="1"/>
      <c r="BQ207" s="1"/>
      <c r="BR207" s="1"/>
    </row>
    <row r="208" spans="2:70" s="2" customFormat="1" x14ac:dyDescent="0.3">
      <c r="B208" s="14"/>
      <c r="D208" s="4"/>
      <c r="E208" s="4"/>
      <c r="F208" s="4"/>
      <c r="G208" s="39"/>
      <c r="H208" s="4"/>
      <c r="I208" s="4"/>
      <c r="AR208" s="1"/>
      <c r="AS208" s="1"/>
      <c r="AT208" s="1"/>
      <c r="AU208" s="1"/>
      <c r="AV208" s="1"/>
      <c r="AW208" s="1"/>
      <c r="AX208" s="1"/>
      <c r="AY208" s="1"/>
      <c r="AZ208" s="1"/>
      <c r="BA208" s="1"/>
      <c r="BF208" s="1"/>
      <c r="BG208" s="1"/>
      <c r="BH208" s="1"/>
      <c r="BI208" s="1"/>
      <c r="BJ208" s="1"/>
      <c r="BK208" s="1"/>
      <c r="BL208" s="1"/>
      <c r="BM208" s="33"/>
      <c r="BN208" s="1"/>
      <c r="BO208" s="1"/>
      <c r="BP208" s="1"/>
      <c r="BQ208" s="1"/>
      <c r="BR208" s="1"/>
    </row>
    <row r="209" spans="2:70" s="2" customFormat="1" x14ac:dyDescent="0.3">
      <c r="B209" s="14"/>
      <c r="D209" s="4"/>
      <c r="E209" s="4"/>
      <c r="F209" s="4"/>
      <c r="G209" s="39"/>
      <c r="H209" s="4"/>
      <c r="I209" s="4"/>
      <c r="AR209" s="1"/>
      <c r="AS209" s="1"/>
      <c r="AT209" s="1"/>
      <c r="AU209" s="1"/>
      <c r="AV209" s="1"/>
      <c r="AW209" s="1"/>
      <c r="AX209" s="1"/>
      <c r="AY209" s="1"/>
      <c r="AZ209" s="1"/>
      <c r="BA209" s="1"/>
      <c r="BF209" s="1"/>
      <c r="BG209" s="1"/>
      <c r="BH209" s="1"/>
      <c r="BI209" s="1"/>
      <c r="BJ209" s="1"/>
      <c r="BK209" s="1"/>
      <c r="BL209" s="1"/>
      <c r="BM209" s="33"/>
      <c r="BN209" s="1"/>
      <c r="BO209" s="1"/>
      <c r="BP209" s="1"/>
      <c r="BQ209" s="1"/>
      <c r="BR209" s="1"/>
    </row>
    <row r="210" spans="2:70" s="2" customFormat="1" x14ac:dyDescent="0.3">
      <c r="B210" s="14"/>
      <c r="D210" s="4"/>
      <c r="E210" s="4"/>
      <c r="F210" s="4"/>
      <c r="G210" s="39"/>
      <c r="H210" s="4"/>
      <c r="I210" s="4"/>
      <c r="AR210" s="1"/>
      <c r="AS210" s="1"/>
      <c r="AT210" s="1"/>
      <c r="AU210" s="1"/>
      <c r="AV210" s="1"/>
      <c r="AW210" s="1"/>
      <c r="AX210" s="1"/>
      <c r="AY210" s="1"/>
      <c r="AZ210" s="1"/>
      <c r="BA210" s="1"/>
      <c r="BF210" s="1"/>
      <c r="BG210" s="1"/>
      <c r="BH210" s="1"/>
      <c r="BI210" s="1"/>
      <c r="BJ210" s="1"/>
      <c r="BK210" s="1"/>
      <c r="BL210" s="1"/>
      <c r="BM210" s="33"/>
      <c r="BN210" s="1"/>
      <c r="BO210" s="1"/>
      <c r="BP210" s="1"/>
      <c r="BQ210" s="1"/>
      <c r="BR210" s="1"/>
    </row>
    <row r="211" spans="2:70" s="2" customFormat="1" x14ac:dyDescent="0.3">
      <c r="B211" s="14"/>
      <c r="D211" s="4"/>
      <c r="E211" s="4"/>
      <c r="F211" s="4"/>
      <c r="G211" s="39"/>
      <c r="H211" s="4"/>
      <c r="I211" s="4"/>
      <c r="AR211" s="1"/>
      <c r="AS211" s="1"/>
      <c r="AT211" s="1"/>
      <c r="AU211" s="1"/>
      <c r="AV211" s="1"/>
      <c r="AW211" s="1"/>
      <c r="AX211" s="1"/>
      <c r="AY211" s="1"/>
      <c r="AZ211" s="1"/>
      <c r="BA211" s="1"/>
      <c r="BF211" s="1"/>
      <c r="BG211" s="1"/>
      <c r="BH211" s="1"/>
      <c r="BI211" s="1"/>
      <c r="BJ211" s="1"/>
      <c r="BK211" s="1"/>
      <c r="BL211" s="1"/>
      <c r="BM211" s="33"/>
      <c r="BN211" s="1"/>
      <c r="BO211" s="1"/>
      <c r="BP211" s="1"/>
      <c r="BQ211" s="1"/>
      <c r="BR211" s="1"/>
    </row>
    <row r="212" spans="2:70" s="2" customFormat="1" x14ac:dyDescent="0.3">
      <c r="B212" s="14"/>
      <c r="D212" s="4"/>
      <c r="E212" s="4"/>
      <c r="F212" s="4"/>
      <c r="G212" s="39"/>
      <c r="H212" s="4"/>
      <c r="I212" s="4"/>
      <c r="AR212" s="1"/>
      <c r="AS212" s="1"/>
      <c r="AT212" s="1"/>
      <c r="AU212" s="1"/>
      <c r="AV212" s="1"/>
      <c r="AW212" s="1"/>
      <c r="AX212" s="1"/>
      <c r="AY212" s="1"/>
      <c r="AZ212" s="1"/>
      <c r="BA212" s="1"/>
      <c r="BF212" s="1"/>
      <c r="BG212" s="1"/>
      <c r="BH212" s="1"/>
      <c r="BI212" s="1"/>
      <c r="BJ212" s="1"/>
      <c r="BK212" s="1"/>
      <c r="BL212" s="1"/>
      <c r="BM212" s="33"/>
      <c r="BN212" s="1"/>
      <c r="BO212" s="1"/>
      <c r="BP212" s="1"/>
      <c r="BQ212" s="1"/>
      <c r="BR212" s="1"/>
    </row>
    <row r="213" spans="2:70" s="2" customFormat="1" x14ac:dyDescent="0.3">
      <c r="B213" s="14"/>
      <c r="D213" s="4"/>
      <c r="E213" s="4"/>
      <c r="F213" s="4"/>
      <c r="G213" s="39"/>
      <c r="H213" s="4"/>
      <c r="I213" s="4"/>
      <c r="AR213" s="1"/>
      <c r="AS213" s="1"/>
      <c r="AT213" s="1"/>
      <c r="AU213" s="1"/>
      <c r="AV213" s="1"/>
      <c r="AW213" s="1"/>
      <c r="AX213" s="1"/>
      <c r="AY213" s="1"/>
      <c r="AZ213" s="1"/>
      <c r="BA213" s="1"/>
      <c r="BF213" s="1"/>
      <c r="BG213" s="1"/>
      <c r="BH213" s="1"/>
      <c r="BI213" s="1"/>
      <c r="BJ213" s="1"/>
      <c r="BK213" s="1"/>
      <c r="BL213" s="1"/>
      <c r="BM213" s="33"/>
      <c r="BN213" s="1"/>
      <c r="BO213" s="1"/>
      <c r="BP213" s="1"/>
      <c r="BQ213" s="1"/>
      <c r="BR213" s="1"/>
    </row>
    <row r="214" spans="2:70" s="2" customFormat="1" x14ac:dyDescent="0.3">
      <c r="B214" s="14"/>
      <c r="D214" s="4"/>
      <c r="E214" s="4"/>
      <c r="F214" s="4"/>
      <c r="G214" s="39"/>
      <c r="H214" s="4"/>
      <c r="I214" s="4"/>
      <c r="AR214" s="1"/>
      <c r="AS214" s="1"/>
      <c r="AT214" s="1"/>
      <c r="AU214" s="1"/>
      <c r="AV214" s="1"/>
      <c r="AW214" s="1"/>
      <c r="AX214" s="1"/>
      <c r="AY214" s="1"/>
      <c r="AZ214" s="1"/>
      <c r="BA214" s="1"/>
      <c r="BF214" s="1"/>
      <c r="BG214" s="1"/>
      <c r="BH214" s="1"/>
      <c r="BI214" s="1"/>
      <c r="BJ214" s="1"/>
      <c r="BK214" s="1"/>
      <c r="BL214" s="1"/>
      <c r="BM214" s="33"/>
      <c r="BN214" s="1"/>
      <c r="BO214" s="1"/>
      <c r="BP214" s="1"/>
      <c r="BQ214" s="1"/>
      <c r="BR214" s="1"/>
    </row>
    <row r="215" spans="2:70" s="2" customFormat="1" x14ac:dyDescent="0.3">
      <c r="B215" s="14"/>
      <c r="D215" s="4"/>
      <c r="E215" s="4"/>
      <c r="F215" s="4"/>
      <c r="G215" s="39"/>
      <c r="H215" s="4"/>
      <c r="I215" s="4"/>
      <c r="AR215" s="1"/>
      <c r="AS215" s="1"/>
      <c r="AT215" s="1"/>
      <c r="AU215" s="1"/>
      <c r="AV215" s="1"/>
      <c r="AW215" s="1"/>
      <c r="AX215" s="1"/>
      <c r="AY215" s="1"/>
      <c r="AZ215" s="1"/>
      <c r="BA215" s="1"/>
      <c r="BF215" s="1"/>
      <c r="BG215" s="1"/>
      <c r="BH215" s="1"/>
      <c r="BI215" s="1"/>
      <c r="BJ215" s="1"/>
      <c r="BK215" s="1"/>
      <c r="BL215" s="1"/>
      <c r="BM215" s="33"/>
      <c r="BN215" s="1"/>
      <c r="BO215" s="1"/>
      <c r="BP215" s="1"/>
      <c r="BQ215" s="1"/>
      <c r="BR215" s="1"/>
    </row>
  </sheetData>
  <mergeCells count="13">
    <mergeCell ref="W3:X4"/>
    <mergeCell ref="A1:J1"/>
    <mergeCell ref="A5:A6"/>
    <mergeCell ref="B5:B6"/>
    <mergeCell ref="C5:C6"/>
    <mergeCell ref="G5:G6"/>
    <mergeCell ref="K3:L4"/>
    <mergeCell ref="M3:N4"/>
    <mergeCell ref="P3:Q4"/>
    <mergeCell ref="R3:S4"/>
    <mergeCell ref="U3:V4"/>
    <mergeCell ref="D5:E5"/>
    <mergeCell ref="H5:I5"/>
  </mergeCells>
  <conditionalFormatting sqref="K45:Q46 AA7:BK459 T45:Z45 S46:Z46 K47:Z459 K7:Z44">
    <cfRule type="expression" dxfId="26" priority="175">
      <formula>WEEKNUM(TODAY(),1)=K$6</formula>
    </cfRule>
  </conditionalFormatting>
  <conditionalFormatting sqref="I156:I187 A8:BK155">
    <cfRule type="expression" dxfId="25" priority="177">
      <formula>AND($A8&lt;&gt;"")</formula>
    </cfRule>
  </conditionalFormatting>
  <conditionalFormatting sqref="B12:B30">
    <cfRule type="expression" dxfId="24" priority="174">
      <formula>"A5&lt;&gt;2"</formula>
    </cfRule>
  </conditionalFormatting>
  <conditionalFormatting sqref="I35:I187 B37:H40 A8:J34 A9:A155">
    <cfRule type="expression" dxfId="23" priority="173">
      <formula>"$A5&lt;&gt;"""""</formula>
    </cfRule>
  </conditionalFormatting>
  <conditionalFormatting sqref="A8:J215">
    <cfRule type="expression" dxfId="22" priority="172">
      <formula>AND($A8&lt;&gt;"")</formula>
    </cfRule>
  </conditionalFormatting>
  <conditionalFormatting sqref="B37:B40">
    <cfRule type="expression" dxfId="21" priority="149">
      <formula>"A5&lt;&gt;2"</formula>
    </cfRule>
  </conditionalFormatting>
  <conditionalFormatting sqref="B41:B44">
    <cfRule type="expression" dxfId="20" priority="136">
      <formula>"A5&lt;&gt;2"</formula>
    </cfRule>
  </conditionalFormatting>
  <conditionalFormatting sqref="B41:B44">
    <cfRule type="expression" dxfId="19" priority="135">
      <formula>"$A5&lt;&gt;"""""</formula>
    </cfRule>
  </conditionalFormatting>
  <conditionalFormatting sqref="F41:H44">
    <cfRule type="expression" dxfId="18" priority="134">
      <formula>"$A5&lt;&gt;"""""</formula>
    </cfRule>
  </conditionalFormatting>
  <conditionalFormatting sqref="F42:F44">
    <cfRule type="expression" dxfId="17" priority="133">
      <formula>"$A5&lt;&gt;"""""</formula>
    </cfRule>
  </conditionalFormatting>
  <conditionalFormatting sqref="S45 R45:R46">
    <cfRule type="expression" dxfId="16" priority="125">
      <formula>AND(R$6&gt;=$F45,R$6&lt;=$I45,$J45="Trễ hạn")</formula>
    </cfRule>
    <cfRule type="expression" dxfId="15" priority="126">
      <formula>TODAY()=R$6</formula>
    </cfRule>
    <cfRule type="expression" dxfId="14" priority="130">
      <formula>AND(R$6&gt;=$F45,R$6&lt;=$I45,$J45="Hoàn thành")</formula>
    </cfRule>
    <cfRule type="expression" dxfId="13" priority="131">
      <formula>AND(R$6&gt;=$F45,R$6&lt;=$I45,$J45="Đang chờ xử lý")</formula>
    </cfRule>
    <cfRule type="expression" dxfId="12" priority="132">
      <formula>AND(R$6&gt;=$F45,R$6&lt;=$I45,$J45="Đang thực hiện")</formula>
    </cfRule>
  </conditionalFormatting>
  <conditionalFormatting sqref="K7:BK188">
    <cfRule type="expression" dxfId="11" priority="171">
      <formula>AND(K$6&gt;=WEEKNUM($F7),K$6&lt;=WEEKNUM($I7))</formula>
    </cfRule>
  </conditionalFormatting>
  <conditionalFormatting sqref="K8">
    <cfRule type="expression" dxfId="10" priority="193">
      <formula>AND(#REF!&gt;=WEEKNUM(#REF!),#REF!&lt;=WEEKNUM($I8))</formula>
    </cfRule>
  </conditionalFormatting>
  <conditionalFormatting sqref="H42:H44">
    <cfRule type="expression" dxfId="9" priority="11">
      <formula>"$A5&lt;&gt;"""""</formula>
    </cfRule>
  </conditionalFormatting>
  <conditionalFormatting sqref="K16:AM16">
    <cfRule type="expression" dxfId="8" priority="10">
      <formula>"$A5&lt;&gt;"""""</formula>
    </cfRule>
  </conditionalFormatting>
  <conditionalFormatting sqref="K16:AM16">
    <cfRule type="expression" dxfId="7" priority="9">
      <formula>AND($A16&lt;&gt;"")</formula>
    </cfRule>
  </conditionalFormatting>
  <conditionalFormatting sqref="A7:BK7">
    <cfRule type="expression" dxfId="6" priority="8">
      <formula>AND($A7&lt;&gt;"")</formula>
    </cfRule>
  </conditionalFormatting>
  <conditionalFormatting sqref="B7">
    <cfRule type="expression" dxfId="5" priority="6">
      <formula>"A5&lt;&gt;2"</formula>
    </cfRule>
  </conditionalFormatting>
  <conditionalFormatting sqref="A7:J7">
    <cfRule type="expression" dxfId="4" priority="5">
      <formula>"$A5&lt;&gt;"""""</formula>
    </cfRule>
  </conditionalFormatting>
  <conditionalFormatting sqref="A7:J7">
    <cfRule type="expression" dxfId="3" priority="4">
      <formula>AND($A7&lt;&gt;"")</formula>
    </cfRule>
  </conditionalFormatting>
  <conditionalFormatting sqref="K7:BK7">
    <cfRule type="expression" dxfId="2" priority="2">
      <formula>"$A5&lt;&gt;"""""</formula>
    </cfRule>
  </conditionalFormatting>
  <conditionalFormatting sqref="K7:BK7">
    <cfRule type="expression" dxfId="1" priority="1">
      <formula>AND($A7&lt;&gt;"")</formula>
    </cfRule>
  </conditionalFormatting>
  <conditionalFormatting sqref="K5:BK6">
    <cfRule type="expression" dxfId="0" priority="194">
      <formula>WEEKNUM(K$5)=$BL$4</formula>
    </cfRule>
  </conditionalFormatting>
  <pageMargins left="0.23622047244094491" right="0.23622047244094491" top="0.31496062992125984" bottom="0.28999999999999998" header="0.31496062992125984" footer="0.31496062992125984"/>
  <pageSetup paperSize="9" scale="31" fitToHeight="0" orientation="landscape" r:id="rId1"/>
  <rowBreaks count="1" manualBreakCount="1">
    <brk id="16" max="16383" man="1"/>
  </rowBreaks>
  <colBreaks count="1" manualBreakCount="1">
    <brk id="25"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defaultSize="0" autoPict="0">
                <anchor moveWithCells="1" sizeWithCells="1">
                  <from>
                    <xdr:col>13</xdr:col>
                    <xdr:colOff>349250</xdr:colOff>
                    <xdr:row>2</xdr:row>
                    <xdr:rowOff>0</xdr:rowOff>
                  </from>
                  <to>
                    <xdr:col>15</xdr:col>
                    <xdr:colOff>6350</xdr:colOff>
                    <xdr:row>4</xdr:row>
                    <xdr:rowOff>6350</xdr:rowOff>
                  </to>
                </anchor>
              </controlPr>
            </control>
          </mc:Choice>
        </mc:AlternateContent>
        <mc:AlternateContent xmlns:mc="http://schemas.openxmlformats.org/markup-compatibility/2006">
          <mc:Choice Requires="x14">
            <control shapeId="1026" r:id="rId5" name="Spinner 2">
              <controlPr defaultSize="0" autoPict="0">
                <anchor moveWithCells="1" sizeWithCells="1">
                  <from>
                    <xdr:col>19</xdr:col>
                    <xdr:colOff>6350</xdr:colOff>
                    <xdr:row>2</xdr:row>
                    <xdr:rowOff>6350</xdr:rowOff>
                  </from>
                  <to>
                    <xdr:col>20</xdr:col>
                    <xdr:colOff>0</xdr:colOff>
                    <xdr:row>3</xdr:row>
                    <xdr:rowOff>196850</xdr:rowOff>
                  </to>
                </anchor>
              </controlPr>
            </control>
          </mc:Choice>
        </mc:AlternateContent>
        <mc:AlternateContent xmlns:mc="http://schemas.openxmlformats.org/markup-compatibility/2006">
          <mc:Choice Requires="x14">
            <control shapeId="1027" r:id="rId6" name="Spinner 3">
              <controlPr defaultSize="0" autoPict="0">
                <anchor moveWithCells="1" sizeWithCells="1">
                  <from>
                    <xdr:col>24</xdr:col>
                    <xdr:colOff>6350</xdr:colOff>
                    <xdr:row>2</xdr:row>
                    <xdr:rowOff>0</xdr:rowOff>
                  </from>
                  <to>
                    <xdr:col>25</xdr:col>
                    <xdr:colOff>6350</xdr:colOff>
                    <xdr:row>4</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6B31F66A-0AF9-4949-8B43-CFAB6C5CBA3A}">
          <x14:formula1>
            <xm:f>Sheet1!$K$2:$K$8</xm:f>
          </x14:formula1>
          <xm:sqref>M1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C56D8-4486-450F-983F-11D055C679A7}">
  <dimension ref="A1:L56"/>
  <sheetViews>
    <sheetView topLeftCell="C1" workbookViewId="0">
      <selection activeCell="H5" sqref="H5"/>
    </sheetView>
  </sheetViews>
  <sheetFormatPr defaultRowHeight="15.5" x14ac:dyDescent="0.35"/>
  <cols>
    <col min="1" max="1" width="46.4140625" style="17" bestFit="1" customWidth="1"/>
    <col min="2" max="2" width="4.1640625" customWidth="1"/>
    <col min="3" max="4" width="16.1640625" style="17" customWidth="1"/>
    <col min="5" max="5" width="49.25" style="17" customWidth="1"/>
    <col min="6" max="6" width="13.5" style="17" customWidth="1"/>
    <col min="7" max="8" width="12.75" style="17" customWidth="1"/>
    <col min="12" max="12" width="11.1640625" bestFit="1" customWidth="1"/>
  </cols>
  <sheetData>
    <row r="1" spans="1:12" x14ac:dyDescent="0.35">
      <c r="A1" s="17">
        <v>1</v>
      </c>
      <c r="C1" s="17">
        <v>2</v>
      </c>
    </row>
    <row r="2" spans="1:12" ht="16.5" x14ac:dyDescent="0.35">
      <c r="A2" s="18" t="s">
        <v>14</v>
      </c>
      <c r="C2" s="18" t="s">
        <v>13</v>
      </c>
      <c r="D2" s="18" t="s">
        <v>15</v>
      </c>
      <c r="E2" s="19" t="s">
        <v>16</v>
      </c>
      <c r="F2" s="20" t="s">
        <v>7</v>
      </c>
      <c r="G2" s="21" t="s">
        <v>17</v>
      </c>
      <c r="H2" s="21" t="s">
        <v>18</v>
      </c>
      <c r="K2" s="23" t="s">
        <v>19</v>
      </c>
      <c r="L2" t="s">
        <v>74</v>
      </c>
    </row>
    <row r="3" spans="1:12" ht="27.15" customHeight="1" x14ac:dyDescent="0.35">
      <c r="A3" s="23" t="s">
        <v>19</v>
      </c>
      <c r="B3">
        <v>1</v>
      </c>
      <c r="C3" s="23" t="s">
        <v>21</v>
      </c>
      <c r="D3" s="23" t="s">
        <v>72</v>
      </c>
      <c r="E3" s="24" t="s">
        <v>22</v>
      </c>
      <c r="F3" s="25">
        <v>1</v>
      </c>
      <c r="G3" s="26">
        <v>44565</v>
      </c>
      <c r="H3" s="26">
        <v>44565</v>
      </c>
      <c r="K3" t="s">
        <v>30</v>
      </c>
      <c r="L3" t="s">
        <v>75</v>
      </c>
    </row>
    <row r="4" spans="1:12" ht="27.15" customHeight="1" x14ac:dyDescent="0.35">
      <c r="A4" s="23" t="s">
        <v>19</v>
      </c>
      <c r="B4">
        <v>2</v>
      </c>
      <c r="C4" s="23" t="s">
        <v>21</v>
      </c>
      <c r="D4" s="23" t="s">
        <v>72</v>
      </c>
      <c r="E4" s="24" t="s">
        <v>23</v>
      </c>
      <c r="F4" s="22">
        <v>3</v>
      </c>
      <c r="G4" s="26">
        <v>44565</v>
      </c>
      <c r="H4" s="26">
        <v>44567</v>
      </c>
      <c r="K4" t="s">
        <v>38</v>
      </c>
      <c r="L4" t="s">
        <v>76</v>
      </c>
    </row>
    <row r="5" spans="1:12" ht="27.15" customHeight="1" x14ac:dyDescent="0.35">
      <c r="A5" s="23" t="s">
        <v>19</v>
      </c>
      <c r="B5">
        <v>3</v>
      </c>
      <c r="C5" s="23" t="s">
        <v>21</v>
      </c>
      <c r="D5" s="23" t="s">
        <v>72</v>
      </c>
      <c r="E5" s="24" t="s">
        <v>24</v>
      </c>
      <c r="F5" s="22">
        <v>3</v>
      </c>
      <c r="G5" s="26">
        <f>WORKDAY.INTL(H4,1,11,[1]Holiday!$A$2:$A$16)</f>
        <v>44568</v>
      </c>
      <c r="H5" s="26">
        <f>WORKDAY.INTL(G5,F5,11,[1]Holiday!$A$2:$A$16)</f>
        <v>44572</v>
      </c>
      <c r="K5" t="s">
        <v>43</v>
      </c>
      <c r="L5" t="s">
        <v>77</v>
      </c>
    </row>
    <row r="6" spans="1:12" ht="27.15" customHeight="1" x14ac:dyDescent="0.35">
      <c r="A6" s="23" t="s">
        <v>19</v>
      </c>
      <c r="B6">
        <v>4</v>
      </c>
      <c r="C6" s="23" t="s">
        <v>21</v>
      </c>
      <c r="D6" s="23" t="s">
        <v>72</v>
      </c>
      <c r="E6" s="24" t="s">
        <v>25</v>
      </c>
      <c r="F6" s="22">
        <v>7</v>
      </c>
      <c r="G6" s="26">
        <f>WORKDAY.INTL(H5,1,11,[1]Holiday!$A$2:$A$16)</f>
        <v>44573</v>
      </c>
      <c r="H6" s="26">
        <f>WORKDAY.INTL(G6,F6,11,[1]Holiday!$A$2:$A$16)</f>
        <v>44581</v>
      </c>
      <c r="K6" t="s">
        <v>44</v>
      </c>
      <c r="L6" t="s">
        <v>78</v>
      </c>
    </row>
    <row r="7" spans="1:12" ht="27.15" customHeight="1" x14ac:dyDescent="0.35">
      <c r="A7" s="23" t="s">
        <v>19</v>
      </c>
      <c r="B7">
        <v>5</v>
      </c>
      <c r="C7" s="23" t="s">
        <v>21</v>
      </c>
      <c r="D7" s="23" t="s">
        <v>72</v>
      </c>
      <c r="E7" s="24" t="s">
        <v>26</v>
      </c>
      <c r="F7" s="22">
        <v>7</v>
      </c>
      <c r="G7" s="26">
        <f>WORKDAY.INTL(H6,1,11,[1]Holiday!$A$2:$A$16)</f>
        <v>44582</v>
      </c>
      <c r="H7" s="26">
        <f>WORKDAY.INTL(G7,F7,11,[1]Holiday!$A$2:$A$16)</f>
        <v>44599</v>
      </c>
      <c r="K7" t="s">
        <v>51</v>
      </c>
      <c r="L7" t="s">
        <v>79</v>
      </c>
    </row>
    <row r="8" spans="1:12" ht="27.15" customHeight="1" x14ac:dyDescent="0.35">
      <c r="A8" s="23" t="s">
        <v>19</v>
      </c>
      <c r="B8">
        <v>6</v>
      </c>
      <c r="C8" s="23" t="s">
        <v>21</v>
      </c>
      <c r="D8" s="23" t="s">
        <v>72</v>
      </c>
      <c r="E8" s="24" t="s">
        <v>27</v>
      </c>
      <c r="F8" s="22">
        <v>5</v>
      </c>
      <c r="G8" s="26">
        <f>WORKDAY.INTL(H7,1,11,[1]Holiday!$A$2:$A$16)</f>
        <v>44600</v>
      </c>
      <c r="H8" s="26">
        <f>WORKDAY.INTL(G8,F8,11,[1]Holiday!$A$2:$A$16)</f>
        <v>44606</v>
      </c>
      <c r="K8" t="s">
        <v>52</v>
      </c>
      <c r="L8" t="s">
        <v>80</v>
      </c>
    </row>
    <row r="9" spans="1:12" ht="27.15" customHeight="1" x14ac:dyDescent="0.35">
      <c r="A9" s="23" t="s">
        <v>19</v>
      </c>
      <c r="B9">
        <v>7</v>
      </c>
      <c r="C9" s="23" t="s">
        <v>21</v>
      </c>
      <c r="D9" s="23" t="s">
        <v>72</v>
      </c>
      <c r="E9" s="24" t="s">
        <v>28</v>
      </c>
      <c r="F9" s="22">
        <v>1</v>
      </c>
      <c r="G9" s="26">
        <f>WORKDAY.INTL(H8,1,11,[1]Holiday!$A$2:$A$16)</f>
        <v>44607</v>
      </c>
      <c r="H9" s="26">
        <v>44608</v>
      </c>
    </row>
    <row r="10" spans="1:12" ht="27.15" customHeight="1" x14ac:dyDescent="0.35">
      <c r="A10" s="23" t="s">
        <v>19</v>
      </c>
      <c r="B10">
        <v>8</v>
      </c>
      <c r="C10" s="23" t="s">
        <v>21</v>
      </c>
      <c r="D10" s="23" t="s">
        <v>72</v>
      </c>
      <c r="E10" s="24" t="s">
        <v>29</v>
      </c>
      <c r="F10" s="22">
        <v>2</v>
      </c>
      <c r="G10" s="26">
        <f>WORKDAY.INTL(H9,1,11,[1]Holiday!$A$2:$A$16)</f>
        <v>44609</v>
      </c>
      <c r="H10" s="26">
        <f>WORKDAY.INTL(G10,F10,11,[1]Holiday!$A$2:$A$16)</f>
        <v>44611</v>
      </c>
    </row>
    <row r="11" spans="1:12" x14ac:dyDescent="0.35">
      <c r="A11" s="27"/>
      <c r="B11">
        <v>9</v>
      </c>
      <c r="C11" s="27"/>
      <c r="D11" s="27"/>
      <c r="E11" s="28"/>
      <c r="F11" s="27">
        <v>55</v>
      </c>
      <c r="G11" s="29"/>
      <c r="H11" s="29"/>
    </row>
    <row r="12" spans="1:12" x14ac:dyDescent="0.35">
      <c r="A12" s="23" t="s">
        <v>30</v>
      </c>
      <c r="B12">
        <v>10</v>
      </c>
      <c r="C12" s="23" t="s">
        <v>21</v>
      </c>
      <c r="D12" s="23" t="s">
        <v>71</v>
      </c>
      <c r="E12" s="24" t="s">
        <v>22</v>
      </c>
      <c r="F12" s="25">
        <v>1</v>
      </c>
      <c r="G12" s="26">
        <v>44650</v>
      </c>
      <c r="H12" s="26">
        <v>44650</v>
      </c>
    </row>
    <row r="13" spans="1:12" ht="25" x14ac:dyDescent="0.35">
      <c r="A13" s="23" t="s">
        <v>30</v>
      </c>
      <c r="B13">
        <v>11</v>
      </c>
      <c r="C13" s="23" t="s">
        <v>21</v>
      </c>
      <c r="D13" s="23" t="s">
        <v>71</v>
      </c>
      <c r="E13" s="24" t="s">
        <v>33</v>
      </c>
      <c r="F13" s="22">
        <v>7</v>
      </c>
      <c r="G13" s="26">
        <v>44650</v>
      </c>
      <c r="H13" s="26">
        <f>WORKDAY.INTL(G13,F13,11,[1]Holiday!$A$2:$A$16)</f>
        <v>44658</v>
      </c>
    </row>
    <row r="14" spans="1:12" ht="25" x14ac:dyDescent="0.35">
      <c r="A14" s="23" t="s">
        <v>30</v>
      </c>
      <c r="B14">
        <v>12</v>
      </c>
      <c r="C14" s="23" t="s">
        <v>21</v>
      </c>
      <c r="D14" s="23" t="s">
        <v>71</v>
      </c>
      <c r="E14" s="31" t="s">
        <v>34</v>
      </c>
      <c r="F14" s="30">
        <v>21</v>
      </c>
      <c r="G14" s="26">
        <f>WORKDAY.INTL(H13,1,11,[1]Holiday!$A$2:$A$16)</f>
        <v>44659</v>
      </c>
      <c r="H14" s="26">
        <f>WORKDAY.INTL(G14,F14,11,[1]Holiday!$A$2:$A$16)</f>
        <v>44686</v>
      </c>
    </row>
    <row r="15" spans="1:12" ht="25" x14ac:dyDescent="0.35">
      <c r="A15" s="23" t="s">
        <v>30</v>
      </c>
      <c r="B15">
        <v>13</v>
      </c>
      <c r="C15" s="23" t="s">
        <v>21</v>
      </c>
      <c r="D15" s="23" t="s">
        <v>71</v>
      </c>
      <c r="E15" s="31" t="s">
        <v>35</v>
      </c>
      <c r="F15" s="30">
        <v>3</v>
      </c>
      <c r="G15" s="26">
        <f>WORKDAY.INTL(H14,1,11,[1]Holiday!$A$2:$A$16)</f>
        <v>44687</v>
      </c>
      <c r="H15" s="26">
        <f>WORKDAY.INTL(G15,F15,11,[1]Holiday!$A$2:$A$16)</f>
        <v>44691</v>
      </c>
    </row>
    <row r="16" spans="1:12" ht="37.5" x14ac:dyDescent="0.35">
      <c r="A16" s="23" t="s">
        <v>30</v>
      </c>
      <c r="B16">
        <v>14</v>
      </c>
      <c r="C16" s="23" t="s">
        <v>21</v>
      </c>
      <c r="D16" s="23" t="s">
        <v>71</v>
      </c>
      <c r="E16" s="31" t="s">
        <v>36</v>
      </c>
      <c r="F16" s="30">
        <v>7</v>
      </c>
      <c r="G16" s="26">
        <f>WORKDAY.INTL(H15,1,11,[1]Holiday!$A$2:$A$16)</f>
        <v>44692</v>
      </c>
      <c r="H16" s="26">
        <f>WORKDAY.INTL(G16,F16,11,[1]Holiday!$A$2:$A$16)</f>
        <v>44700</v>
      </c>
    </row>
    <row r="17" spans="1:8" ht="25" x14ac:dyDescent="0.35">
      <c r="A17" s="23" t="s">
        <v>30</v>
      </c>
      <c r="B17">
        <v>15</v>
      </c>
      <c r="C17" s="23" t="s">
        <v>21</v>
      </c>
      <c r="D17" s="23" t="s">
        <v>71</v>
      </c>
      <c r="E17" s="31" t="s">
        <v>37</v>
      </c>
      <c r="F17" s="30">
        <v>14</v>
      </c>
      <c r="G17" s="26">
        <f>WORKDAY.INTL(H16,1,11,[1]Holiday!$A$2:$A$16)</f>
        <v>44701</v>
      </c>
      <c r="H17" s="26">
        <f>WORKDAY.INTL(G17,F17,11,[1]Holiday!$A$2:$A$16)</f>
        <v>44718</v>
      </c>
    </row>
    <row r="18" spans="1:8" ht="25" x14ac:dyDescent="0.35">
      <c r="A18" s="23" t="s">
        <v>30</v>
      </c>
      <c r="B18">
        <v>16</v>
      </c>
      <c r="C18" s="23" t="s">
        <v>21</v>
      </c>
      <c r="D18" s="23" t="s">
        <v>71</v>
      </c>
      <c r="E18" s="24" t="s">
        <v>28</v>
      </c>
      <c r="F18" s="22">
        <v>1</v>
      </c>
      <c r="G18" s="26">
        <f>WORKDAY.INTL(H17,1,11,[1]Holiday!$A$2:$A$16)</f>
        <v>44719</v>
      </c>
      <c r="H18" s="26">
        <f>WORKDAY.INTL(G18,F18,11,[1]Holiday!$A$2:$A$16)</f>
        <v>44720</v>
      </c>
    </row>
    <row r="19" spans="1:8" x14ac:dyDescent="0.35">
      <c r="A19" s="23" t="s">
        <v>30</v>
      </c>
      <c r="B19">
        <v>17</v>
      </c>
      <c r="C19" s="23" t="s">
        <v>21</v>
      </c>
      <c r="D19" s="23" t="s">
        <v>71</v>
      </c>
      <c r="E19" s="24" t="s">
        <v>29</v>
      </c>
      <c r="F19" s="22">
        <v>2</v>
      </c>
      <c r="G19" s="26">
        <f>WORKDAY.INTL(H18,1,11,[1]Holiday!$A$2:$A$16)</f>
        <v>44721</v>
      </c>
      <c r="H19" s="26">
        <f>WORKDAY.INTL(G19,F19,11,[1]Holiday!$A$2:$A$16)</f>
        <v>44723</v>
      </c>
    </row>
    <row r="20" spans="1:8" x14ac:dyDescent="0.35">
      <c r="A20" s="27"/>
      <c r="B20">
        <v>18</v>
      </c>
      <c r="C20" s="27"/>
      <c r="D20" s="27"/>
      <c r="E20" s="28"/>
      <c r="F20" s="27">
        <v>119</v>
      </c>
      <c r="G20" s="29"/>
      <c r="H20" s="29"/>
    </row>
    <row r="21" spans="1:8" ht="37.5" x14ac:dyDescent="0.35">
      <c r="A21" s="32" t="s">
        <v>38</v>
      </c>
      <c r="B21">
        <v>19</v>
      </c>
      <c r="C21" s="23" t="s">
        <v>31</v>
      </c>
      <c r="D21" s="32" t="s">
        <v>20</v>
      </c>
      <c r="E21" s="24" t="s">
        <v>40</v>
      </c>
      <c r="F21" s="22">
        <v>52</v>
      </c>
      <c r="G21" s="26">
        <v>44565</v>
      </c>
      <c r="H21" s="26">
        <v>44923</v>
      </c>
    </row>
    <row r="22" spans="1:8" ht="50" x14ac:dyDescent="0.35">
      <c r="A22" s="23"/>
      <c r="B22">
        <v>20</v>
      </c>
      <c r="C22" s="23"/>
      <c r="D22" s="23"/>
      <c r="E22" s="24" t="s">
        <v>41</v>
      </c>
      <c r="F22" s="22">
        <v>12</v>
      </c>
      <c r="G22" s="26">
        <v>44565</v>
      </c>
      <c r="H22" s="26">
        <v>44923</v>
      </c>
    </row>
    <row r="23" spans="1:8" ht="25" x14ac:dyDescent="0.35">
      <c r="A23" s="23"/>
      <c r="B23">
        <v>21</v>
      </c>
      <c r="C23" s="23"/>
      <c r="D23" s="23"/>
      <c r="E23" s="24" t="s">
        <v>42</v>
      </c>
      <c r="F23" s="22">
        <v>52</v>
      </c>
      <c r="G23" s="26">
        <v>44565</v>
      </c>
      <c r="H23" s="26">
        <v>44923</v>
      </c>
    </row>
    <row r="24" spans="1:8" ht="25" x14ac:dyDescent="0.35">
      <c r="A24" s="23"/>
      <c r="B24">
        <v>22</v>
      </c>
      <c r="C24" s="23"/>
      <c r="D24" s="23"/>
      <c r="E24" s="24" t="s">
        <v>28</v>
      </c>
      <c r="F24" s="22">
        <v>1</v>
      </c>
      <c r="G24" s="26">
        <v>44923</v>
      </c>
      <c r="H24" s="26">
        <v>44923</v>
      </c>
    </row>
    <row r="25" spans="1:8" x14ac:dyDescent="0.35">
      <c r="A25" s="23"/>
      <c r="B25">
        <v>23</v>
      </c>
      <c r="C25" s="23"/>
      <c r="D25" s="23"/>
      <c r="E25" s="24" t="s">
        <v>29</v>
      </c>
      <c r="F25" s="22">
        <v>2</v>
      </c>
      <c r="G25" s="26">
        <v>44924</v>
      </c>
      <c r="H25" s="26">
        <f>WORKDAY.INTL(G25,F25,11,[1]Holiday!$A$2:$A$16)</f>
        <v>44926</v>
      </c>
    </row>
    <row r="26" spans="1:8" x14ac:dyDescent="0.35">
      <c r="A26" s="27"/>
      <c r="B26">
        <v>24</v>
      </c>
      <c r="C26" s="27"/>
      <c r="D26" s="27"/>
      <c r="E26" s="28"/>
      <c r="F26" s="27">
        <v>44</v>
      </c>
      <c r="G26" s="29"/>
      <c r="H26" s="29"/>
    </row>
    <row r="27" spans="1:8" ht="25" x14ac:dyDescent="0.35">
      <c r="A27" s="23" t="s">
        <v>43</v>
      </c>
      <c r="B27">
        <v>25</v>
      </c>
      <c r="C27" s="23" t="s">
        <v>32</v>
      </c>
      <c r="D27" s="23" t="s">
        <v>72</v>
      </c>
      <c r="E27" s="24" t="s">
        <v>33</v>
      </c>
      <c r="F27" s="22">
        <v>7</v>
      </c>
      <c r="G27" s="26">
        <v>44691</v>
      </c>
      <c r="H27" s="26">
        <f>WORKDAY.INTL(G27,F27,11,[1]Holiday!$A$2:$A$16)</f>
        <v>44699</v>
      </c>
    </row>
    <row r="28" spans="1:8" ht="25" x14ac:dyDescent="0.35">
      <c r="A28" s="23"/>
      <c r="B28">
        <v>26</v>
      </c>
      <c r="C28" s="23"/>
      <c r="D28" s="23"/>
      <c r="E28" s="24" t="s">
        <v>34</v>
      </c>
      <c r="F28" s="30">
        <v>21</v>
      </c>
      <c r="G28" s="26">
        <f>WORKDAY.INTL(H27,1,11,[1]Holiday!$A$2:$A$16)</f>
        <v>44700</v>
      </c>
      <c r="H28" s="26">
        <f>WORKDAY.INTL(G28,F28,11,[1]Holiday!$A$2:$A$16)</f>
        <v>44725</v>
      </c>
    </row>
    <row r="29" spans="1:8" ht="25" x14ac:dyDescent="0.35">
      <c r="A29" s="23"/>
      <c r="B29">
        <v>27</v>
      </c>
      <c r="C29" s="23"/>
      <c r="D29" s="23"/>
      <c r="E29" s="24" t="s">
        <v>35</v>
      </c>
      <c r="F29" s="22">
        <v>3</v>
      </c>
      <c r="G29" s="26">
        <f>WORKDAY.INTL(H28,1,11,[1]Holiday!$A$2:$A$16)</f>
        <v>44726</v>
      </c>
      <c r="H29" s="26">
        <v>44730</v>
      </c>
    </row>
    <row r="30" spans="1:8" ht="50" x14ac:dyDescent="0.35">
      <c r="A30" s="23"/>
      <c r="B30">
        <v>28</v>
      </c>
      <c r="C30" s="23"/>
      <c r="D30" s="23"/>
      <c r="E30" s="24" t="s">
        <v>41</v>
      </c>
      <c r="F30" s="22">
        <v>2</v>
      </c>
      <c r="G30" s="26">
        <v>44691</v>
      </c>
      <c r="H30" s="26">
        <v>44730</v>
      </c>
    </row>
    <row r="31" spans="1:8" ht="25" x14ac:dyDescent="0.35">
      <c r="A31" s="23"/>
      <c r="B31">
        <v>29</v>
      </c>
      <c r="C31" s="23"/>
      <c r="D31" s="23"/>
      <c r="E31" s="24" t="s">
        <v>42</v>
      </c>
      <c r="F31" s="22">
        <v>8</v>
      </c>
      <c r="G31" s="26">
        <v>44691</v>
      </c>
      <c r="H31" s="26">
        <v>44730</v>
      </c>
    </row>
    <row r="32" spans="1:8" ht="25" x14ac:dyDescent="0.35">
      <c r="A32" s="23"/>
      <c r="B32">
        <v>30</v>
      </c>
      <c r="C32" s="23"/>
      <c r="D32" s="23"/>
      <c r="E32" s="24" t="s">
        <v>28</v>
      </c>
      <c r="F32" s="22">
        <v>1</v>
      </c>
      <c r="G32" s="26">
        <v>44732</v>
      </c>
      <c r="H32" s="26">
        <v>44732</v>
      </c>
    </row>
    <row r="33" spans="1:8" x14ac:dyDescent="0.35">
      <c r="A33" s="23"/>
      <c r="B33">
        <v>31</v>
      </c>
      <c r="C33" s="23"/>
      <c r="D33" s="23"/>
      <c r="E33" s="24" t="s">
        <v>29</v>
      </c>
      <c r="F33" s="22">
        <v>2</v>
      </c>
      <c r="G33" s="26">
        <v>44733</v>
      </c>
      <c r="H33" s="26">
        <v>44734</v>
      </c>
    </row>
    <row r="34" spans="1:8" x14ac:dyDescent="0.35">
      <c r="A34" s="27"/>
      <c r="B34">
        <v>32</v>
      </c>
      <c r="C34" s="27"/>
      <c r="D34" s="27"/>
      <c r="E34" s="28"/>
      <c r="F34" s="27">
        <v>25</v>
      </c>
      <c r="G34" s="29"/>
      <c r="H34" s="29"/>
    </row>
    <row r="35" spans="1:8" ht="25" x14ac:dyDescent="0.35">
      <c r="A35" s="24" t="s">
        <v>44</v>
      </c>
      <c r="B35">
        <v>33</v>
      </c>
      <c r="C35" s="23" t="s">
        <v>39</v>
      </c>
      <c r="D35" s="32" t="s">
        <v>71</v>
      </c>
      <c r="E35" s="24" t="s">
        <v>45</v>
      </c>
      <c r="F35" s="22">
        <v>5</v>
      </c>
      <c r="G35" s="26">
        <v>44634</v>
      </c>
      <c r="H35" s="26">
        <f>WORKDAY.INTL(G35,F35,11,[1]Holiday!$A$2:$A$16)</f>
        <v>44639</v>
      </c>
    </row>
    <row r="36" spans="1:8" ht="25" x14ac:dyDescent="0.35">
      <c r="A36" s="23"/>
      <c r="B36">
        <v>34</v>
      </c>
      <c r="C36" s="23"/>
      <c r="D36" s="23"/>
      <c r="E36" s="24" t="s">
        <v>46</v>
      </c>
      <c r="F36" s="22">
        <v>5</v>
      </c>
      <c r="G36" s="26">
        <v>44638</v>
      </c>
      <c r="H36" s="26">
        <f>WORKDAY.INTL(G36,F36,11,[1]Holiday!$A$2:$A$16)</f>
        <v>44644</v>
      </c>
    </row>
    <row r="37" spans="1:8" ht="25" x14ac:dyDescent="0.35">
      <c r="A37" s="23"/>
      <c r="B37">
        <v>35</v>
      </c>
      <c r="C37" s="23"/>
      <c r="D37" s="23"/>
      <c r="E37" s="24" t="s">
        <v>47</v>
      </c>
      <c r="F37" s="22">
        <v>3</v>
      </c>
      <c r="G37" s="26">
        <f>WORKDAY.INTL(H36,1,11,[1]Holiday!$A$2:$A$16)</f>
        <v>44645</v>
      </c>
      <c r="H37" s="26">
        <f>WORKDAY.INTL(G37,F37,11,[1]Holiday!$A$2:$A$16)</f>
        <v>44649</v>
      </c>
    </row>
    <row r="38" spans="1:8" x14ac:dyDescent="0.35">
      <c r="A38" s="23"/>
      <c r="B38">
        <v>36</v>
      </c>
      <c r="C38" s="23"/>
      <c r="D38" s="23"/>
      <c r="E38" s="24" t="s">
        <v>48</v>
      </c>
      <c r="F38" s="22">
        <v>7</v>
      </c>
      <c r="G38" s="26">
        <f>WORKDAY.INTL(H37,1,11,[1]Holiday!$A$2:$A$16)</f>
        <v>44650</v>
      </c>
      <c r="H38" s="26">
        <f>WORKDAY.INTL(G38,F38,11,[1]Holiday!$A$2:$A$16)</f>
        <v>44658</v>
      </c>
    </row>
    <row r="39" spans="1:8" ht="25" x14ac:dyDescent="0.35">
      <c r="A39" s="23"/>
      <c r="B39">
        <v>37</v>
      </c>
      <c r="C39" s="23"/>
      <c r="D39" s="23"/>
      <c r="E39" s="24" t="s">
        <v>49</v>
      </c>
      <c r="F39" s="22">
        <v>2</v>
      </c>
      <c r="G39" s="26">
        <f>WORKDAY.INTL(H38,1,11,[1]Holiday!$A$2:$A$16)</f>
        <v>44659</v>
      </c>
      <c r="H39" s="26">
        <f>WORKDAY.INTL(G39,F39,11,[1]Holiday!$A$2:$A$16)</f>
        <v>44663</v>
      </c>
    </row>
    <row r="40" spans="1:8" ht="25" x14ac:dyDescent="0.35">
      <c r="A40" s="23"/>
      <c r="B40">
        <v>38</v>
      </c>
      <c r="C40" s="23"/>
      <c r="D40" s="23"/>
      <c r="E40" s="24" t="s">
        <v>50</v>
      </c>
      <c r="F40" s="22">
        <v>1</v>
      </c>
      <c r="G40" s="26">
        <f>WORKDAY.INTL(H39,1,11,[1]Holiday!$A$2:$A$16)</f>
        <v>44664</v>
      </c>
      <c r="H40" s="26">
        <v>44664</v>
      </c>
    </row>
    <row r="41" spans="1:8" x14ac:dyDescent="0.35">
      <c r="A41" s="23"/>
      <c r="B41">
        <v>39</v>
      </c>
      <c r="C41" s="23"/>
      <c r="D41" s="23"/>
      <c r="E41" s="24" t="s">
        <v>29</v>
      </c>
      <c r="F41" s="22">
        <v>2</v>
      </c>
      <c r="G41" s="26">
        <f>WORKDAY.INTL(H40,1,11,[1]Holiday!$A$2:$A$16)</f>
        <v>44665</v>
      </c>
      <c r="H41" s="26">
        <v>44666</v>
      </c>
    </row>
    <row r="42" spans="1:8" x14ac:dyDescent="0.35">
      <c r="A42" s="27"/>
      <c r="B42">
        <v>40</v>
      </c>
      <c r="C42" s="27"/>
      <c r="D42" s="27"/>
      <c r="E42" s="28"/>
      <c r="F42" s="27">
        <v>50</v>
      </c>
      <c r="G42" s="29"/>
      <c r="H42" s="29"/>
    </row>
    <row r="43" spans="1:8" ht="37.5" x14ac:dyDescent="0.35">
      <c r="A43" s="23" t="s">
        <v>51</v>
      </c>
      <c r="B43">
        <v>41</v>
      </c>
      <c r="C43" s="23" t="s">
        <v>31</v>
      </c>
      <c r="D43" s="24" t="s">
        <v>32</v>
      </c>
      <c r="E43" s="24" t="s">
        <v>62</v>
      </c>
      <c r="F43" s="30">
        <v>14</v>
      </c>
      <c r="G43" s="26">
        <v>44692</v>
      </c>
      <c r="H43" s="26">
        <f>WORKDAY.INTL(G43,F43,11,[1]Holiday!$A$2:$A$16)</f>
        <v>44708</v>
      </c>
    </row>
    <row r="44" spans="1:8" ht="25" x14ac:dyDescent="0.35">
      <c r="A44" s="23"/>
      <c r="B44">
        <v>42</v>
      </c>
      <c r="C44" s="23"/>
      <c r="D44" s="23"/>
      <c r="E44" s="24" t="s">
        <v>63</v>
      </c>
      <c r="F44" s="30">
        <v>21</v>
      </c>
      <c r="G44" s="26">
        <f>WORKDAY.INTL(H43,1,11,[1]Holiday!$A$2:$A$16)</f>
        <v>44709</v>
      </c>
      <c r="H44" s="26">
        <f>WORKDAY.INTL(G44,F44,11,[1]Holiday!$A$2:$A$16)</f>
        <v>44734</v>
      </c>
    </row>
    <row r="45" spans="1:8" ht="25" x14ac:dyDescent="0.35">
      <c r="A45" s="23"/>
      <c r="B45">
        <v>43</v>
      </c>
      <c r="C45" s="23"/>
      <c r="D45" s="23"/>
      <c r="E45" s="24" t="s">
        <v>64</v>
      </c>
      <c r="F45" s="22">
        <v>3</v>
      </c>
      <c r="G45" s="26">
        <f>WORKDAY.INTL(H44,1,11,[1]Holiday!$A$2:$A$16)</f>
        <v>44735</v>
      </c>
      <c r="H45" s="26">
        <f>WORKDAY.INTL(G45,F45,11,[1]Holiday!$A$2:$A$16)</f>
        <v>44739</v>
      </c>
    </row>
    <row r="46" spans="1:8" ht="25" x14ac:dyDescent="0.35">
      <c r="A46" s="23"/>
      <c r="B46">
        <v>44</v>
      </c>
      <c r="C46" s="23"/>
      <c r="D46" s="23"/>
      <c r="E46" s="24" t="s">
        <v>65</v>
      </c>
      <c r="F46" s="22">
        <v>7</v>
      </c>
      <c r="G46" s="26">
        <f>WORKDAY.INTL(H45,1,11,[1]Holiday!$A$2:$A$16)</f>
        <v>44740</v>
      </c>
      <c r="H46" s="26">
        <f>WORKDAY.INTL(G46,F46,11,[1]Holiday!$A$2:$A$16)</f>
        <v>44748</v>
      </c>
    </row>
    <row r="47" spans="1:8" ht="25" x14ac:dyDescent="0.35">
      <c r="A47" s="23"/>
      <c r="B47">
        <v>45</v>
      </c>
      <c r="C47" s="23"/>
      <c r="D47" s="23"/>
      <c r="E47" s="24" t="s">
        <v>66</v>
      </c>
      <c r="F47" s="22">
        <v>2</v>
      </c>
      <c r="G47" s="26">
        <f>WORKDAY.INTL(H46,1,11,[1]Holiday!$A$2:$A$16)</f>
        <v>44749</v>
      </c>
      <c r="H47" s="26">
        <f>WORKDAY.INTL(G47,F47,11,[1]Holiday!$A$2:$A$16)</f>
        <v>44751</v>
      </c>
    </row>
    <row r="48" spans="1:8" ht="25" x14ac:dyDescent="0.35">
      <c r="A48" s="23"/>
      <c r="B48">
        <v>46</v>
      </c>
      <c r="C48" s="23"/>
      <c r="D48" s="23"/>
      <c r="E48" s="24" t="s">
        <v>67</v>
      </c>
      <c r="F48" s="22">
        <v>1</v>
      </c>
      <c r="G48" s="26">
        <f>WORKDAY.INTL(H47,1,11,[1]Holiday!$A$2:$A$16)</f>
        <v>44753</v>
      </c>
      <c r="H48" s="26">
        <v>44753</v>
      </c>
    </row>
    <row r="49" spans="1:8" x14ac:dyDescent="0.35">
      <c r="A49" s="23"/>
      <c r="B49">
        <v>47</v>
      </c>
      <c r="C49" s="23"/>
      <c r="D49" s="23"/>
      <c r="E49" s="24" t="s">
        <v>68</v>
      </c>
      <c r="F49" s="22">
        <v>2</v>
      </c>
      <c r="G49" s="26">
        <f>WORKDAY.INTL(H48,1,11,[1]Holiday!$A$2:$A$16)</f>
        <v>44754</v>
      </c>
      <c r="H49" s="26">
        <v>44755</v>
      </c>
    </row>
    <row r="50" spans="1:8" x14ac:dyDescent="0.35">
      <c r="A50" s="27"/>
      <c r="B50">
        <v>48</v>
      </c>
      <c r="C50" s="27"/>
      <c r="D50" s="27"/>
      <c r="E50" s="28"/>
      <c r="F50" s="27">
        <v>37</v>
      </c>
      <c r="G50" s="29"/>
      <c r="H50" s="29"/>
    </row>
    <row r="51" spans="1:8" ht="37.5" x14ac:dyDescent="0.35">
      <c r="A51" s="24" t="s">
        <v>52</v>
      </c>
      <c r="B51">
        <v>49</v>
      </c>
      <c r="C51" s="23" t="s">
        <v>31</v>
      </c>
      <c r="D51" s="23" t="s">
        <v>70</v>
      </c>
      <c r="E51" s="24" t="s">
        <v>53</v>
      </c>
      <c r="F51" s="22">
        <v>7</v>
      </c>
      <c r="G51" s="26">
        <v>44573</v>
      </c>
      <c r="H51" s="26">
        <f>WORKDAY.INTL(G51,F51,11,[1]Holiday!$A$2:$A$16)</f>
        <v>44581</v>
      </c>
    </row>
    <row r="52" spans="1:8" ht="25" x14ac:dyDescent="0.35">
      <c r="A52" s="23"/>
      <c r="B52">
        <v>50</v>
      </c>
      <c r="C52" s="23"/>
      <c r="D52" s="23"/>
      <c r="E52" s="24" t="s">
        <v>54</v>
      </c>
      <c r="F52" s="22">
        <v>7</v>
      </c>
      <c r="G52" s="26">
        <f>WORKDAY.INTL(H51,1,11,[1]Holiday!$A$2:$A$16)</f>
        <v>44582</v>
      </c>
      <c r="H52" s="26">
        <f>WORKDAY.INTL(G52,F52,11,[1]Holiday!$A$2:$A$16)</f>
        <v>44599</v>
      </c>
    </row>
    <row r="53" spans="1:8" ht="25" x14ac:dyDescent="0.35">
      <c r="A53" s="23"/>
      <c r="B53">
        <v>51</v>
      </c>
      <c r="C53" s="23"/>
      <c r="D53" s="23"/>
      <c r="E53" s="24" t="s">
        <v>55</v>
      </c>
      <c r="F53" s="22">
        <v>1</v>
      </c>
      <c r="G53" s="26">
        <f>WORKDAY.INTL(H52,1,11,[1]Holiday!$A$2:$A$16)</f>
        <v>44600</v>
      </c>
      <c r="H53" s="26">
        <f>WORKDAY.INTL(G53,F53,11,[1]Holiday!$A$2:$A$16)</f>
        <v>44601</v>
      </c>
    </row>
    <row r="54" spans="1:8" ht="37.5" x14ac:dyDescent="0.35">
      <c r="A54" s="23"/>
      <c r="B54">
        <v>52</v>
      </c>
      <c r="C54" s="23"/>
      <c r="D54" s="23"/>
      <c r="E54" s="24" t="s">
        <v>56</v>
      </c>
      <c r="F54" s="30">
        <v>21</v>
      </c>
      <c r="G54" s="26">
        <f>WORKDAY.INTL(H53,1,11,[1]Holiday!$A$2:$A$16)</f>
        <v>44602</v>
      </c>
      <c r="H54" s="26">
        <f>WORKDAY.INTL(G54,F54,11,[1]Holiday!$A$2:$A$16)</f>
        <v>44627</v>
      </c>
    </row>
    <row r="55" spans="1:8" x14ac:dyDescent="0.35">
      <c r="A55" s="23"/>
      <c r="B55">
        <v>53</v>
      </c>
      <c r="C55" s="23"/>
      <c r="D55" s="23"/>
      <c r="E55" s="24" t="s">
        <v>57</v>
      </c>
      <c r="F55" s="22">
        <v>1</v>
      </c>
      <c r="G55" s="26">
        <f>WORKDAY.INTL(H54,1,11,[1]Holiday!$A$2:$A$16)</f>
        <v>44628</v>
      </c>
      <c r="H55" s="26">
        <v>44628</v>
      </c>
    </row>
    <row r="56" spans="1:8" x14ac:dyDescent="0.35">
      <c r="B56">
        <v>54</v>
      </c>
    </row>
  </sheetData>
  <phoneticPr fontId="14"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D7C8140529EC4392551243A1853CC2" ma:contentTypeVersion="12" ma:contentTypeDescription="Create a new document." ma:contentTypeScope="" ma:versionID="c0dfe112cd8c14e9b031945c8acd109d">
  <xsd:schema xmlns:xsd="http://www.w3.org/2001/XMLSchema" xmlns:xs="http://www.w3.org/2001/XMLSchema" xmlns:p="http://schemas.microsoft.com/office/2006/metadata/properties" xmlns:ns3="f7bb2b6c-7527-4b1f-a92f-951770fa9c69" xmlns:ns4="93dd54f0-305d-4361-bbee-a6724d4b4b0a" targetNamespace="http://schemas.microsoft.com/office/2006/metadata/properties" ma:root="true" ma:fieldsID="586aa75b4833bdbd7f26cf4372c9a006" ns3:_="" ns4:_="">
    <xsd:import namespace="f7bb2b6c-7527-4b1f-a92f-951770fa9c69"/>
    <xsd:import namespace="93dd54f0-305d-4361-bbee-a6724d4b4b0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bb2b6c-7527-4b1f-a92f-951770fa9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dd54f0-305d-4361-bbee-a6724d4b4b0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7bb2b6c-7527-4b1f-a92f-951770fa9c6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3A9719-65C9-41D5-9AB2-7A3536D405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bb2b6c-7527-4b1f-a92f-951770fa9c69"/>
    <ds:schemaRef ds:uri="93dd54f0-305d-4361-bbee-a6724d4b4b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08D61D-3BB7-4493-A8C0-C834B141E2CA}">
  <ds:schemaRefs>
    <ds:schemaRef ds:uri="http://schemas.microsoft.com/office/infopath/2007/PartnerControls"/>
    <ds:schemaRef ds:uri="http://purl.org/dc/dcmitype/"/>
    <ds:schemaRef ds:uri="http://purl.org/dc/terms/"/>
    <ds:schemaRef ds:uri="http://schemas.openxmlformats.org/package/2006/metadata/core-properties"/>
    <ds:schemaRef ds:uri="http://www.w3.org/XML/1998/namespace"/>
    <ds:schemaRef ds:uri="http://schemas.microsoft.com/office/2006/documentManagement/types"/>
    <ds:schemaRef ds:uri="93dd54f0-305d-4361-bbee-a6724d4b4b0a"/>
    <ds:schemaRef ds:uri="f7bb2b6c-7527-4b1f-a92f-951770fa9c69"/>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04F11A0-DDC4-4BCF-AF89-443DA55572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TD du an</vt:lpstr>
      <vt:lpstr>Sheet1</vt:lpstr>
      <vt:lpstr>du_lieu</vt:lpstr>
      <vt:lpstr>ngay_thang</vt:lpstr>
      <vt:lpstr>tieu_de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Nguyễn Ngọc Kiều</dc:creator>
  <cp:lastModifiedBy>Phương, Phạm Ngọc Phương</cp:lastModifiedBy>
  <cp:lastPrinted>2023-10-14T06:29:14Z</cp:lastPrinted>
  <dcterms:created xsi:type="dcterms:W3CDTF">2022-04-01T07:04:14Z</dcterms:created>
  <dcterms:modified xsi:type="dcterms:W3CDTF">2023-10-16T09:50:34Z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0x01010059D7C8140529EC4392551243A1853CC2</vt:lpwstr>
  </property>
</Properties>
</file>