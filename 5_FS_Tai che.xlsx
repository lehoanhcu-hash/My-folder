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uytan-holding/fad/FIR/00.BI REPORT/DataFS/DTR/"/>
    </mc:Choice>
  </mc:AlternateContent>
  <xr:revisionPtr revIDLastSave="4078" documentId="8_{CA0E9F8E-278F-4AD0-B15D-A476EA3D80F5}" xr6:coauthVersionLast="47" xr6:coauthVersionMax="47" xr10:uidLastSave="{CEFA8028-05C3-47AF-A1DC-8DD1B559EEDD}"/>
  <bookViews>
    <workbookView xWindow="-108" yWindow="-108" windowWidth="30936" windowHeight="18696" tabRatio="888" firstSheet="5" activeTab="13" xr2:uid="{46F8877F-5390-4559-8B83-54747D31648D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r:id="rId11"/>
    <sheet name="Giao dich voi BLQ" sheetId="12" r:id="rId12"/>
    <sheet name="Ghi chú" sheetId="13" r:id="rId13"/>
    <sheet name="Sheet1" sheetId="14" r:id="rId14"/>
    <sheet name="Sheet2" sheetId="15" r:id="rId15"/>
  </sheets>
  <externalReferences>
    <externalReference r:id="rId16"/>
  </externalReference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BLQ'!$A$6:$AG$285</definedName>
    <definedName name="_xlnm._FilterDatabase" localSheetId="6" hidden="1">'Tinh hinh tai chinh'!$B$3:$O$194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hngCell.01." localSheetId="6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32" i="3" l="1"/>
  <c r="BK41" i="3"/>
  <c r="BK40" i="3"/>
  <c r="BQ53" i="4"/>
  <c r="BQ47" i="4" l="1"/>
  <c r="BQ56" i="4"/>
  <c r="BQ4" i="4"/>
  <c r="BQ5" i="4"/>
  <c r="BQ6" i="4"/>
  <c r="BP6" i="4" l="1"/>
  <c r="BQ28" i="4" l="1"/>
  <c r="F26" i="10" l="1"/>
  <c r="D27" i="10"/>
  <c r="D26" i="10"/>
  <c r="BQ67" i="5"/>
  <c r="BQ68" i="5"/>
  <c r="BQ58" i="5"/>
  <c r="BQ55" i="5"/>
  <c r="BQ54" i="5"/>
  <c r="BQ53" i="5"/>
  <c r="BQ52" i="5"/>
  <c r="BQ51" i="5"/>
  <c r="BQ50" i="5"/>
  <c r="BQ49" i="5"/>
  <c r="BQ31" i="5"/>
  <c r="BQ13" i="5"/>
  <c r="BQ4" i="5"/>
  <c r="N13" i="15" l="1"/>
  <c r="N14" i="15"/>
  <c r="AC40" i="13"/>
  <c r="AC42" i="13" s="1"/>
  <c r="AB40" i="13"/>
  <c r="AA40" i="13"/>
  <c r="Z40" i="13"/>
  <c r="Y40" i="13"/>
  <c r="X40" i="13"/>
  <c r="W40" i="13"/>
  <c r="W42" i="13" s="1"/>
  <c r="V40" i="13"/>
  <c r="V42" i="13" s="1"/>
  <c r="U40" i="13"/>
  <c r="U42" i="13" s="1"/>
  <c r="T40" i="13"/>
  <c r="T42" i="13" s="1"/>
  <c r="S40" i="13"/>
  <c r="S42" i="13" s="1"/>
  <c r="AB42" i="13"/>
  <c r="AA42" i="13"/>
  <c r="Z42" i="13"/>
  <c r="Y42" i="13"/>
  <c r="X42" i="13"/>
  <c r="AD40" i="13"/>
  <c r="AD42" i="13" s="1"/>
  <c r="AS27" i="13"/>
  <c r="AE27" i="13"/>
  <c r="Q27" i="13"/>
  <c r="AS26" i="13"/>
  <c r="AE26" i="13"/>
  <c r="Q26" i="13"/>
  <c r="AS25" i="13"/>
  <c r="AE25" i="13"/>
  <c r="Q25" i="13"/>
  <c r="AS24" i="13"/>
  <c r="AE24" i="13"/>
  <c r="Q24" i="13"/>
  <c r="N12" i="15" l="1"/>
  <c r="N11" i="15"/>
  <c r="N10" i="15"/>
  <c r="N9" i="15"/>
  <c r="N8" i="15"/>
  <c r="N7" i="15"/>
  <c r="N6" i="15"/>
  <c r="N5" i="15"/>
  <c r="L15" i="15"/>
  <c r="K15" i="15"/>
  <c r="J15" i="15"/>
  <c r="I15" i="15"/>
  <c r="H15" i="15"/>
  <c r="G15" i="15"/>
  <c r="F15" i="15"/>
  <c r="E15" i="15"/>
  <c r="M13" i="15"/>
  <c r="M15" i="15" s="1"/>
  <c r="L13" i="15"/>
  <c r="K13" i="15"/>
  <c r="J13" i="15"/>
  <c r="I13" i="15"/>
  <c r="H13" i="15"/>
  <c r="G13" i="15"/>
  <c r="F13" i="15"/>
  <c r="E13" i="15"/>
  <c r="D13" i="15"/>
  <c r="D15" i="15" s="1"/>
  <c r="C13" i="15"/>
  <c r="C15" i="15" s="1"/>
  <c r="B13" i="15"/>
  <c r="B15" i="15" s="1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J27" i="14" l="1"/>
  <c r="J26" i="14"/>
  <c r="J25" i="14"/>
  <c r="J24" i="14"/>
  <c r="D79" i="14"/>
  <c r="D75" i="14"/>
  <c r="D72" i="14"/>
  <c r="D69" i="14"/>
  <c r="E69" i="14" s="1"/>
  <c r="H62" i="14"/>
  <c r="H61" i="14"/>
  <c r="H60" i="14"/>
  <c r="H59" i="14"/>
  <c r="H58" i="14"/>
  <c r="D70" i="14" s="1"/>
  <c r="H57" i="14"/>
  <c r="H56" i="14"/>
  <c r="D78" i="14" s="1"/>
  <c r="H55" i="14"/>
  <c r="H54" i="14"/>
  <c r="H53" i="14"/>
  <c r="H52" i="14"/>
  <c r="H51" i="14"/>
  <c r="H50" i="14"/>
  <c r="H49" i="14"/>
  <c r="H48" i="14"/>
  <c r="H47" i="14"/>
  <c r="D77" i="14" s="1"/>
  <c r="H46" i="14"/>
  <c r="D71" i="14" s="1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D76" i="14" s="1"/>
  <c r="H28" i="14"/>
  <c r="H27" i="14"/>
  <c r="H26" i="14"/>
  <c r="D73" i="14" s="1"/>
  <c r="H25" i="14"/>
  <c r="D74" i="14" s="1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5" i="14"/>
  <c r="I5" i="14" s="1"/>
  <c r="G6" i="14"/>
  <c r="H6" i="14" s="1"/>
  <c r="F6" i="14"/>
  <c r="E6" i="14"/>
  <c r="D6" i="14"/>
  <c r="C6" i="14"/>
  <c r="H2" i="14" l="1"/>
  <c r="I2" i="14" s="1"/>
  <c r="G3" i="14"/>
  <c r="F3" i="14"/>
  <c r="E3" i="14"/>
  <c r="D3" i="14"/>
  <c r="C3" i="14"/>
  <c r="H3" i="14" s="1"/>
  <c r="AK17" i="13"/>
  <c r="AK16" i="13"/>
  <c r="BP4" i="4"/>
  <c r="BP5" i="4"/>
  <c r="BP28" i="4" l="1"/>
  <c r="BP56" i="4"/>
  <c r="W419" i="12" l="1"/>
  <c r="BP67" i="5" l="1"/>
  <c r="BP58" i="5" l="1"/>
  <c r="BP55" i="5"/>
  <c r="BP54" i="5"/>
  <c r="BP53" i="5"/>
  <c r="BP52" i="5"/>
  <c r="BP51" i="5"/>
  <c r="BP50" i="5"/>
  <c r="BP49" i="5"/>
  <c r="BP31" i="5"/>
  <c r="BP13" i="5"/>
  <c r="BP4" i="5" l="1"/>
  <c r="AE133" i="12" l="1"/>
  <c r="AY4" i="4" l="1"/>
  <c r="AX4" i="4"/>
  <c r="AW4" i="4"/>
  <c r="AV4" i="4"/>
  <c r="AU4" i="4"/>
  <c r="AT4" i="4"/>
  <c r="AS4" i="4"/>
  <c r="AR4" i="4"/>
  <c r="AQ4" i="4"/>
  <c r="AP4" i="4"/>
  <c r="AO4" i="4"/>
  <c r="AN4" i="4"/>
  <c r="AY6" i="4"/>
  <c r="AX6" i="4"/>
  <c r="AW6" i="4"/>
  <c r="AV6" i="4"/>
  <c r="AU6" i="4"/>
  <c r="AT6" i="4"/>
  <c r="AS6" i="4"/>
  <c r="AR6" i="4"/>
  <c r="AQ6" i="4"/>
  <c r="AP6" i="4"/>
  <c r="AO6" i="4"/>
  <c r="AN6" i="4"/>
  <c r="AY5" i="4"/>
  <c r="AX5" i="4"/>
  <c r="AW5" i="4"/>
  <c r="AV5" i="4"/>
  <c r="AU5" i="4"/>
  <c r="AT5" i="4"/>
  <c r="AS5" i="4"/>
  <c r="AR5" i="4"/>
  <c r="AQ5" i="4"/>
  <c r="AP5" i="4"/>
  <c r="AO5" i="4"/>
  <c r="AN5" i="4"/>
  <c r="BK4" i="4"/>
  <c r="BJ4" i="4"/>
  <c r="BI4" i="4"/>
  <c r="BH4" i="4"/>
  <c r="BG4" i="4"/>
  <c r="BF4" i="4"/>
  <c r="BE4" i="4"/>
  <c r="BD4" i="4"/>
  <c r="BC4" i="4"/>
  <c r="BB4" i="4"/>
  <c r="BA4" i="4"/>
  <c r="AZ4" i="4"/>
  <c r="BK6" i="4"/>
  <c r="BJ6" i="4"/>
  <c r="BI6" i="4"/>
  <c r="BH6" i="4"/>
  <c r="BG6" i="4"/>
  <c r="BF6" i="4"/>
  <c r="BE6" i="4"/>
  <c r="BD6" i="4"/>
  <c r="BC6" i="4"/>
  <c r="BB6" i="4"/>
  <c r="BA6" i="4"/>
  <c r="AZ6" i="4"/>
  <c r="BK5" i="4"/>
  <c r="BJ5" i="4"/>
  <c r="BI5" i="4"/>
  <c r="BH5" i="4"/>
  <c r="BG5" i="4"/>
  <c r="BF5" i="4"/>
  <c r="BE5" i="4"/>
  <c r="BD5" i="4"/>
  <c r="BC5" i="4"/>
  <c r="BB5" i="4"/>
  <c r="BA5" i="4"/>
  <c r="AZ5" i="4"/>
  <c r="BL4" i="4" l="1"/>
  <c r="BM4" i="4"/>
  <c r="BN4" i="4"/>
  <c r="BO4" i="4"/>
  <c r="BO5" i="4"/>
  <c r="BO6" i="4"/>
  <c r="BN5" i="4" l="1"/>
  <c r="AJ17" i="13" l="1"/>
  <c r="AJ16" i="13"/>
  <c r="BO58" i="5"/>
  <c r="BO67" i="5"/>
  <c r="BO49" i="5"/>
  <c r="BO55" i="5"/>
  <c r="BO54" i="5"/>
  <c r="BN55" i="5"/>
  <c r="BO53" i="5"/>
  <c r="BO52" i="5"/>
  <c r="BO51" i="5"/>
  <c r="BO50" i="5"/>
  <c r="BO31" i="5"/>
  <c r="BO13" i="5"/>
  <c r="BO4" i="5" l="1"/>
  <c r="V419" i="12"/>
  <c r="AZ28" i="4" l="1"/>
  <c r="BA28" i="4"/>
  <c r="BB28" i="4"/>
  <c r="BC28" i="4"/>
  <c r="BD28" i="4"/>
  <c r="BE28" i="4"/>
  <c r="BF28" i="4"/>
  <c r="BG28" i="4"/>
  <c r="BH28" i="4"/>
  <c r="BI28" i="4"/>
  <c r="BJ28" i="4"/>
  <c r="BK28" i="4"/>
  <c r="AD19" i="13" l="1"/>
  <c r="AZ29" i="4"/>
  <c r="BA29" i="4"/>
  <c r="BB29" i="4"/>
  <c r="BC29" i="4"/>
  <c r="BD29" i="4"/>
  <c r="BE29" i="4"/>
  <c r="BF29" i="4"/>
  <c r="BG29" i="4"/>
  <c r="BH29" i="4"/>
  <c r="BI29" i="4"/>
  <c r="BJ29" i="4"/>
  <c r="BK29" i="4"/>
  <c r="AZ30" i="4"/>
  <c r="AZ31" i="4" s="1"/>
  <c r="BA30" i="4"/>
  <c r="BA31" i="4" s="1"/>
  <c r="BB30" i="4"/>
  <c r="BB31" i="4" s="1"/>
  <c r="BC30" i="4"/>
  <c r="BC31" i="4" s="1"/>
  <c r="BD30" i="4"/>
  <c r="BD31" i="4" s="1"/>
  <c r="BE30" i="4"/>
  <c r="BE31" i="4" s="1"/>
  <c r="BF30" i="4"/>
  <c r="BF31" i="4" s="1"/>
  <c r="BG30" i="4"/>
  <c r="BG31" i="4" s="1"/>
  <c r="BH30" i="4"/>
  <c r="BI30" i="4"/>
  <c r="BJ30" i="4"/>
  <c r="BK30" i="4"/>
  <c r="BH31" i="4"/>
  <c r="BI31" i="4"/>
  <c r="BJ31" i="4"/>
  <c r="BK31" i="4"/>
  <c r="AZ32" i="4"/>
  <c r="BA32" i="4"/>
  <c r="BB32" i="4"/>
  <c r="BC32" i="4"/>
  <c r="BD32" i="4"/>
  <c r="BD33" i="4" s="1"/>
  <c r="BE32" i="4"/>
  <c r="BE33" i="4" s="1"/>
  <c r="BF32" i="4"/>
  <c r="BF33" i="4" s="1"/>
  <c r="BG32" i="4"/>
  <c r="BG33" i="4" s="1"/>
  <c r="BH32" i="4"/>
  <c r="BH33" i="4" s="1"/>
  <c r="BI32" i="4"/>
  <c r="BI33" i="4" s="1"/>
  <c r="BJ32" i="4"/>
  <c r="BJ33" i="4" s="1"/>
  <c r="BK32" i="4"/>
  <c r="BK33" i="4" s="1"/>
  <c r="AZ33" i="4"/>
  <c r="BA33" i="4"/>
  <c r="BB33" i="4"/>
  <c r="BC33" i="4"/>
  <c r="AZ34" i="4"/>
  <c r="AZ35" i="4" s="1"/>
  <c r="BA34" i="4"/>
  <c r="BA35" i="4" s="1"/>
  <c r="BB34" i="4"/>
  <c r="BB35" i="4" s="1"/>
  <c r="BC34" i="4"/>
  <c r="BC35" i="4" s="1"/>
  <c r="BD34" i="4"/>
  <c r="BD35" i="4" s="1"/>
  <c r="BE34" i="4"/>
  <c r="BE35" i="4" s="1"/>
  <c r="BF34" i="4"/>
  <c r="BF35" i="4" s="1"/>
  <c r="BG34" i="4"/>
  <c r="BG35" i="4" s="1"/>
  <c r="BH34" i="4"/>
  <c r="BI34" i="4"/>
  <c r="BJ34" i="4"/>
  <c r="BK34" i="4"/>
  <c r="BH35" i="4"/>
  <c r="BI35" i="4"/>
  <c r="BJ35" i="4"/>
  <c r="BK35" i="4"/>
  <c r="BN6" i="4" l="1"/>
  <c r="AI17" i="13"/>
  <c r="AI16" i="13"/>
  <c r="AM129" i="1"/>
  <c r="AM83" i="1"/>
  <c r="AM82" i="1" s="1"/>
  <c r="AM81" i="1"/>
  <c r="AM36" i="1"/>
  <c r="AM15" i="1"/>
  <c r="BF15" i="1"/>
  <c r="BD15" i="1"/>
  <c r="BE15" i="1"/>
  <c r="BC15" i="1"/>
  <c r="BB15" i="1"/>
  <c r="BA15" i="1"/>
  <c r="AZ15" i="1"/>
  <c r="AE255" i="12" l="1"/>
  <c r="BN67" i="5" l="1"/>
  <c r="BN58" i="5"/>
  <c r="BN54" i="5"/>
  <c r="BN53" i="5"/>
  <c r="BN52" i="5"/>
  <c r="BN51" i="5"/>
  <c r="BN50" i="5"/>
  <c r="BN31" i="5"/>
  <c r="BN13" i="5"/>
  <c r="BN4" i="5"/>
  <c r="BN49" i="5" l="1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Q6" i="13" l="1"/>
  <c r="Q5" i="13"/>
  <c r="Q4" i="13"/>
  <c r="Q3" i="13"/>
  <c r="BM57" i="4" l="1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X57" i="4"/>
  <c r="AL57" i="4"/>
  <c r="Z57" i="4"/>
  <c r="N57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X54" i="4"/>
  <c r="AW54" i="4"/>
  <c r="AV54" i="4"/>
  <c r="AL54" i="4"/>
  <c r="AK54" i="4"/>
  <c r="AJ54" i="4"/>
  <c r="Z54" i="4"/>
  <c r="Y54" i="4"/>
  <c r="X54" i="4"/>
  <c r="N54" i="4"/>
  <c r="M54" i="4"/>
  <c r="L54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L39" i="4"/>
  <c r="AK39" i="4"/>
  <c r="AJ39" i="4"/>
  <c r="AI39" i="4"/>
  <c r="AH39" i="4"/>
  <c r="Z39" i="4"/>
  <c r="Y39" i="4"/>
  <c r="X39" i="4"/>
  <c r="W39" i="4"/>
  <c r="V39" i="4"/>
  <c r="N39" i="4"/>
  <c r="M39" i="4"/>
  <c r="L39" i="4"/>
  <c r="K39" i="4"/>
  <c r="J39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S39" i="4" s="1"/>
  <c r="AR38" i="4"/>
  <c r="AR39" i="4" s="1"/>
  <c r="AQ38" i="4"/>
  <c r="AP38" i="4"/>
  <c r="AO38" i="4"/>
  <c r="AN38" i="4"/>
  <c r="AM38" i="4"/>
  <c r="AL38" i="4"/>
  <c r="AK38" i="4"/>
  <c r="AJ38" i="4"/>
  <c r="AI38" i="4"/>
  <c r="AH38" i="4"/>
  <c r="AG38" i="4"/>
  <c r="AG39" i="4" s="1"/>
  <c r="AF38" i="4"/>
  <c r="AF39" i="4" s="1"/>
  <c r="AE38" i="4"/>
  <c r="AD38" i="4"/>
  <c r="AC38" i="4"/>
  <c r="AB38" i="4"/>
  <c r="AA38" i="4"/>
  <c r="Z38" i="4"/>
  <c r="Y38" i="4"/>
  <c r="X38" i="4"/>
  <c r="W38" i="4"/>
  <c r="V38" i="4"/>
  <c r="U38" i="4"/>
  <c r="U39" i="4" s="1"/>
  <c r="T38" i="4"/>
  <c r="T39" i="4" s="1"/>
  <c r="S38" i="4"/>
  <c r="R38" i="4"/>
  <c r="Q38" i="4"/>
  <c r="P38" i="4"/>
  <c r="O38" i="4"/>
  <c r="N38" i="4"/>
  <c r="M38" i="4"/>
  <c r="L38" i="4"/>
  <c r="K38" i="4"/>
  <c r="J38" i="4"/>
  <c r="I38" i="4"/>
  <c r="I39" i="4" s="1"/>
  <c r="H38" i="4"/>
  <c r="H39" i="4" s="1"/>
  <c r="G38" i="4"/>
  <c r="F38" i="4"/>
  <c r="E38" i="4"/>
  <c r="D38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BM29" i="4"/>
  <c r="BL29" i="4"/>
  <c r="BQ31" i="4"/>
  <c r="BM31" i="4"/>
  <c r="BL31" i="4"/>
  <c r="AX31" i="4"/>
  <c r="AW31" i="4"/>
  <c r="AL31" i="4"/>
  <c r="AK31" i="4"/>
  <c r="Z31" i="4"/>
  <c r="Y31" i="4"/>
  <c r="N31" i="4"/>
  <c r="M31" i="4"/>
  <c r="BM33" i="4"/>
  <c r="BL33" i="4"/>
  <c r="AX33" i="4"/>
  <c r="AW33" i="4"/>
  <c r="AV33" i="4"/>
  <c r="AU33" i="4"/>
  <c r="AL33" i="4"/>
  <c r="AK33" i="4"/>
  <c r="AJ33" i="4"/>
  <c r="AI33" i="4"/>
  <c r="Z33" i="4"/>
  <c r="Y33" i="4"/>
  <c r="X33" i="4"/>
  <c r="W33" i="4"/>
  <c r="N33" i="4"/>
  <c r="M33" i="4"/>
  <c r="L33" i="4"/>
  <c r="K33" i="4"/>
  <c r="BM35" i="4"/>
  <c r="BL35" i="4"/>
  <c r="AX35" i="4"/>
  <c r="AW35" i="4"/>
  <c r="AV35" i="4"/>
  <c r="AU35" i="4"/>
  <c r="AT35" i="4"/>
  <c r="AS35" i="4"/>
  <c r="AL35" i="4"/>
  <c r="AK35" i="4"/>
  <c r="AJ35" i="4"/>
  <c r="AI35" i="4"/>
  <c r="AH35" i="4"/>
  <c r="AG35" i="4"/>
  <c r="Z35" i="4"/>
  <c r="Y35" i="4"/>
  <c r="X35" i="4"/>
  <c r="W35" i="4"/>
  <c r="V35" i="4"/>
  <c r="U35" i="4"/>
  <c r="N35" i="4"/>
  <c r="M35" i="4"/>
  <c r="L35" i="4"/>
  <c r="K35" i="4"/>
  <c r="J35" i="4"/>
  <c r="I35" i="4"/>
  <c r="BV34" i="4"/>
  <c r="BU34" i="4"/>
  <c r="BT34" i="4"/>
  <c r="BS34" i="4"/>
  <c r="BR34" i="4"/>
  <c r="BQ34" i="4"/>
  <c r="BP34" i="4"/>
  <c r="BO34" i="4"/>
  <c r="BN34" i="4"/>
  <c r="BM34" i="4"/>
  <c r="BL34" i="4"/>
  <c r="AY34" i="4"/>
  <c r="AX34" i="4"/>
  <c r="AW34" i="4"/>
  <c r="AV34" i="4"/>
  <c r="AU34" i="4"/>
  <c r="AT34" i="4"/>
  <c r="AS34" i="4"/>
  <c r="AR34" i="4"/>
  <c r="AR35" i="4" s="1"/>
  <c r="AQ34" i="4"/>
  <c r="AQ35" i="4" s="1"/>
  <c r="AP34" i="4"/>
  <c r="AO34" i="4"/>
  <c r="AO35" i="4" s="1"/>
  <c r="AN34" i="4"/>
  <c r="AM34" i="4"/>
  <c r="AL34" i="4"/>
  <c r="AK34" i="4"/>
  <c r="AJ34" i="4"/>
  <c r="AI34" i="4"/>
  <c r="AH34" i="4"/>
  <c r="AG34" i="4"/>
  <c r="AF34" i="4"/>
  <c r="AF35" i="4" s="1"/>
  <c r="AE34" i="4"/>
  <c r="AE35" i="4" s="1"/>
  <c r="AD34" i="4"/>
  <c r="AC34" i="4"/>
  <c r="AC35" i="4" s="1"/>
  <c r="AB34" i="4"/>
  <c r="AA34" i="4"/>
  <c r="Z34" i="4"/>
  <c r="Y34" i="4"/>
  <c r="X34" i="4"/>
  <c r="W34" i="4"/>
  <c r="V34" i="4"/>
  <c r="U34" i="4"/>
  <c r="T34" i="4"/>
  <c r="T35" i="4" s="1"/>
  <c r="S34" i="4"/>
  <c r="S35" i="4" s="1"/>
  <c r="R34" i="4"/>
  <c r="Q34" i="4"/>
  <c r="Q35" i="4" s="1"/>
  <c r="P34" i="4"/>
  <c r="O34" i="4"/>
  <c r="N34" i="4"/>
  <c r="M34" i="4"/>
  <c r="L34" i="4"/>
  <c r="K34" i="4"/>
  <c r="J34" i="4"/>
  <c r="I34" i="4"/>
  <c r="H34" i="4"/>
  <c r="H35" i="4" s="1"/>
  <c r="G34" i="4"/>
  <c r="G35" i="4" s="1"/>
  <c r="F34" i="4"/>
  <c r="E34" i="4"/>
  <c r="E35" i="4" s="1"/>
  <c r="D34" i="4"/>
  <c r="BV32" i="4"/>
  <c r="BU32" i="4"/>
  <c r="BT32" i="4"/>
  <c r="BS32" i="4"/>
  <c r="BR32" i="4"/>
  <c r="BQ32" i="4"/>
  <c r="BQ33" i="4" s="1"/>
  <c r="BP32" i="4"/>
  <c r="BO32" i="4"/>
  <c r="BN32" i="4"/>
  <c r="BN33" i="4" s="1"/>
  <c r="BM32" i="4"/>
  <c r="BL32" i="4"/>
  <c r="AY32" i="4"/>
  <c r="AX32" i="4"/>
  <c r="AW32" i="4"/>
  <c r="AV32" i="4"/>
  <c r="AU32" i="4"/>
  <c r="AT32" i="4"/>
  <c r="AT33" i="4" s="1"/>
  <c r="AS32" i="4"/>
  <c r="AS33" i="4" s="1"/>
  <c r="AR32" i="4"/>
  <c r="AR33" i="4" s="1"/>
  <c r="AQ32" i="4"/>
  <c r="AQ33" i="4" s="1"/>
  <c r="AP32" i="4"/>
  <c r="AO32" i="4"/>
  <c r="AN32" i="4"/>
  <c r="AM32" i="4"/>
  <c r="AL32" i="4"/>
  <c r="AK32" i="4"/>
  <c r="AJ32" i="4"/>
  <c r="AI32" i="4"/>
  <c r="AH32" i="4"/>
  <c r="AH33" i="4" s="1"/>
  <c r="AG32" i="4"/>
  <c r="AG33" i="4" s="1"/>
  <c r="AF32" i="4"/>
  <c r="AF33" i="4" s="1"/>
  <c r="AE32" i="4"/>
  <c r="AE33" i="4" s="1"/>
  <c r="AD32" i="4"/>
  <c r="AC32" i="4"/>
  <c r="AB32" i="4"/>
  <c r="AA32" i="4"/>
  <c r="Z32" i="4"/>
  <c r="Y32" i="4"/>
  <c r="X32" i="4"/>
  <c r="W32" i="4"/>
  <c r="V32" i="4"/>
  <c r="V33" i="4" s="1"/>
  <c r="U32" i="4"/>
  <c r="U33" i="4" s="1"/>
  <c r="T32" i="4"/>
  <c r="T33" i="4" s="1"/>
  <c r="S32" i="4"/>
  <c r="S33" i="4" s="1"/>
  <c r="R32" i="4"/>
  <c r="Q32" i="4"/>
  <c r="P32" i="4"/>
  <c r="O32" i="4"/>
  <c r="N32" i="4"/>
  <c r="M32" i="4"/>
  <c r="L32" i="4"/>
  <c r="K32" i="4"/>
  <c r="J32" i="4"/>
  <c r="J33" i="4" s="1"/>
  <c r="I32" i="4"/>
  <c r="I33" i="4" s="1"/>
  <c r="H32" i="4"/>
  <c r="H33" i="4" s="1"/>
  <c r="G32" i="4"/>
  <c r="G33" i="4" s="1"/>
  <c r="F32" i="4"/>
  <c r="E32" i="4"/>
  <c r="D32" i="4"/>
  <c r="BV30" i="4"/>
  <c r="BU30" i="4"/>
  <c r="BT30" i="4"/>
  <c r="BS30" i="4"/>
  <c r="BR30" i="4"/>
  <c r="BR31" i="4" s="1"/>
  <c r="BQ30" i="4"/>
  <c r="BP30" i="4"/>
  <c r="BP31" i="4" s="1"/>
  <c r="BO30" i="4"/>
  <c r="BO31" i="4" s="1"/>
  <c r="BN30" i="4"/>
  <c r="BN31" i="4" s="1"/>
  <c r="BM30" i="4"/>
  <c r="BL30" i="4"/>
  <c r="AY30" i="4"/>
  <c r="AX30" i="4"/>
  <c r="AW30" i="4"/>
  <c r="AV30" i="4"/>
  <c r="AV31" i="4" s="1"/>
  <c r="AU30" i="4"/>
  <c r="AU31" i="4" s="1"/>
  <c r="AT30" i="4"/>
  <c r="AT31" i="4" s="1"/>
  <c r="AS30" i="4"/>
  <c r="AS31" i="4" s="1"/>
  <c r="AR30" i="4"/>
  <c r="AR31" i="4" s="1"/>
  <c r="AQ30" i="4"/>
  <c r="AQ31" i="4" s="1"/>
  <c r="AP30" i="4"/>
  <c r="AP31" i="4" s="1"/>
  <c r="AO30" i="4"/>
  <c r="AN30" i="4"/>
  <c r="AM30" i="4"/>
  <c r="AL30" i="4"/>
  <c r="AK30" i="4"/>
  <c r="AJ30" i="4"/>
  <c r="AJ31" i="4" s="1"/>
  <c r="AI30" i="4"/>
  <c r="AI31" i="4" s="1"/>
  <c r="AH30" i="4"/>
  <c r="AH31" i="4" s="1"/>
  <c r="AG30" i="4"/>
  <c r="AG31" i="4" s="1"/>
  <c r="AF30" i="4"/>
  <c r="AF31" i="4" s="1"/>
  <c r="AE30" i="4"/>
  <c r="AE31" i="4" s="1"/>
  <c r="AD30" i="4"/>
  <c r="AD31" i="4" s="1"/>
  <c r="AC30" i="4"/>
  <c r="AB30" i="4"/>
  <c r="AA30" i="4"/>
  <c r="Z30" i="4"/>
  <c r="Y30" i="4"/>
  <c r="X30" i="4"/>
  <c r="X31" i="4" s="1"/>
  <c r="W30" i="4"/>
  <c r="W31" i="4" s="1"/>
  <c r="V30" i="4"/>
  <c r="V31" i="4" s="1"/>
  <c r="U30" i="4"/>
  <c r="U31" i="4" s="1"/>
  <c r="T30" i="4"/>
  <c r="T31" i="4" s="1"/>
  <c r="S30" i="4"/>
  <c r="S31" i="4" s="1"/>
  <c r="R30" i="4"/>
  <c r="R31" i="4" s="1"/>
  <c r="Q30" i="4"/>
  <c r="P30" i="4"/>
  <c r="O30" i="4"/>
  <c r="N30" i="4"/>
  <c r="M30" i="4"/>
  <c r="L30" i="4"/>
  <c r="L31" i="4" s="1"/>
  <c r="K30" i="4"/>
  <c r="K31" i="4" s="1"/>
  <c r="J30" i="4"/>
  <c r="J31" i="4" s="1"/>
  <c r="I30" i="4"/>
  <c r="I31" i="4" s="1"/>
  <c r="H30" i="4"/>
  <c r="H31" i="4" s="1"/>
  <c r="G30" i="4"/>
  <c r="G31" i="4" s="1"/>
  <c r="F30" i="4"/>
  <c r="F31" i="4" s="1"/>
  <c r="E30" i="4"/>
  <c r="D30" i="4"/>
  <c r="BV10" i="4"/>
  <c r="BU10" i="4"/>
  <c r="BT10" i="4"/>
  <c r="BS10" i="4"/>
  <c r="BR10" i="4"/>
  <c r="BQ10" i="4"/>
  <c r="BP10" i="4"/>
  <c r="BO10" i="4"/>
  <c r="BO11" i="4" s="1"/>
  <c r="BN10" i="4"/>
  <c r="BN11" i="4" s="1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Y11" i="4" s="1"/>
  <c r="AX10" i="4"/>
  <c r="AX11" i="4" s="1"/>
  <c r="AW10" i="4"/>
  <c r="AW11" i="4" s="1"/>
  <c r="AV10" i="4"/>
  <c r="AV11" i="4" s="1"/>
  <c r="AU10" i="4"/>
  <c r="AU11" i="4" s="1"/>
  <c r="AT10" i="4"/>
  <c r="AT11" i="4" s="1"/>
  <c r="AS10" i="4"/>
  <c r="AS11" i="4" s="1"/>
  <c r="AR10" i="4"/>
  <c r="AR11" i="4" s="1"/>
  <c r="AQ10" i="4"/>
  <c r="AQ11" i="4" s="1"/>
  <c r="AP10" i="4"/>
  <c r="AP11" i="4" s="1"/>
  <c r="AO10" i="4"/>
  <c r="AO11" i="4" s="1"/>
  <c r="AN10" i="4"/>
  <c r="AN11" i="4" s="1"/>
  <c r="AM10" i="4"/>
  <c r="AM11" i="4" s="1"/>
  <c r="AL10" i="4"/>
  <c r="AL11" i="4" s="1"/>
  <c r="AK10" i="4"/>
  <c r="AK11" i="4" s="1"/>
  <c r="AJ10" i="4"/>
  <c r="AJ11" i="4" s="1"/>
  <c r="AI10" i="4"/>
  <c r="AI11" i="4" s="1"/>
  <c r="AH10" i="4"/>
  <c r="AH11" i="4" s="1"/>
  <c r="AG10" i="4"/>
  <c r="AG11" i="4" s="1"/>
  <c r="AF10" i="4"/>
  <c r="AF11" i="4" s="1"/>
  <c r="AE10" i="4"/>
  <c r="AE11" i="4" s="1"/>
  <c r="AD10" i="4"/>
  <c r="AD11" i="4" s="1"/>
  <c r="AC10" i="4"/>
  <c r="AC11" i="4" s="1"/>
  <c r="AB10" i="4"/>
  <c r="AB11" i="4" s="1"/>
  <c r="AA10" i="4"/>
  <c r="AA11" i="4" s="1"/>
  <c r="Z10" i="4"/>
  <c r="Z11" i="4" s="1"/>
  <c r="Y10" i="4"/>
  <c r="Y11" i="4" s="1"/>
  <c r="X10" i="4"/>
  <c r="X11" i="4" s="1"/>
  <c r="W10" i="4"/>
  <c r="W11" i="4" s="1"/>
  <c r="V10" i="4"/>
  <c r="V11" i="4" s="1"/>
  <c r="U10" i="4"/>
  <c r="U11" i="4" s="1"/>
  <c r="T10" i="4"/>
  <c r="T11" i="4" s="1"/>
  <c r="S10" i="4"/>
  <c r="S11" i="4" s="1"/>
  <c r="R10" i="4"/>
  <c r="R11" i="4" s="1"/>
  <c r="Q10" i="4"/>
  <c r="Q11" i="4" s="1"/>
  <c r="P10" i="4"/>
  <c r="P11" i="4" s="1"/>
  <c r="O10" i="4"/>
  <c r="O11" i="4" s="1"/>
  <c r="N10" i="4"/>
  <c r="N11" i="4" s="1"/>
  <c r="M10" i="4"/>
  <c r="M11" i="4" s="1"/>
  <c r="L10" i="4"/>
  <c r="L11" i="4" s="1"/>
  <c r="K10" i="4"/>
  <c r="K11" i="4" s="1"/>
  <c r="J10" i="4"/>
  <c r="J11" i="4" s="1"/>
  <c r="I10" i="4"/>
  <c r="I11" i="4" s="1"/>
  <c r="H10" i="4"/>
  <c r="H11" i="4" s="1"/>
  <c r="G10" i="4"/>
  <c r="G11" i="4" s="1"/>
  <c r="F10" i="4"/>
  <c r="F11" i="4" s="1"/>
  <c r="E10" i="4"/>
  <c r="E11" i="4" s="1"/>
  <c r="D10" i="4"/>
  <c r="D11" i="4" s="1"/>
  <c r="BV9" i="4"/>
  <c r="BU9" i="4"/>
  <c r="BT9" i="4"/>
  <c r="BT11" i="4" s="1"/>
  <c r="BS9" i="4"/>
  <c r="BR9" i="4"/>
  <c r="BR11" i="4" s="1"/>
  <c r="BQ9" i="4"/>
  <c r="BQ11" i="4" s="1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BV12" i="4"/>
  <c r="BV54" i="4" s="1"/>
  <c r="BU12" i="4"/>
  <c r="BT12" i="4"/>
  <c r="BS12" i="4"/>
  <c r="BR12" i="4"/>
  <c r="BQ12" i="4"/>
  <c r="BQ54" i="4" s="1"/>
  <c r="BP12" i="4"/>
  <c r="BP54" i="4" s="1"/>
  <c r="BO12" i="4"/>
  <c r="BN12" i="4"/>
  <c r="BN39" i="4" s="1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V29" i="4" s="1"/>
  <c r="AU12" i="4"/>
  <c r="AU54" i="4" s="1"/>
  <c r="AT12" i="4"/>
  <c r="AT54" i="4" s="1"/>
  <c r="AS12" i="4"/>
  <c r="AS54" i="4" s="1"/>
  <c r="AR12" i="4"/>
  <c r="AR29" i="4" s="1"/>
  <c r="AQ12" i="4"/>
  <c r="AQ54" i="4" s="1"/>
  <c r="AP12" i="4"/>
  <c r="AP33" i="4" s="1"/>
  <c r="AO12" i="4"/>
  <c r="AO54" i="4" s="1"/>
  <c r="AN12" i="4"/>
  <c r="AN31" i="4" s="1"/>
  <c r="AM12" i="4"/>
  <c r="AL12" i="4"/>
  <c r="AK12" i="4"/>
  <c r="AJ12" i="4"/>
  <c r="AJ29" i="4" s="1"/>
  <c r="AI12" i="4"/>
  <c r="AI54" i="4" s="1"/>
  <c r="AH12" i="4"/>
  <c r="AH29" i="4" s="1"/>
  <c r="AG12" i="4"/>
  <c r="AG29" i="4" s="1"/>
  <c r="AF12" i="4"/>
  <c r="AF29" i="4" s="1"/>
  <c r="AE12" i="4"/>
  <c r="AE57" i="4" s="1"/>
  <c r="AD12" i="4"/>
  <c r="AD35" i="4" s="1"/>
  <c r="AC12" i="4"/>
  <c r="AC39" i="4" s="1"/>
  <c r="AB12" i="4"/>
  <c r="AB33" i="4" s="1"/>
  <c r="AA12" i="4"/>
  <c r="Z12" i="4"/>
  <c r="Y12" i="4"/>
  <c r="X12" i="4"/>
  <c r="X29" i="4" s="1"/>
  <c r="W12" i="4"/>
  <c r="W54" i="4" s="1"/>
  <c r="V12" i="4"/>
  <c r="V54" i="4" s="1"/>
  <c r="U12" i="4"/>
  <c r="U29" i="4" s="1"/>
  <c r="T12" i="4"/>
  <c r="T29" i="4" s="1"/>
  <c r="S12" i="4"/>
  <c r="S57" i="4" s="1"/>
  <c r="R12" i="4"/>
  <c r="R35" i="4" s="1"/>
  <c r="Q12" i="4"/>
  <c r="Q33" i="4" s="1"/>
  <c r="P12" i="4"/>
  <c r="P35" i="4" s="1"/>
  <c r="O12" i="4"/>
  <c r="O29" i="4" s="1"/>
  <c r="N12" i="4"/>
  <c r="M12" i="4"/>
  <c r="L12" i="4"/>
  <c r="L29" i="4" s="1"/>
  <c r="K12" i="4"/>
  <c r="K54" i="4" s="1"/>
  <c r="J12" i="4"/>
  <c r="J54" i="4" s="1"/>
  <c r="I12" i="4"/>
  <c r="I54" i="4" s="1"/>
  <c r="H12" i="4"/>
  <c r="H29" i="4" s="1"/>
  <c r="G12" i="4"/>
  <c r="G57" i="4" s="1"/>
  <c r="F12" i="4"/>
  <c r="F33" i="4" s="1"/>
  <c r="E12" i="4"/>
  <c r="E33" i="4" s="1"/>
  <c r="D12" i="4"/>
  <c r="D33" i="4" s="1"/>
  <c r="BV16" i="4"/>
  <c r="BU16" i="4"/>
  <c r="BT16" i="4"/>
  <c r="BS16" i="4"/>
  <c r="BR16" i="4"/>
  <c r="BR29" i="4" s="1"/>
  <c r="BQ16" i="4"/>
  <c r="BQ29" i="4" s="1"/>
  <c r="BP16" i="4"/>
  <c r="BP29" i="4" s="1"/>
  <c r="BO16" i="4"/>
  <c r="BO29" i="4" s="1"/>
  <c r="BN16" i="4"/>
  <c r="BN29" i="4" s="1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X29" i="4" s="1"/>
  <c r="AW16" i="4"/>
  <c r="AW29" i="4" s="1"/>
  <c r="AV16" i="4"/>
  <c r="AU16" i="4"/>
  <c r="AU29" i="4" s="1"/>
  <c r="AT16" i="4"/>
  <c r="AS16" i="4"/>
  <c r="AR16" i="4"/>
  <c r="AQ16" i="4"/>
  <c r="AP16" i="4"/>
  <c r="AO16" i="4"/>
  <c r="AN16" i="4"/>
  <c r="AM16" i="4"/>
  <c r="AM28" i="4" s="1"/>
  <c r="AL16" i="4"/>
  <c r="AK16" i="4"/>
  <c r="AK28" i="4" s="1"/>
  <c r="AJ16" i="4"/>
  <c r="AJ28" i="4" s="1"/>
  <c r="AI16" i="4"/>
  <c r="AI28" i="4" s="1"/>
  <c r="AH16" i="4"/>
  <c r="AH28" i="4" s="1"/>
  <c r="AG16" i="4"/>
  <c r="AG28" i="4" s="1"/>
  <c r="AF16" i="4"/>
  <c r="AF28" i="4" s="1"/>
  <c r="AE16" i="4"/>
  <c r="AE28" i="4" s="1"/>
  <c r="AD16" i="4"/>
  <c r="AD28" i="4" s="1"/>
  <c r="AC16" i="4"/>
  <c r="AC28" i="4" s="1"/>
  <c r="AB16" i="4"/>
  <c r="AB28" i="4" s="1"/>
  <c r="AA16" i="4"/>
  <c r="AA28" i="4" s="1"/>
  <c r="Z16" i="4"/>
  <c r="Y16" i="4"/>
  <c r="Y28" i="4" s="1"/>
  <c r="X16" i="4"/>
  <c r="X28" i="4" s="1"/>
  <c r="W16" i="4"/>
  <c r="W28" i="4" s="1"/>
  <c r="V16" i="4"/>
  <c r="V28" i="4" s="1"/>
  <c r="U16" i="4"/>
  <c r="U28" i="4" s="1"/>
  <c r="T16" i="4"/>
  <c r="T28" i="4" s="1"/>
  <c r="S16" i="4"/>
  <c r="S28" i="4" s="1"/>
  <c r="R16" i="4"/>
  <c r="R28" i="4" s="1"/>
  <c r="Q16" i="4"/>
  <c r="Q28" i="4" s="1"/>
  <c r="P16" i="4"/>
  <c r="P28" i="4" s="1"/>
  <c r="O16" i="4"/>
  <c r="O28" i="4" s="1"/>
  <c r="N16" i="4"/>
  <c r="M16" i="4"/>
  <c r="M28" i="4" s="1"/>
  <c r="L16" i="4"/>
  <c r="L28" i="4" s="1"/>
  <c r="K16" i="4"/>
  <c r="K28" i="4" s="1"/>
  <c r="J16" i="4"/>
  <c r="J28" i="4" s="1"/>
  <c r="I16" i="4"/>
  <c r="I28" i="4" s="1"/>
  <c r="H16" i="4"/>
  <c r="H28" i="4" s="1"/>
  <c r="G16" i="4"/>
  <c r="G28" i="4" s="1"/>
  <c r="F16" i="4"/>
  <c r="F28" i="4" s="1"/>
  <c r="E16" i="4"/>
  <c r="E28" i="4" s="1"/>
  <c r="D16" i="4"/>
  <c r="D28" i="4" s="1"/>
  <c r="BR57" i="4"/>
  <c r="BQ57" i="4"/>
  <c r="BO56" i="4"/>
  <c r="BN56" i="4"/>
  <c r="BN57" i="4" s="1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W57" i="4" s="1"/>
  <c r="AV56" i="4"/>
  <c r="AV57" i="4" s="1"/>
  <c r="AU56" i="4"/>
  <c r="AU57" i="4" s="1"/>
  <c r="AT56" i="4"/>
  <c r="AT57" i="4" s="1"/>
  <c r="AS56" i="4"/>
  <c r="AR56" i="4"/>
  <c r="AQ56" i="4"/>
  <c r="AP56" i="4"/>
  <c r="AO56" i="4"/>
  <c r="AN56" i="4"/>
  <c r="AM56" i="4"/>
  <c r="AL56" i="4"/>
  <c r="AK56" i="4"/>
  <c r="AK57" i="4" s="1"/>
  <c r="AJ56" i="4"/>
  <c r="AJ57" i="4" s="1"/>
  <c r="AI56" i="4"/>
  <c r="AI57" i="4" s="1"/>
  <c r="AH56" i="4"/>
  <c r="AH57" i="4" s="1"/>
  <c r="AG56" i="4"/>
  <c r="AF56" i="4"/>
  <c r="AE56" i="4"/>
  <c r="AD56" i="4"/>
  <c r="AC56" i="4"/>
  <c r="AB56" i="4"/>
  <c r="AA56" i="4"/>
  <c r="Z56" i="4"/>
  <c r="Y56" i="4"/>
  <c r="Y57" i="4" s="1"/>
  <c r="X56" i="4"/>
  <c r="X57" i="4" s="1"/>
  <c r="W56" i="4"/>
  <c r="W57" i="4" s="1"/>
  <c r="V56" i="4"/>
  <c r="V57" i="4" s="1"/>
  <c r="U56" i="4"/>
  <c r="T56" i="4"/>
  <c r="S56" i="4"/>
  <c r="R56" i="4"/>
  <c r="Q56" i="4"/>
  <c r="P56" i="4"/>
  <c r="O56" i="4"/>
  <c r="N56" i="4"/>
  <c r="M56" i="4"/>
  <c r="M57" i="4" s="1"/>
  <c r="L56" i="4"/>
  <c r="L57" i="4" s="1"/>
  <c r="K56" i="4"/>
  <c r="K57" i="4" s="1"/>
  <c r="J56" i="4"/>
  <c r="J57" i="4" s="1"/>
  <c r="I56" i="4"/>
  <c r="H56" i="4"/>
  <c r="G56" i="4"/>
  <c r="F56" i="4"/>
  <c r="E56" i="4"/>
  <c r="D56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BP33" i="4" l="1"/>
  <c r="BP57" i="4"/>
  <c r="BT35" i="4"/>
  <c r="BP39" i="4"/>
  <c r="BR39" i="4"/>
  <c r="BR33" i="4"/>
  <c r="BT29" i="4"/>
  <c r="BV11" i="4"/>
  <c r="BT31" i="4"/>
  <c r="BU29" i="4"/>
  <c r="BT57" i="4"/>
  <c r="BS33" i="4"/>
  <c r="BP35" i="4"/>
  <c r="BS39" i="4"/>
  <c r="BS31" i="4"/>
  <c r="BQ39" i="4"/>
  <c r="BU31" i="4"/>
  <c r="BU57" i="4"/>
  <c r="BT33" i="4"/>
  <c r="BU39" i="4"/>
  <c r="BU33" i="4"/>
  <c r="BS11" i="4"/>
  <c r="BV33" i="4"/>
  <c r="BV39" i="4"/>
  <c r="BV57" i="4"/>
  <c r="BQ35" i="4"/>
  <c r="BT39" i="4"/>
  <c r="BR35" i="4"/>
  <c r="BS35" i="4"/>
  <c r="BV31" i="4"/>
  <c r="BS29" i="4"/>
  <c r="BU11" i="4"/>
  <c r="BU35" i="4"/>
  <c r="BS57" i="4"/>
  <c r="BV35" i="4"/>
  <c r="BV29" i="4"/>
  <c r="BP11" i="4"/>
  <c r="BO33" i="4"/>
  <c r="BO35" i="4"/>
  <c r="BO54" i="4"/>
  <c r="BO39" i="4"/>
  <c r="BO57" i="4"/>
  <c r="AA39" i="4"/>
  <c r="AA54" i="4"/>
  <c r="AA31" i="4"/>
  <c r="AA35" i="4"/>
  <c r="AA33" i="4"/>
  <c r="AA57" i="4"/>
  <c r="AA29" i="4"/>
  <c r="N28" i="4"/>
  <c r="N29" i="4"/>
  <c r="AM33" i="4"/>
  <c r="AM54" i="4"/>
  <c r="AM31" i="4"/>
  <c r="AM57" i="4"/>
  <c r="AM39" i="4"/>
  <c r="AM35" i="4"/>
  <c r="AM29" i="4"/>
  <c r="Z28" i="4"/>
  <c r="Z29" i="4"/>
  <c r="AL28" i="4"/>
  <c r="AL29" i="4"/>
  <c r="O35" i="4"/>
  <c r="O33" i="4"/>
  <c r="O39" i="4"/>
  <c r="O54" i="4"/>
  <c r="O31" i="4"/>
  <c r="O57" i="4"/>
  <c r="AY39" i="4"/>
  <c r="AY33" i="4"/>
  <c r="AY35" i="4"/>
  <c r="AY54" i="4"/>
  <c r="AY31" i="4"/>
  <c r="AY57" i="4"/>
  <c r="AY29" i="4"/>
  <c r="D29" i="4"/>
  <c r="AN29" i="4"/>
  <c r="Q29" i="4"/>
  <c r="D57" i="4"/>
  <c r="P57" i="4"/>
  <c r="AN57" i="4"/>
  <c r="P31" i="4"/>
  <c r="R29" i="4"/>
  <c r="E57" i="4"/>
  <c r="Q57" i="4"/>
  <c r="AC57" i="4"/>
  <c r="AO57" i="4"/>
  <c r="E54" i="4"/>
  <c r="AQ57" i="4"/>
  <c r="AC33" i="4"/>
  <c r="I29" i="4"/>
  <c r="D39" i="4"/>
  <c r="AN39" i="4"/>
  <c r="AP54" i="4"/>
  <c r="AF57" i="4"/>
  <c r="K29" i="4"/>
  <c r="W29" i="4"/>
  <c r="AI29" i="4"/>
  <c r="F39" i="4"/>
  <c r="R39" i="4"/>
  <c r="AD39" i="4"/>
  <c r="AP39" i="4"/>
  <c r="H54" i="4"/>
  <c r="T54" i="4"/>
  <c r="AF54" i="4"/>
  <c r="AR54" i="4"/>
  <c r="AB57" i="4"/>
  <c r="D54" i="4"/>
  <c r="AN54" i="4"/>
  <c r="F57" i="4"/>
  <c r="R57" i="4"/>
  <c r="AD57" i="4"/>
  <c r="AP57" i="4"/>
  <c r="AO33" i="4"/>
  <c r="AS29" i="4"/>
  <c r="AB39" i="4"/>
  <c r="R54" i="4"/>
  <c r="AD54" i="4"/>
  <c r="H57" i="4"/>
  <c r="T57" i="4"/>
  <c r="AR57" i="4"/>
  <c r="AN35" i="4"/>
  <c r="R33" i="4"/>
  <c r="V29" i="4"/>
  <c r="E39" i="4"/>
  <c r="AO39" i="4"/>
  <c r="G54" i="4"/>
  <c r="AE54" i="4"/>
  <c r="I57" i="4"/>
  <c r="U57" i="4"/>
  <c r="AG57" i="4"/>
  <c r="AS57" i="4"/>
  <c r="F35" i="4"/>
  <c r="AP35" i="4"/>
  <c r="G39" i="4"/>
  <c r="S39" i="4"/>
  <c r="AE39" i="4"/>
  <c r="AQ39" i="4"/>
  <c r="U54" i="4"/>
  <c r="AG54" i="4"/>
  <c r="P29" i="4"/>
  <c r="E29" i="4"/>
  <c r="AO29" i="4"/>
  <c r="AB31" i="4"/>
  <c r="AP29" i="4"/>
  <c r="E31" i="4"/>
  <c r="AC31" i="4"/>
  <c r="G29" i="4"/>
  <c r="AE29" i="4"/>
  <c r="P54" i="4"/>
  <c r="P33" i="4"/>
  <c r="AN33" i="4"/>
  <c r="AC54" i="4"/>
  <c r="P39" i="4"/>
  <c r="D35" i="4"/>
  <c r="AB35" i="4"/>
  <c r="AD33" i="4"/>
  <c r="J29" i="4"/>
  <c r="AT29" i="4"/>
  <c r="Q39" i="4"/>
  <c r="S54" i="4"/>
  <c r="M29" i="4"/>
  <c r="Y29" i="4"/>
  <c r="AK29" i="4"/>
  <c r="AH54" i="4"/>
  <c r="AB29" i="4"/>
  <c r="AC29" i="4"/>
  <c r="D31" i="4"/>
  <c r="F29" i="4"/>
  <c r="AD29" i="4"/>
  <c r="Q31" i="4"/>
  <c r="AO31" i="4"/>
  <c r="S29" i="4"/>
  <c r="AQ29" i="4"/>
  <c r="AB54" i="4"/>
  <c r="Q54" i="4"/>
  <c r="F54" i="4"/>
  <c r="BN35" i="4"/>
  <c r="BN54" i="4"/>
  <c r="AY37" i="5"/>
  <c r="AM56" i="5"/>
  <c r="AM55" i="5"/>
  <c r="AM54" i="5"/>
  <c r="AM53" i="5"/>
  <c r="AM52" i="5"/>
  <c r="AM51" i="5"/>
  <c r="AM50" i="5"/>
  <c r="AM31" i="5"/>
  <c r="AM13" i="5"/>
  <c r="AA56" i="5"/>
  <c r="AA55" i="5"/>
  <c r="AA54" i="5"/>
  <c r="AA53" i="5"/>
  <c r="AA52" i="5"/>
  <c r="AA51" i="5"/>
  <c r="AA50" i="5"/>
  <c r="AA13" i="5"/>
  <c r="AA49" i="5" s="1"/>
  <c r="O56" i="5"/>
  <c r="O55" i="5"/>
  <c r="O54" i="5"/>
  <c r="O53" i="5"/>
  <c r="O52" i="5"/>
  <c r="O51" i="5"/>
  <c r="O50" i="5"/>
  <c r="O31" i="5"/>
  <c r="O49" i="5" s="1"/>
  <c r="BW6" i="4"/>
  <c r="BV6" i="4"/>
  <c r="BU6" i="4"/>
  <c r="BT6" i="4"/>
  <c r="BS6" i="4"/>
  <c r="BR6" i="4"/>
  <c r="AM49" i="5" l="1"/>
  <c r="BO28" i="4"/>
  <c r="BN28" i="4"/>
  <c r="AN16" i="3" l="1"/>
  <c r="AB25" i="3"/>
  <c r="AB32" i="3" s="1"/>
  <c r="E41" i="3"/>
  <c r="F41" i="3"/>
  <c r="P41" i="3"/>
  <c r="Q41" i="3"/>
  <c r="S41" i="3"/>
  <c r="T41" i="3"/>
  <c r="U41" i="3"/>
  <c r="V41" i="3"/>
  <c r="AF41" i="3"/>
  <c r="AG41" i="3"/>
  <c r="AI41" i="3"/>
  <c r="AJ41" i="3"/>
  <c r="AK41" i="3"/>
  <c r="AL41" i="3"/>
  <c r="AV41" i="3"/>
  <c r="AW41" i="3"/>
  <c r="AY41" i="3"/>
  <c r="AZ41" i="3"/>
  <c r="BA41" i="3"/>
  <c r="BB41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L40" i="3"/>
  <c r="BM40" i="3"/>
  <c r="D40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R41" i="3" s="1"/>
  <c r="S32" i="3"/>
  <c r="T32" i="3"/>
  <c r="U32" i="3"/>
  <c r="V32" i="3"/>
  <c r="W32" i="3"/>
  <c r="X32" i="3"/>
  <c r="Y32" i="3"/>
  <c r="Z32" i="3"/>
  <c r="AA32" i="3"/>
  <c r="AC32" i="3"/>
  <c r="AD32" i="3"/>
  <c r="AE32" i="3"/>
  <c r="AF32" i="3"/>
  <c r="AG32" i="3"/>
  <c r="AH32" i="3"/>
  <c r="AH41" i="3" s="1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X41" i="3" s="1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M32" i="3"/>
  <c r="D32" i="3"/>
  <c r="D41" i="3" s="1"/>
  <c r="D44" i="3" s="1"/>
  <c r="E42" i="3" s="1"/>
  <c r="E23" i="3"/>
  <c r="F23" i="3"/>
  <c r="G23" i="3"/>
  <c r="G41" i="3" s="1"/>
  <c r="I23" i="3"/>
  <c r="I41" i="3" s="1"/>
  <c r="J23" i="3"/>
  <c r="K23" i="3"/>
  <c r="K41" i="3" s="1"/>
  <c r="L23" i="3"/>
  <c r="L41" i="3" s="1"/>
  <c r="P23" i="3"/>
  <c r="Q23" i="3"/>
  <c r="R23" i="3"/>
  <c r="S23" i="3"/>
  <c r="T23" i="3"/>
  <c r="U23" i="3"/>
  <c r="V23" i="3"/>
  <c r="W23" i="3"/>
  <c r="W41" i="3" s="1"/>
  <c r="Y23" i="3"/>
  <c r="Y41" i="3" s="1"/>
  <c r="Z23" i="3"/>
  <c r="AA23" i="3"/>
  <c r="AA41" i="3" s="1"/>
  <c r="AB23" i="3"/>
  <c r="AF23" i="3"/>
  <c r="AG23" i="3"/>
  <c r="AH23" i="3"/>
  <c r="AI23" i="3"/>
  <c r="AJ23" i="3"/>
  <c r="AK23" i="3"/>
  <c r="AL23" i="3"/>
  <c r="AM23" i="3"/>
  <c r="AM41" i="3" s="1"/>
  <c r="AO23" i="3"/>
  <c r="AO41" i="3" s="1"/>
  <c r="AP23" i="3"/>
  <c r="AP41" i="3" s="1"/>
  <c r="AQ23" i="3"/>
  <c r="AQ41" i="3" s="1"/>
  <c r="AR23" i="3"/>
  <c r="AR41" i="3" s="1"/>
  <c r="AV23" i="3"/>
  <c r="AW23" i="3"/>
  <c r="AX23" i="3"/>
  <c r="AY23" i="3"/>
  <c r="AZ23" i="3"/>
  <c r="BA23" i="3"/>
  <c r="BB23" i="3"/>
  <c r="BC23" i="3"/>
  <c r="BC41" i="3" s="1"/>
  <c r="BE23" i="3"/>
  <c r="BE41" i="3" s="1"/>
  <c r="BF23" i="3"/>
  <c r="BF41" i="3" s="1"/>
  <c r="BG23" i="3"/>
  <c r="BG41" i="3" s="1"/>
  <c r="BH23" i="3"/>
  <c r="BH41" i="3" s="1"/>
  <c r="BL23" i="3"/>
  <c r="BL41" i="3" s="1"/>
  <c r="BL44" i="3" s="1"/>
  <c r="BM23" i="3"/>
  <c r="BM41" i="3" s="1"/>
  <c r="D23" i="3"/>
  <c r="E13" i="3"/>
  <c r="F13" i="3"/>
  <c r="G13" i="3"/>
  <c r="H13" i="3"/>
  <c r="H23" i="3" s="1"/>
  <c r="I13" i="3"/>
  <c r="J13" i="3"/>
  <c r="K13" i="3"/>
  <c r="L13" i="3"/>
  <c r="M13" i="3"/>
  <c r="M23" i="3" s="1"/>
  <c r="M41" i="3" s="1"/>
  <c r="N13" i="3"/>
  <c r="N23" i="3" s="1"/>
  <c r="N41" i="3" s="1"/>
  <c r="O13" i="3"/>
  <c r="O23" i="3" s="1"/>
  <c r="O41" i="3" s="1"/>
  <c r="P13" i="3"/>
  <c r="Q13" i="3"/>
  <c r="R13" i="3"/>
  <c r="S13" i="3"/>
  <c r="T13" i="3"/>
  <c r="U13" i="3"/>
  <c r="V13" i="3"/>
  <c r="W13" i="3"/>
  <c r="X13" i="3"/>
  <c r="X23" i="3" s="1"/>
  <c r="Y13" i="3"/>
  <c r="Z13" i="3"/>
  <c r="AA13" i="3"/>
  <c r="AB13" i="3"/>
  <c r="AC13" i="3"/>
  <c r="AC23" i="3" s="1"/>
  <c r="AC41" i="3" s="1"/>
  <c r="AD13" i="3"/>
  <c r="AD23" i="3" s="1"/>
  <c r="AD41" i="3" s="1"/>
  <c r="AE13" i="3"/>
  <c r="AE23" i="3" s="1"/>
  <c r="AE41" i="3" s="1"/>
  <c r="AF13" i="3"/>
  <c r="AG13" i="3"/>
  <c r="AH13" i="3"/>
  <c r="AI13" i="3"/>
  <c r="AJ13" i="3"/>
  <c r="AK13" i="3"/>
  <c r="AL13" i="3"/>
  <c r="AM13" i="3"/>
  <c r="AN13" i="3"/>
  <c r="AN23" i="3" s="1"/>
  <c r="AO13" i="3"/>
  <c r="AP13" i="3"/>
  <c r="AQ13" i="3"/>
  <c r="AR13" i="3"/>
  <c r="AS13" i="3"/>
  <c r="AS23" i="3" s="1"/>
  <c r="AS41" i="3" s="1"/>
  <c r="AT13" i="3"/>
  <c r="AT23" i="3" s="1"/>
  <c r="AT41" i="3" s="1"/>
  <c r="AU13" i="3"/>
  <c r="AU23" i="3" s="1"/>
  <c r="AU41" i="3" s="1"/>
  <c r="AV13" i="3"/>
  <c r="AW13" i="3"/>
  <c r="AX13" i="3"/>
  <c r="AY13" i="3"/>
  <c r="AZ13" i="3"/>
  <c r="BA13" i="3"/>
  <c r="BB13" i="3"/>
  <c r="BC13" i="3"/>
  <c r="BD13" i="3"/>
  <c r="BD23" i="3" s="1"/>
  <c r="BE13" i="3"/>
  <c r="BF13" i="3"/>
  <c r="BG13" i="3"/>
  <c r="BH13" i="3"/>
  <c r="BI13" i="3"/>
  <c r="BI23" i="3" s="1"/>
  <c r="BI41" i="3" s="1"/>
  <c r="BJ13" i="3"/>
  <c r="BJ23" i="3" s="1"/>
  <c r="BJ41" i="3" s="1"/>
  <c r="BK13" i="3"/>
  <c r="BK23" i="3" s="1"/>
  <c r="BL13" i="3"/>
  <c r="BM13" i="3"/>
  <c r="D13" i="3"/>
  <c r="BM5" i="4"/>
  <c r="BM6" i="4"/>
  <c r="J41" i="3" l="1"/>
  <c r="AB41" i="3"/>
  <c r="G44" i="3"/>
  <c r="H42" i="3" s="1"/>
  <c r="BD41" i="3"/>
  <c r="AN41" i="3"/>
  <c r="X41" i="3"/>
  <c r="H41" i="3"/>
  <c r="H44" i="3" s="1"/>
  <c r="I42" i="3" s="1"/>
  <c r="I44" i="3" s="1"/>
  <c r="J42" i="3" s="1"/>
  <c r="Z41" i="3"/>
  <c r="F44" i="3"/>
  <c r="G42" i="3" s="1"/>
  <c r="E44" i="3"/>
  <c r="F42" i="3" s="1"/>
  <c r="BM28" i="4"/>
  <c r="AH17" i="13"/>
  <c r="AH16" i="13"/>
  <c r="X44" i="3" l="1"/>
  <c r="Y42" i="3" s="1"/>
  <c r="Y44" i="3" s="1"/>
  <c r="Z42" i="3" s="1"/>
  <c r="Z44" i="3" s="1"/>
  <c r="AA42" i="3" s="1"/>
  <c r="AA44" i="3" s="1"/>
  <c r="AB42" i="3" s="1"/>
  <c r="AB44" i="3" s="1"/>
  <c r="AC42" i="3" s="1"/>
  <c r="AC44" i="3" s="1"/>
  <c r="AD42" i="3" s="1"/>
  <c r="AD44" i="3" s="1"/>
  <c r="AE42" i="3" s="1"/>
  <c r="AE44" i="3" s="1"/>
  <c r="AF42" i="3" s="1"/>
  <c r="AF44" i="3" s="1"/>
  <c r="AG42" i="3" s="1"/>
  <c r="AG44" i="3" s="1"/>
  <c r="AH42" i="3" s="1"/>
  <c r="AH44" i="3" s="1"/>
  <c r="AI42" i="3" s="1"/>
  <c r="AI44" i="3" s="1"/>
  <c r="AJ42" i="3" s="1"/>
  <c r="AJ44" i="3" s="1"/>
  <c r="AK42" i="3" s="1"/>
  <c r="AK44" i="3" s="1"/>
  <c r="AL42" i="3" s="1"/>
  <c r="AL44" i="3" s="1"/>
  <c r="AM42" i="3" s="1"/>
  <c r="AM44" i="3" s="1"/>
  <c r="AN42" i="3" s="1"/>
  <c r="AN44" i="3" s="1"/>
  <c r="AO42" i="3" s="1"/>
  <c r="AO44" i="3" s="1"/>
  <c r="AP42" i="3" s="1"/>
  <c r="AP44" i="3" s="1"/>
  <c r="AQ42" i="3" s="1"/>
  <c r="AQ44" i="3" s="1"/>
  <c r="AR42" i="3" s="1"/>
  <c r="AR44" i="3" s="1"/>
  <c r="AS42" i="3" s="1"/>
  <c r="AS44" i="3" s="1"/>
  <c r="AT42" i="3" s="1"/>
  <c r="AT44" i="3" s="1"/>
  <c r="AU42" i="3" s="1"/>
  <c r="AU44" i="3" s="1"/>
  <c r="AV42" i="3" s="1"/>
  <c r="AV44" i="3" s="1"/>
  <c r="AW42" i="3" s="1"/>
  <c r="AW44" i="3" s="1"/>
  <c r="AX42" i="3" s="1"/>
  <c r="AX44" i="3" s="1"/>
  <c r="AY42" i="3" s="1"/>
  <c r="AY44" i="3" s="1"/>
  <c r="AZ42" i="3" s="1"/>
  <c r="AZ44" i="3" s="1"/>
  <c r="BA42" i="3" s="1"/>
  <c r="BA44" i="3" s="1"/>
  <c r="BB42" i="3" s="1"/>
  <c r="BB44" i="3" s="1"/>
  <c r="BC42" i="3" s="1"/>
  <c r="BC44" i="3" s="1"/>
  <c r="BD42" i="3" s="1"/>
  <c r="BD44" i="3" s="1"/>
  <c r="BE42" i="3" s="1"/>
  <c r="BE44" i="3" s="1"/>
  <c r="BF42" i="3" s="1"/>
  <c r="BF44" i="3" s="1"/>
  <c r="BG42" i="3" s="1"/>
  <c r="BG44" i="3" s="1"/>
  <c r="BH42" i="3" s="1"/>
  <c r="BH44" i="3" s="1"/>
  <c r="BI42" i="3" s="1"/>
  <c r="BI44" i="3" s="1"/>
  <c r="BJ42" i="3" s="1"/>
  <c r="BJ44" i="3" s="1"/>
  <c r="BK42" i="3" s="1"/>
  <c r="BK44" i="3" s="1"/>
  <c r="BL42" i="3" s="1"/>
  <c r="BM42" i="3" s="1"/>
  <c r="BM44" i="3" s="1"/>
  <c r="J44" i="3"/>
  <c r="K42" i="3" s="1"/>
  <c r="K44" i="3" s="1"/>
  <c r="L42" i="3" s="1"/>
  <c r="L44" i="3" s="1"/>
  <c r="M42" i="3" s="1"/>
  <c r="M44" i="3" s="1"/>
  <c r="N42" i="3" s="1"/>
  <c r="N44" i="3" s="1"/>
  <c r="O42" i="3" s="1"/>
  <c r="O44" i="3" s="1"/>
  <c r="P42" i="3" s="1"/>
  <c r="P44" i="3" s="1"/>
  <c r="Q42" i="3" s="1"/>
  <c r="Q44" i="3" s="1"/>
  <c r="R42" i="3" s="1"/>
  <c r="R44" i="3" s="1"/>
  <c r="S42" i="3" s="1"/>
  <c r="S44" i="3" s="1"/>
  <c r="T42" i="3" s="1"/>
  <c r="T44" i="3" s="1"/>
  <c r="U42" i="3" s="1"/>
  <c r="U44" i="3" s="1"/>
  <c r="V42" i="3" s="1"/>
  <c r="V44" i="3" s="1"/>
  <c r="W42" i="3" s="1"/>
  <c r="W44" i="3" s="1"/>
  <c r="X42" i="3" s="1"/>
  <c r="BK4" i="5"/>
  <c r="BJ4" i="5"/>
  <c r="BI4" i="5"/>
  <c r="BH4" i="5"/>
  <c r="BG4" i="5"/>
  <c r="BF4" i="5"/>
  <c r="BE4" i="5"/>
  <c r="BD4" i="5"/>
  <c r="BC4" i="5"/>
  <c r="BB4" i="5"/>
  <c r="BA4" i="5"/>
  <c r="AZ4" i="5"/>
  <c r="BM4" i="5"/>
  <c r="BM67" i="5"/>
  <c r="BM13" i="5"/>
  <c r="BM31" i="5"/>
  <c r="BM58" i="5"/>
  <c r="BM55" i="5"/>
  <c r="BM54" i="5"/>
  <c r="BM53" i="5"/>
  <c r="BM52" i="5"/>
  <c r="BM51" i="5"/>
  <c r="BM50" i="5"/>
  <c r="BM49" i="5" l="1"/>
  <c r="C152" i="9" l="1"/>
  <c r="C151" i="9"/>
  <c r="C100" i="9"/>
  <c r="AY28" i="4" l="1"/>
  <c r="AX28" i="4"/>
  <c r="AW28" i="4"/>
  <c r="AV28" i="4"/>
  <c r="AU28" i="4"/>
  <c r="AT28" i="4"/>
  <c r="AS28" i="4"/>
  <c r="AR28" i="4"/>
  <c r="AQ28" i="4"/>
  <c r="AP28" i="4"/>
  <c r="AO28" i="4"/>
  <c r="AN28" i="4"/>
  <c r="AZ58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G16" i="13" l="1"/>
  <c r="AG17" i="13"/>
  <c r="BL4" i="5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S6" i="13"/>
  <c r="AS5" i="13"/>
  <c r="AS4" i="13"/>
  <c r="AS3" i="13"/>
  <c r="AC19" i="13" l="1"/>
  <c r="AB19" i="13"/>
  <c r="AA19" i="13"/>
  <c r="Z19" i="13"/>
  <c r="Y19" i="13"/>
  <c r="X19" i="13"/>
  <c r="W19" i="13"/>
  <c r="V19" i="13"/>
  <c r="U19" i="13"/>
  <c r="T19" i="13"/>
  <c r="S19" i="13"/>
  <c r="W21" i="13"/>
  <c r="AD16" i="13"/>
  <c r="AD21" i="13" s="1"/>
  <c r="AC16" i="13"/>
  <c r="AB16" i="13"/>
  <c r="AA16" i="13"/>
  <c r="Z16" i="13"/>
  <c r="Y16" i="13"/>
  <c r="X16" i="13"/>
  <c r="W16" i="13"/>
  <c r="V16" i="13"/>
  <c r="U16" i="13"/>
  <c r="T16" i="13"/>
  <c r="S16" i="13"/>
  <c r="AE6" i="13"/>
  <c r="AD17" i="13"/>
  <c r="AC17" i="13"/>
  <c r="AB17" i="13"/>
  <c r="AA17" i="13"/>
  <c r="Z17" i="13"/>
  <c r="Z21" i="13" s="1"/>
  <c r="Y17" i="13"/>
  <c r="Y21" i="13" s="1"/>
  <c r="X17" i="13"/>
  <c r="W17" i="13"/>
  <c r="V17" i="13"/>
  <c r="U17" i="13"/>
  <c r="T17" i="13"/>
  <c r="S17" i="13"/>
  <c r="AE5" i="13"/>
  <c r="AE4" i="13"/>
  <c r="AE3" i="13"/>
  <c r="AA21" i="13" l="1"/>
  <c r="AC21" i="13"/>
  <c r="S21" i="13"/>
  <c r="T21" i="13"/>
  <c r="U21" i="13"/>
  <c r="X21" i="13"/>
  <c r="AB21" i="13"/>
  <c r="V21" i="13"/>
  <c r="BL6" i="4"/>
  <c r="BL5" i="4"/>
  <c r="F27" i="10" l="1"/>
  <c r="BL13" i="5" l="1"/>
  <c r="E49" i="11" l="1"/>
  <c r="D49" i="11"/>
  <c r="C49" i="11"/>
  <c r="B49" i="11"/>
  <c r="E48" i="11"/>
  <c r="D48" i="11"/>
  <c r="C48" i="11"/>
  <c r="B48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1" i="11"/>
  <c r="D11" i="11"/>
  <c r="C11" i="11"/>
  <c r="B11" i="11"/>
  <c r="G28" i="10"/>
  <c r="F28" i="10"/>
  <c r="E28" i="10"/>
  <c r="D28" i="10"/>
  <c r="G27" i="10"/>
  <c r="E27" i="10"/>
  <c r="G26" i="10"/>
  <c r="E26" i="10"/>
  <c r="G25" i="10"/>
  <c r="F25" i="10"/>
  <c r="E25" i="10"/>
  <c r="D25" i="10"/>
  <c r="G24" i="10"/>
  <c r="F24" i="10"/>
  <c r="E24" i="10"/>
  <c r="D24" i="10"/>
  <c r="G23" i="10"/>
  <c r="F23" i="10"/>
  <c r="E23" i="10"/>
  <c r="D23" i="10"/>
  <c r="G22" i="10"/>
  <c r="F22" i="10"/>
  <c r="E22" i="10"/>
  <c r="D22" i="10"/>
  <c r="G21" i="10"/>
  <c r="F21" i="10"/>
  <c r="E21" i="10"/>
  <c r="D21" i="10"/>
  <c r="G20" i="10"/>
  <c r="F20" i="10"/>
  <c r="E20" i="10"/>
  <c r="D20" i="10"/>
  <c r="G19" i="10"/>
  <c r="F19" i="10"/>
  <c r="E19" i="10"/>
  <c r="D19" i="10"/>
  <c r="G18" i="10"/>
  <c r="F18" i="10"/>
  <c r="E18" i="10"/>
  <c r="D18" i="10"/>
  <c r="G17" i="10"/>
  <c r="F17" i="10"/>
  <c r="E17" i="10"/>
  <c r="D17" i="10"/>
  <c r="G16" i="10"/>
  <c r="F16" i="10"/>
  <c r="E16" i="10"/>
  <c r="D16" i="10"/>
  <c r="G15" i="10"/>
  <c r="F15" i="10"/>
  <c r="E15" i="10"/>
  <c r="D15" i="10"/>
  <c r="G14" i="10"/>
  <c r="F14" i="10"/>
  <c r="E14" i="10"/>
  <c r="D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C149" i="9"/>
  <c r="C148" i="9"/>
  <c r="C147" i="9"/>
  <c r="C146" i="9"/>
  <c r="C145" i="9"/>
  <c r="C144" i="9"/>
  <c r="C143" i="9"/>
  <c r="C142" i="9"/>
  <c r="C141" i="9"/>
  <c r="C140" i="9"/>
  <c r="C139" i="9" s="1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19" i="9"/>
  <c r="C118" i="9"/>
  <c r="C117" i="9"/>
  <c r="C116" i="9"/>
  <c r="C115" i="9"/>
  <c r="C114" i="9"/>
  <c r="C113" i="9"/>
  <c r="C112" i="9"/>
  <c r="C111" i="9"/>
  <c r="C110" i="9"/>
  <c r="B110" i="9"/>
  <c r="C109" i="9"/>
  <c r="C108" i="9"/>
  <c r="C107" i="9"/>
  <c r="C106" i="9"/>
  <c r="C105" i="9"/>
  <c r="C99" i="9"/>
  <c r="C98" i="9"/>
  <c r="C97" i="9"/>
  <c r="C96" i="9"/>
  <c r="C93" i="9"/>
  <c r="C92" i="9"/>
  <c r="C91" i="9"/>
  <c r="C87" i="9" s="1"/>
  <c r="C90" i="9"/>
  <c r="C89" i="9"/>
  <c r="C88" i="9"/>
  <c r="C85" i="9"/>
  <c r="C83" i="9" s="1"/>
  <c r="C84" i="9"/>
  <c r="C81" i="9"/>
  <c r="C80" i="9"/>
  <c r="C77" i="9"/>
  <c r="C76" i="9"/>
  <c r="C75" i="9"/>
  <c r="C74" i="9"/>
  <c r="C73" i="9"/>
  <c r="C72" i="9"/>
  <c r="C71" i="9"/>
  <c r="C70" i="9"/>
  <c r="C67" i="9"/>
  <c r="C66" i="9"/>
  <c r="C64" i="9"/>
  <c r="C63" i="9"/>
  <c r="C61" i="9"/>
  <c r="C60" i="9"/>
  <c r="C54" i="9"/>
  <c r="C53" i="9"/>
  <c r="C52" i="9"/>
  <c r="C51" i="9"/>
  <c r="C50" i="9"/>
  <c r="C49" i="9"/>
  <c r="C45" i="9"/>
  <c r="C44" i="9"/>
  <c r="C43" i="9"/>
  <c r="C42" i="9"/>
  <c r="C41" i="9"/>
  <c r="C40" i="9" s="1"/>
  <c r="C38" i="9"/>
  <c r="C37" i="9"/>
  <c r="C36" i="9"/>
  <c r="C33" i="9"/>
  <c r="C32" i="9"/>
  <c r="C29" i="9"/>
  <c r="C28" i="9"/>
  <c r="C27" i="9"/>
  <c r="C26" i="9"/>
  <c r="C25" i="9"/>
  <c r="C24" i="9"/>
  <c r="C23" i="9"/>
  <c r="C20" i="9"/>
  <c r="C19" i="9"/>
  <c r="C18" i="9"/>
  <c r="C17" i="9"/>
  <c r="C16" i="9"/>
  <c r="C15" i="9"/>
  <c r="C12" i="9"/>
  <c r="C11" i="9"/>
  <c r="C10" i="9" s="1"/>
  <c r="AE285" i="12"/>
  <c r="AE284" i="12"/>
  <c r="AE283" i="12"/>
  <c r="AE282" i="12"/>
  <c r="AE281" i="12"/>
  <c r="AE280" i="12"/>
  <c r="AE279" i="12"/>
  <c r="AE278" i="12"/>
  <c r="AE276" i="12"/>
  <c r="AE275" i="12"/>
  <c r="AE274" i="12"/>
  <c r="AE273" i="12"/>
  <c r="AE272" i="12"/>
  <c r="AE270" i="12"/>
  <c r="AE269" i="12"/>
  <c r="AE268" i="12"/>
  <c r="AE267" i="12"/>
  <c r="AE266" i="12"/>
  <c r="AE265" i="12"/>
  <c r="AE264" i="12"/>
  <c r="AE263" i="12"/>
  <c r="AE262" i="12"/>
  <c r="AE260" i="12"/>
  <c r="AE259" i="12"/>
  <c r="AE258" i="12"/>
  <c r="AE256" i="12"/>
  <c r="AE254" i="12"/>
  <c r="AE253" i="12"/>
  <c r="AE251" i="12"/>
  <c r="AE250" i="12"/>
  <c r="AE249" i="12"/>
  <c r="AE248" i="12"/>
  <c r="AE247" i="12"/>
  <c r="AE246" i="12"/>
  <c r="AE244" i="12"/>
  <c r="AE243" i="12"/>
  <c r="AE242" i="12"/>
  <c r="AE241" i="12"/>
  <c r="AE240" i="12"/>
  <c r="AE239" i="12"/>
  <c r="AE238" i="12"/>
  <c r="AE237" i="12"/>
  <c r="AE235" i="12"/>
  <c r="AE234" i="12"/>
  <c r="AE233" i="12"/>
  <c r="AE232" i="12"/>
  <c r="AE231" i="12"/>
  <c r="AE230" i="12"/>
  <c r="AE229" i="12"/>
  <c r="AE228" i="12"/>
  <c r="AE227" i="12"/>
  <c r="AE226" i="12"/>
  <c r="AE225" i="12"/>
  <c r="AE224" i="12"/>
  <c r="AE223" i="12"/>
  <c r="AE222" i="12"/>
  <c r="AE221" i="12"/>
  <c r="AE220" i="12"/>
  <c r="AE219" i="12"/>
  <c r="AE218" i="12"/>
  <c r="AE217" i="12"/>
  <c r="AE216" i="12"/>
  <c r="AE215" i="12"/>
  <c r="AE213" i="12"/>
  <c r="AE212" i="12"/>
  <c r="AE211" i="12"/>
  <c r="AE209" i="12"/>
  <c r="AE208" i="12"/>
  <c r="AE207" i="12"/>
  <c r="AE206" i="12"/>
  <c r="AE205" i="12"/>
  <c r="AE204" i="12"/>
  <c r="AE203" i="12"/>
  <c r="AE202" i="12"/>
  <c r="AE201" i="12"/>
  <c r="AE200" i="12"/>
  <c r="AE199" i="12"/>
  <c r="AE198" i="12"/>
  <c r="AE197" i="12"/>
  <c r="AE196" i="12"/>
  <c r="AE195" i="12"/>
  <c r="AE194" i="12"/>
  <c r="AE193" i="12"/>
  <c r="AE192" i="12"/>
  <c r="AE191" i="12"/>
  <c r="AE190" i="12"/>
  <c r="AE189" i="12"/>
  <c r="AE188" i="12"/>
  <c r="AE187" i="12"/>
  <c r="AE186" i="12"/>
  <c r="AE185" i="12"/>
  <c r="AE184" i="12"/>
  <c r="AE183" i="12"/>
  <c r="AE182" i="12"/>
  <c r="AE181" i="12"/>
  <c r="AE180" i="12"/>
  <c r="AE179" i="12"/>
  <c r="AE178" i="12"/>
  <c r="AE177" i="12"/>
  <c r="AE176" i="12"/>
  <c r="AE175" i="12"/>
  <c r="AE174" i="12"/>
  <c r="AE173" i="12"/>
  <c r="AE172" i="12"/>
  <c r="AE171" i="12"/>
  <c r="AE170" i="12"/>
  <c r="AE169" i="12"/>
  <c r="AE168" i="12"/>
  <c r="AE167" i="12"/>
  <c r="AE166" i="12"/>
  <c r="AE165" i="12"/>
  <c r="AE164" i="12"/>
  <c r="AE163" i="12"/>
  <c r="AE162" i="12"/>
  <c r="AE161" i="12"/>
  <c r="AE160" i="12"/>
  <c r="AE159" i="12"/>
  <c r="AE158" i="12"/>
  <c r="AE157" i="12"/>
  <c r="AE156" i="12"/>
  <c r="AE155" i="12"/>
  <c r="AE154" i="12"/>
  <c r="AE153" i="12"/>
  <c r="AE152" i="12"/>
  <c r="AE151" i="12"/>
  <c r="AE150" i="12"/>
  <c r="AE149" i="12"/>
  <c r="AE148" i="12"/>
  <c r="AE147" i="12"/>
  <c r="AE146" i="12"/>
  <c r="AE145" i="12"/>
  <c r="AE144" i="12"/>
  <c r="AE143" i="12"/>
  <c r="AE142" i="12"/>
  <c r="AE141" i="12"/>
  <c r="AE140" i="12"/>
  <c r="AE139" i="12"/>
  <c r="AE138" i="12"/>
  <c r="AE137" i="12"/>
  <c r="AE136" i="12"/>
  <c r="AE135" i="12"/>
  <c r="AE134" i="12"/>
  <c r="AE132" i="12"/>
  <c r="AE131" i="12"/>
  <c r="AE129" i="12"/>
  <c r="AE128" i="12"/>
  <c r="AE127" i="12"/>
  <c r="AE126" i="12"/>
  <c r="AE125" i="12"/>
  <c r="AE124" i="12"/>
  <c r="AE123" i="12"/>
  <c r="AE122" i="12"/>
  <c r="AE121" i="12"/>
  <c r="AE120" i="12"/>
  <c r="AE119" i="12"/>
  <c r="AE118" i="12"/>
  <c r="AE117" i="12"/>
  <c r="AE116" i="12"/>
  <c r="AE115" i="12"/>
  <c r="AE114" i="12"/>
  <c r="AE113" i="12"/>
  <c r="AE112" i="12"/>
  <c r="AE111" i="12"/>
  <c r="AE110" i="12"/>
  <c r="AE109" i="12"/>
  <c r="AE108" i="12"/>
  <c r="AE107" i="12"/>
  <c r="AE106" i="12"/>
  <c r="AE105" i="12"/>
  <c r="AE104" i="12"/>
  <c r="AE103" i="12"/>
  <c r="AE102" i="12"/>
  <c r="AE101" i="12"/>
  <c r="AE100" i="12"/>
  <c r="AE99" i="12"/>
  <c r="AE98" i="12"/>
  <c r="AE97" i="12"/>
  <c r="AE96" i="12"/>
  <c r="AE95" i="12"/>
  <c r="AE94" i="12"/>
  <c r="AE93" i="12"/>
  <c r="AE92" i="12"/>
  <c r="AE91" i="12"/>
  <c r="AE90" i="12"/>
  <c r="AE89" i="12"/>
  <c r="AE88" i="12"/>
  <c r="AE87" i="12"/>
  <c r="AE86" i="12"/>
  <c r="AE85" i="12"/>
  <c r="AE84" i="12"/>
  <c r="AE83" i="12"/>
  <c r="AE82" i="12"/>
  <c r="AE81" i="12"/>
  <c r="AE80" i="12"/>
  <c r="AE79" i="12"/>
  <c r="AE78" i="12"/>
  <c r="AE77" i="12"/>
  <c r="AE76" i="12"/>
  <c r="AE75" i="12"/>
  <c r="AE74" i="12"/>
  <c r="AE72" i="12"/>
  <c r="AE71" i="12"/>
  <c r="AE70" i="12"/>
  <c r="AE69" i="12"/>
  <c r="AE68" i="12"/>
  <c r="AE67" i="12"/>
  <c r="AE66" i="12"/>
  <c r="AE64" i="12"/>
  <c r="AE63" i="12"/>
  <c r="AE62" i="12"/>
  <c r="AE61" i="12"/>
  <c r="AE60" i="12"/>
  <c r="AE59" i="12"/>
  <c r="AE58" i="12"/>
  <c r="AE57" i="12"/>
  <c r="AE56" i="12"/>
  <c r="AE55" i="12"/>
  <c r="AE54" i="12"/>
  <c r="AE53" i="12"/>
  <c r="AE52" i="12"/>
  <c r="AE51" i="12"/>
  <c r="AE50" i="12"/>
  <c r="AE49" i="12"/>
  <c r="AE48" i="12"/>
  <c r="AE47" i="12"/>
  <c r="AE46" i="12"/>
  <c r="AE45" i="12"/>
  <c r="AE44" i="12"/>
  <c r="AE43" i="12"/>
  <c r="AE42" i="12"/>
  <c r="AE41" i="12"/>
  <c r="AE40" i="12"/>
  <c r="AE39" i="12"/>
  <c r="AE38" i="12"/>
  <c r="AE37" i="12"/>
  <c r="AE36" i="12"/>
  <c r="AE35" i="12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5" i="12"/>
  <c r="AE13" i="12"/>
  <c r="AE12" i="12"/>
  <c r="AE11" i="12"/>
  <c r="AE10" i="12"/>
  <c r="AE9" i="12"/>
  <c r="AE8" i="12"/>
  <c r="A1" i="12"/>
  <c r="A59" i="11"/>
  <c r="D52" i="11"/>
  <c r="E9" i="11"/>
  <c r="D9" i="11"/>
  <c r="B9" i="11"/>
  <c r="D8" i="11"/>
  <c r="B8" i="11"/>
  <c r="E7" i="11"/>
  <c r="A6" i="11"/>
  <c r="A2" i="11"/>
  <c r="A1" i="11"/>
  <c r="B41" i="10"/>
  <c r="F34" i="10"/>
  <c r="G29" i="10"/>
  <c r="F29" i="10"/>
  <c r="F9" i="10"/>
  <c r="E9" i="10"/>
  <c r="D9" i="10"/>
  <c r="F8" i="10"/>
  <c r="D8" i="10"/>
  <c r="A5" i="10"/>
  <c r="A2" i="10"/>
  <c r="A1" i="10"/>
  <c r="A166" i="9"/>
  <c r="B159" i="9"/>
  <c r="B157" i="9"/>
  <c r="C137" i="9"/>
  <c r="C56" i="9"/>
  <c r="D7" i="9"/>
  <c r="B148" i="9" s="1"/>
  <c r="C7" i="9"/>
  <c r="C102" i="9" s="1"/>
  <c r="C6" i="9"/>
  <c r="A5" i="9"/>
  <c r="A2" i="9"/>
  <c r="A1" i="9"/>
  <c r="A10" i="8"/>
  <c r="A2" i="8"/>
  <c r="A1" i="8"/>
  <c r="C7" i="6"/>
  <c r="C9" i="11" s="1"/>
  <c r="B76" i="9" l="1"/>
  <c r="B105" i="9"/>
  <c r="B20" i="9"/>
  <c r="B44" i="9"/>
  <c r="B64" i="9"/>
  <c r="B99" i="9"/>
  <c r="B19" i="11"/>
  <c r="B29" i="11" s="1"/>
  <c r="B131" i="9"/>
  <c r="B66" i="9"/>
  <c r="B33" i="9"/>
  <c r="B113" i="9"/>
  <c r="B140" i="9"/>
  <c r="B139" i="9" s="1"/>
  <c r="B25" i="9"/>
  <c r="B38" i="9"/>
  <c r="B73" i="9"/>
  <c r="B130" i="9"/>
  <c r="B143" i="9"/>
  <c r="B26" i="9"/>
  <c r="B60" i="9"/>
  <c r="B84" i="9"/>
  <c r="B96" i="9"/>
  <c r="B117" i="9"/>
  <c r="B127" i="9"/>
  <c r="B147" i="9"/>
  <c r="B12" i="9"/>
  <c r="B36" i="9"/>
  <c r="B49" i="9"/>
  <c r="B74" i="9"/>
  <c r="B88" i="9"/>
  <c r="B111" i="9"/>
  <c r="B119" i="9"/>
  <c r="B141" i="9"/>
  <c r="B149" i="9"/>
  <c r="B17" i="9"/>
  <c r="B52" i="9"/>
  <c r="B91" i="9"/>
  <c r="B124" i="9"/>
  <c r="B18" i="9"/>
  <c r="B28" i="9"/>
  <c r="B53" i="9"/>
  <c r="B70" i="9"/>
  <c r="B92" i="9"/>
  <c r="B107" i="9"/>
  <c r="B125" i="9"/>
  <c r="B133" i="9"/>
  <c r="B43" i="9"/>
  <c r="B81" i="9"/>
  <c r="B116" i="9"/>
  <c r="B146" i="9"/>
  <c r="C95" i="9"/>
  <c r="C59" i="9"/>
  <c r="C150" i="9"/>
  <c r="B23" i="9"/>
  <c r="B41" i="9"/>
  <c r="B71" i="9"/>
  <c r="B89" i="9"/>
  <c r="B108" i="9"/>
  <c r="B122" i="9"/>
  <c r="B128" i="9"/>
  <c r="B134" i="9"/>
  <c r="B151" i="9"/>
  <c r="B15" i="9"/>
  <c r="B29" i="9"/>
  <c r="B50" i="9"/>
  <c r="B61" i="9"/>
  <c r="B77" i="9"/>
  <c r="B97" i="9"/>
  <c r="B114" i="9"/>
  <c r="B144" i="9"/>
  <c r="B16" i="9"/>
  <c r="B24" i="9"/>
  <c r="B32" i="9"/>
  <c r="B42" i="9"/>
  <c r="B51" i="9"/>
  <c r="B72" i="9"/>
  <c r="B90" i="9"/>
  <c r="B109" i="9"/>
  <c r="B115" i="9"/>
  <c r="B123" i="9"/>
  <c r="B135" i="9"/>
  <c r="B152" i="9"/>
  <c r="B63" i="9"/>
  <c r="B80" i="9"/>
  <c r="B98" i="9"/>
  <c r="B129" i="9"/>
  <c r="B145" i="9"/>
  <c r="B11" i="9"/>
  <c r="B19" i="9"/>
  <c r="B27" i="9"/>
  <c r="B37" i="9"/>
  <c r="B45" i="9"/>
  <c r="B54" i="9"/>
  <c r="B67" i="9"/>
  <c r="B75" i="9"/>
  <c r="B85" i="9"/>
  <c r="B93" i="9"/>
  <c r="B106" i="9"/>
  <c r="B112" i="9"/>
  <c r="B118" i="9"/>
  <c r="B126" i="9"/>
  <c r="B132" i="9"/>
  <c r="B142" i="9"/>
  <c r="C104" i="9"/>
  <c r="C48" i="9"/>
  <c r="C14" i="9"/>
  <c r="C22" i="9"/>
  <c r="C35" i="9"/>
  <c r="C62" i="9"/>
  <c r="C58" i="9" s="1"/>
  <c r="C69" i="9"/>
  <c r="C79" i="9"/>
  <c r="C121" i="9"/>
  <c r="C31" i="9"/>
  <c r="C65" i="9"/>
  <c r="D19" i="11"/>
  <c r="D29" i="11" s="1"/>
  <c r="D38" i="11"/>
  <c r="B38" i="11"/>
  <c r="C138" i="9"/>
  <c r="D46" i="11"/>
  <c r="E46" i="11"/>
  <c r="C46" i="11"/>
  <c r="C19" i="11"/>
  <c r="C29" i="11" s="1"/>
  <c r="C38" i="11"/>
  <c r="E19" i="11"/>
  <c r="E29" i="11" s="1"/>
  <c r="E38" i="11"/>
  <c r="B46" i="11"/>
  <c r="B7" i="9"/>
  <c r="G9" i="10"/>
  <c r="BL55" i="5"/>
  <c r="BL54" i="5"/>
  <c r="BL53" i="5"/>
  <c r="BL52" i="5"/>
  <c r="BL51" i="5"/>
  <c r="BL50" i="5"/>
  <c r="BL31" i="5"/>
  <c r="B64" i="5"/>
  <c r="B55" i="5"/>
  <c r="B73" i="5" s="1"/>
  <c r="B54" i="5"/>
  <c r="B63" i="5" s="1"/>
  <c r="B53" i="5"/>
  <c r="B62" i="5" s="1"/>
  <c r="B47" i="5"/>
  <c r="B46" i="5"/>
  <c r="B45" i="5"/>
  <c r="B44" i="5"/>
  <c r="B43" i="5"/>
  <c r="B36" i="5"/>
  <c r="B34" i="5"/>
  <c r="B52" i="5" s="1"/>
  <c r="B33" i="5"/>
  <c r="B42" i="5" s="1"/>
  <c r="B32" i="5"/>
  <c r="B50" i="5" s="1"/>
  <c r="B29" i="5"/>
  <c r="B28" i="5"/>
  <c r="B27" i="5"/>
  <c r="B26" i="5"/>
  <c r="B25" i="5"/>
  <c r="B24" i="5"/>
  <c r="B23" i="5"/>
  <c r="BW8" i="4"/>
  <c r="BW9" i="4"/>
  <c r="BW10" i="4"/>
  <c r="BW11" i="4" s="1"/>
  <c r="BW12" i="4"/>
  <c r="BW57" i="4" s="1"/>
  <c r="BL28" i="4"/>
  <c r="BW16" i="4"/>
  <c r="BW30" i="4"/>
  <c r="BW32" i="4"/>
  <c r="BW34" i="4"/>
  <c r="BM37" i="4"/>
  <c r="BP37" i="4"/>
  <c r="BS37" i="4"/>
  <c r="BT37" i="4"/>
  <c r="BU37" i="4"/>
  <c r="BW36" i="4"/>
  <c r="BW38" i="4"/>
  <c r="BM48" i="4"/>
  <c r="BN48" i="4"/>
  <c r="BP48" i="4"/>
  <c r="BR48" i="4"/>
  <c r="BS48" i="4"/>
  <c r="BV40" i="4"/>
  <c r="BW40" i="4"/>
  <c r="BW49" i="4"/>
  <c r="BW55" i="4"/>
  <c r="BJ15" i="1"/>
  <c r="BI15" i="1"/>
  <c r="BH15" i="1"/>
  <c r="BG15" i="1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BK31" i="5"/>
  <c r="BJ31" i="5"/>
  <c r="BI31" i="5"/>
  <c r="BH31" i="5"/>
  <c r="BG31" i="5"/>
  <c r="BF31" i="5"/>
  <c r="BE31" i="5"/>
  <c r="BE49" i="5" s="1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BK13" i="5"/>
  <c r="BJ13" i="5"/>
  <c r="BI13" i="5"/>
  <c r="BH13" i="5"/>
  <c r="BG13" i="5"/>
  <c r="BF13" i="5"/>
  <c r="BE13" i="5"/>
  <c r="BD13" i="5"/>
  <c r="BC13" i="5"/>
  <c r="BC49" i="5" s="1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B31" i="9" l="1"/>
  <c r="B79" i="9"/>
  <c r="B59" i="9"/>
  <c r="B83" i="9"/>
  <c r="AT49" i="5"/>
  <c r="AU49" i="5"/>
  <c r="BW48" i="4"/>
  <c r="BQ37" i="4"/>
  <c r="BN37" i="4"/>
  <c r="BV37" i="4"/>
  <c r="BU48" i="4"/>
  <c r="BR37" i="4"/>
  <c r="BT48" i="4"/>
  <c r="BW54" i="4"/>
  <c r="BV48" i="4"/>
  <c r="BW29" i="4"/>
  <c r="BW37" i="4"/>
  <c r="C103" i="9"/>
  <c r="BO48" i="4"/>
  <c r="BO37" i="4"/>
  <c r="BW33" i="4"/>
  <c r="BQ48" i="4"/>
  <c r="BW39" i="4"/>
  <c r="BW35" i="4"/>
  <c r="BW31" i="4"/>
  <c r="BL48" i="4"/>
  <c r="BK37" i="4"/>
  <c r="BK48" i="4"/>
  <c r="C8" i="9"/>
  <c r="C47" i="9"/>
  <c r="D47" i="11"/>
  <c r="D50" i="11" s="1"/>
  <c r="B47" i="11"/>
  <c r="B50" i="11" s="1"/>
  <c r="B51" i="11" s="1"/>
  <c r="C154" i="9"/>
  <c r="B40" i="9"/>
  <c r="B150" i="9"/>
  <c r="B138" i="9" s="1"/>
  <c r="E47" i="11"/>
  <c r="E50" i="11" s="1"/>
  <c r="C47" i="11"/>
  <c r="C50" i="11" s="1"/>
  <c r="C51" i="11" s="1"/>
  <c r="B22" i="9"/>
  <c r="B48" i="9"/>
  <c r="B87" i="9"/>
  <c r="B10" i="9"/>
  <c r="B14" i="9"/>
  <c r="B65" i="9"/>
  <c r="B62" i="9"/>
  <c r="B121" i="9"/>
  <c r="B137" i="9"/>
  <c r="B102" i="9"/>
  <c r="B56" i="9"/>
  <c r="B104" i="9"/>
  <c r="B35" i="9"/>
  <c r="B95" i="9"/>
  <c r="BL37" i="4"/>
  <c r="BL49" i="5"/>
  <c r="B68" i="5"/>
  <c r="B59" i="5"/>
  <c r="B61" i="5"/>
  <c r="B70" i="5"/>
  <c r="B71" i="5"/>
  <c r="B41" i="5"/>
  <c r="B51" i="5"/>
  <c r="B72" i="5"/>
  <c r="BB49" i="5"/>
  <c r="AN49" i="5"/>
  <c r="AV49" i="5"/>
  <c r="BD49" i="5"/>
  <c r="BJ49" i="5"/>
  <c r="AO49" i="5"/>
  <c r="AW49" i="5"/>
  <c r="AP49" i="5"/>
  <c r="AX49" i="5"/>
  <c r="BF49" i="5"/>
  <c r="AQ49" i="5"/>
  <c r="AY49" i="5"/>
  <c r="AY61" i="5" s="1"/>
  <c r="BG49" i="5"/>
  <c r="BK49" i="5"/>
  <c r="AR49" i="5"/>
  <c r="AZ49" i="5"/>
  <c r="BH49" i="5"/>
  <c r="AS49" i="5"/>
  <c r="BA49" i="5"/>
  <c r="BI49" i="5"/>
  <c r="BK52" i="5"/>
  <c r="AY64" i="5" l="1"/>
  <c r="AY59" i="5"/>
  <c r="C155" i="9"/>
  <c r="B8" i="9"/>
  <c r="B58" i="9"/>
  <c r="B47" i="9" s="1"/>
  <c r="B103" i="9"/>
  <c r="B154" i="9" s="1"/>
  <c r="B60" i="5"/>
  <c r="B69" i="5"/>
  <c r="AY60" i="5"/>
  <c r="AY62" i="5"/>
  <c r="AY63" i="5"/>
  <c r="B100" i="9" l="1"/>
  <c r="B15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11" authorId="0" shapeId="0" xr:uid="{5304F0C4-A460-4897-9A0A-94CECE92367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B17" authorId="0" shapeId="0" xr:uid="{355F1E89-AD5E-4BBA-A0A2-1D2654653402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KMP biến phí sản xuất trừ cho cp điện trừ cho cp gia công (file KMP-File a Hoàng)</t>
        </r>
      </text>
    </comment>
    <comment ref="B18" authorId="0" shapeId="0" xr:uid="{DBA84269-DE50-405F-9FD2-796973C25E17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đúng tài khoản 6275001801</t>
        </r>
      </text>
    </comment>
    <comment ref="B26" authorId="0" shapeId="0" xr:uid="{4DED4A86-B23D-4033-8438-E53D63A8DDA9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theo KE30</t>
        </r>
      </text>
    </comment>
  </commentList>
</comments>
</file>

<file path=xl/sharedStrings.xml><?xml version="1.0" encoding="utf-8"?>
<sst xmlns="http://schemas.openxmlformats.org/spreadsheetml/2006/main" count="1998" uniqueCount="660">
  <si>
    <t>CÔNG TY CP NHỰA TÁI CHẾ DUY TÂN</t>
  </si>
  <si>
    <t>Mã số thuế:</t>
  </si>
  <si>
    <t>Deadline ngày 5 tây hàng tháng</t>
  </si>
  <si>
    <t>Năm tài chính hiện tại</t>
  </si>
  <si>
    <t>Năm trước</t>
  </si>
  <si>
    <t>Tháng báo cáo hiện tại</t>
  </si>
  <si>
    <t>NGƯỜI LẬP BIỂU</t>
  </si>
  <si>
    <t>KẾ TOÁN TRƯỞNG</t>
  </si>
  <si>
    <t>GIÁM ĐỐC TÀI CHÍNH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</si>
  <si>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</si>
  <si>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</si>
  <si>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</si>
  <si>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</si>
  <si>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</si>
  <si>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</si>
  <si>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</si>
  <si>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</si>
  <si>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</si>
  <si>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</si>
  <si>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</si>
  <si>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</si>
  <si>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</si>
  <si>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</si>
  <si>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</si>
  <si>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</si>
  <si>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BÁO CÁO TÌNH HÌNH TÀI CHÍNH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</si>
  <si>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</si>
  <si>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</si>
  <si>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</si>
  <si>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</si>
  <si>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</si>
  <si>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</si>
  <si>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</si>
  <si>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</si>
  <si>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</si>
  <si>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</si>
  <si>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</si>
  <si>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</si>
  <si>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 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</si>
  <si>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</si>
  <si>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</si>
  <si>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</si>
  <si>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</si>
  <si>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</si>
  <si>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</si>
  <si>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</si>
  <si>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</si>
  <si>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 Hàng tồn kho</t>
  </si>
  <si>
    <t>2. 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</si>
  <si>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</si>
  <si>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</si>
  <si>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</si>
  <si>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</si>
  <si>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</si>
  <si>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</si>
  <si>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</si>
  <si>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</si>
  <si>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</si>
  <si>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</si>
  <si>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B. TÀI SẢN DÀI HẠN</t>
  </si>
  <si>
    <t>I.Các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</si>
  <si>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</si>
  <si>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</si>
  <si>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</si>
  <si>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</si>
  <si>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</si>
  <si>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</si>
  <si>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</si>
  <si>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</si>
  <si>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</si>
  <si>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</si>
  <si>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2. Tài sản cố định thuê tài chính</t>
  </si>
  <si>
    <t>3. Tài sản cố định vô hình</t>
  </si>
  <si>
    <t>III. 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</si>
  <si>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</si>
  <si>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</si>
  <si>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</si>
  <si>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- Nguyên giá</t>
  </si>
  <si>
    <t>- 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</si>
  <si>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</si>
  <si>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</si>
  <si>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</si>
  <si>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</si>
  <si>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- Giá trị hao mòn luỹ kế (*)</t>
  </si>
  <si>
    <t xml:space="preserve">V. Tài sản dở dang dài hạn </t>
  </si>
  <si>
    <t>1.Chi phí sản xuất, kinh doanh dở dang dài hạn</t>
  </si>
  <si>
    <t>2.Chi phí xây dựng cơ bản dở dang</t>
  </si>
  <si>
    <t>VI. 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</si>
  <si>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</si>
  <si>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</si>
  <si>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</si>
  <si>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</si>
  <si>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</si>
  <si>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</si>
  <si>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 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</si>
  <si>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</si>
  <si>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</si>
  <si>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</si>
  <si>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</si>
  <si>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CỘNG TÀI SẢN</t>
  </si>
  <si>
    <t>NGUỒN VỐN</t>
  </si>
  <si>
    <t>C . NỢ PHẢI TRẢ</t>
  </si>
  <si>
    <t>I. 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</si>
  <si>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</si>
  <si>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</si>
  <si>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</si>
  <si>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</si>
  <si>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</si>
  <si>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</si>
  <si>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</si>
  <si>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</si>
  <si>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</si>
  <si>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</si>
  <si>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</si>
  <si>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</si>
  <si>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</si>
  <si>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</si>
  <si>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</si>
  <si>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 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</si>
  <si>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</si>
  <si>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</si>
  <si>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</si>
  <si>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</si>
  <si>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</si>
  <si>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</si>
  <si>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</si>
  <si>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</si>
  <si>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</si>
  <si>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</si>
  <si>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</si>
  <si>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</si>
  <si>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</si>
  <si>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</si>
  <si>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 . 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</si>
  <si>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</si>
  <si>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</si>
  <si>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</si>
  <si>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</si>
  <si>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</si>
  <si>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</si>
  <si>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</si>
  <si>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</si>
  <si>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</si>
  <si>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</si>
  <si>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</si>
  <si>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</si>
  <si>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</si>
  <si>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</si>
  <si>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TỔNG CỘNG NGUỒN VỐN</t>
  </si>
  <si>
    <t>Nguyễn Bảo Quốc</t>
  </si>
  <si>
    <t>BÁO CÁO KẾT QUẢ HOẠT ĐỘNG KINH DOANH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</si>
  <si>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</si>
  <si>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</si>
  <si>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</si>
  <si>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</si>
  <si>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</si>
  <si>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</si>
  <si>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</si>
  <si>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</si>
  <si>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</si>
  <si>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</si>
  <si>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</si>
  <si>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</si>
  <si>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</si>
  <si>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</si>
  <si>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</si>
  <si>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</si>
  <si>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</si>
  <si>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</si>
  <si>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</si>
  <si>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</si>
  <si>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</si>
  <si>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</si>
  <si>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</si>
  <si>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</si>
  <si>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</si>
  <si>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</si>
  <si>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</si>
  <si>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</si>
  <si>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</si>
  <si>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</si>
  <si>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</si>
  <si>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</si>
  <si>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</si>
  <si>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</si>
  <si>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</si>
  <si>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</si>
  <si>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</si>
  <si>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</si>
  <si>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</si>
  <si>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</si>
  <si>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</si>
  <si>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BÁO CÁO LƯU CHUYỂN TIỀN TỆ</t>
  </si>
  <si>
    <t>(Theo phương pháp gián tiếp)</t>
  </si>
  <si>
    <t>I. Lưu chuyển tiền từ hoạt động kinh doanh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</si>
  <si>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</si>
  <si>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</si>
  <si>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</si>
  <si>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</si>
  <si>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</si>
  <si>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</si>
  <si>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</si>
  <si>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</si>
  <si>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</si>
  <si>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</si>
  <si>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</si>
  <si>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</si>
  <si>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</si>
  <si>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</si>
  <si>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</si>
  <si>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</si>
  <si>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</si>
  <si>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</si>
  <si>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</si>
  <si>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</si>
  <si>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</si>
  <si>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</si>
  <si>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</si>
  <si>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</si>
  <si>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</si>
  <si>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</si>
  <si>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</si>
  <si>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</si>
  <si>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</si>
  <si>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</si>
  <si>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</si>
  <si>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</si>
  <si>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</si>
  <si>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</si>
  <si>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</si>
  <si>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</si>
  <si>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</si>
  <si>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</si>
  <si>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</si>
  <si>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</si>
  <si>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GIÁM ĐỐC</t>
  </si>
  <si>
    <t>CTY CP NHỰA TÁI CHẾ DUY TÂN</t>
  </si>
  <si>
    <t>VND</t>
  </si>
  <si>
    <t>Index BS</t>
  </si>
  <si>
    <t>PHẦN I-BÁO CÁO TÌNH HÌNH TÀI CHÍNH</t>
  </si>
  <si>
    <t>TenCongTyID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</si>
  <si>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</si>
  <si>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</si>
  <si>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</si>
  <si>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</si>
  <si>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</si>
  <si>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</si>
  <si>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</si>
  <si>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</si>
  <si>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</si>
  <si>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</si>
  <si>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</si>
  <si>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</si>
  <si>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</si>
  <si>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</si>
  <si>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</si>
  <si>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</si>
  <si>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</si>
  <si>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</si>
  <si>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</si>
  <si>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</si>
  <si>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</si>
  <si>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</si>
  <si>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</si>
  <si>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</si>
  <si>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</si>
  <si>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</si>
  <si>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</si>
  <si>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</si>
  <si>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</si>
  <si>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</si>
  <si>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</si>
  <si>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</si>
  <si>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</si>
  <si>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</si>
  <si>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</si>
  <si>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</si>
  <si>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</si>
  <si>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</si>
  <si>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</si>
  <si>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</si>
  <si>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</si>
  <si>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</si>
  <si>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</si>
  <si>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</si>
  <si>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</si>
  <si>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</si>
  <si>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</si>
  <si>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</si>
  <si>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</si>
  <si>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</si>
  <si>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</si>
  <si>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</si>
  <si>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</si>
  <si>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</si>
  <si>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</si>
  <si>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</si>
  <si>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</si>
  <si>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</si>
  <si>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</si>
  <si>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</si>
  <si>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</si>
  <si>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</si>
  <si>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</si>
  <si>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</si>
  <si>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</si>
  <si>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</si>
  <si>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</si>
  <si>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</si>
  <si>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</si>
  <si>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</si>
  <si>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</si>
  <si>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</si>
  <si>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</si>
  <si>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</si>
  <si>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</si>
  <si>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</si>
  <si>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</si>
  <si>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III.Các khoản phải thu ngắn hạn</t>
  </si>
  <si>
    <t>1.Hàng tồn kho</t>
  </si>
  <si>
    <t>2.Dự phòng giảm giá hàng tồn kho (*)</t>
  </si>
  <si>
    <t>B-TÀI SẢN DÀI HẠN</t>
  </si>
  <si>
    <t>II.Tài sản cố định</t>
  </si>
  <si>
    <t>1.Tài sản cố định hữu hình</t>
  </si>
  <si>
    <t>Nguyên giá TSCĐ HH</t>
  </si>
  <si>
    <t>Giá trị hao mòn luỹ kế TSCĐ HH(*)</t>
  </si>
  <si>
    <t>Nguyên giá TSCĐ thuê tài chính</t>
  </si>
  <si>
    <t>Giá trị hao mòn luỹ kế TSCĐ thuê tài chính</t>
  </si>
  <si>
    <t>Nguyên giá TSCĐ vô hình</t>
  </si>
  <si>
    <t>Giá trị hao mòn luỹ kế TSCĐ vô hình(*)</t>
  </si>
  <si>
    <t>III.Tài sản sinh học dài hạn</t>
  </si>
  <si>
    <t>Nguyên giá</t>
  </si>
  <si>
    <t>Giá trị khấu hao lũy kế (*)</t>
  </si>
  <si>
    <t>Nguyên giá bất động sản đầu tư</t>
  </si>
  <si>
    <t>Giá trị hao mòn luỹ kế BĐSĐT(*)</t>
  </si>
  <si>
    <t>V.Tài sản dở dang dài hạn</t>
  </si>
  <si>
    <t>VI.Đầu tư tài chính dài hạn</t>
  </si>
  <si>
    <t>VII.Tài sản dài hạn khác</t>
  </si>
  <si>
    <t>TỔNG TÀI SẢN</t>
  </si>
  <si>
    <t>C-NỢ PHẢI TRẢ</t>
  </si>
  <si>
    <t>I.Nợ ngắn hạn</t>
  </si>
  <si>
    <t>II.Nợ dài hạn</t>
  </si>
  <si>
    <t xml:space="preserve">9.Vay và nợ thuê tài chính dài hạn </t>
  </si>
  <si>
    <t>D-VỐN CHỦ SỞ HỮU</t>
  </si>
  <si>
    <t>TỔNG NGUỒN VỐN</t>
  </si>
  <si>
    <t>Index PL</t>
  </si>
  <si>
    <t>PHẦN II-KẾT QUẢ HOẠT ĐỘNG KINH DOANH</t>
  </si>
  <si>
    <t>Sản lượng (kg)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</si>
  <si>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</si>
  <si>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</si>
  <si>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</si>
  <si>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</si>
  <si>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</si>
  <si>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</si>
  <si>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</si>
  <si>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</si>
  <si>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</si>
  <si>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</si>
  <si>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</si>
  <si>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</si>
  <si>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</si>
  <si>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</si>
  <si>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</si>
  <si>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</si>
  <si>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</si>
  <si>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</si>
  <si>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</si>
  <si>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CF</t>
  </si>
  <si>
    <t>PHẦN III- LƯU CHUYỂN TIỀN TỆ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</si>
  <si>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</si>
  <si>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</si>
  <si>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</si>
  <si>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</si>
  <si>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</si>
  <si>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</si>
  <si>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</si>
  <si>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</si>
  <si>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</si>
  <si>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</si>
  <si>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</si>
  <si>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(Không bao gồm lãi vay phải trả, thuế TNDN phải nộp)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</si>
  <si>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</si>
  <si>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</si>
  <si>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</si>
  <si>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</si>
  <si>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</si>
  <si>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</si>
  <si>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</si>
  <si>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</si>
  <si>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</si>
  <si>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</si>
  <si>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</si>
  <si>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</si>
  <si>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</si>
  <si>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</si>
  <si>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</si>
  <si>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</si>
  <si>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</si>
  <si>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</si>
  <si>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</si>
  <si>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</si>
  <si>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Index PL Element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</si>
  <si>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</si>
  <si>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</si>
  <si>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</si>
  <si>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</si>
  <si>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</si>
  <si>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</si>
  <si>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</si>
  <si>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</si>
  <si>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</si>
  <si>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</si>
  <si>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</si>
  <si>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</si>
  <si>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</si>
  <si>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</si>
  <si>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</si>
  <si>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</si>
  <si>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</si>
  <si>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</si>
  <si>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</si>
  <si>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</si>
  <si>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</si>
  <si>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</si>
  <si>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</si>
  <si>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</si>
  <si>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</si>
  <si>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</si>
  <si>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</si>
  <si>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</si>
  <si>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</si>
  <si>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</si>
  <si>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</si>
  <si>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</si>
  <si>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</si>
  <si>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</si>
  <si>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</si>
  <si>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</si>
  <si>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</si>
  <si>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</si>
  <si>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</si>
  <si>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</si>
  <si>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</si>
  <si>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</si>
  <si>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</si>
  <si>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</si>
  <si>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</si>
  <si>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</si>
  <si>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</si>
  <si>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</si>
  <si>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</si>
  <si>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</si>
  <si>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</si>
  <si>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</si>
  <si>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</si>
  <si>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</si>
  <si>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</si>
  <si>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Index Loan</t>
  </si>
  <si>
    <t>PHẦN V: CHI TIẾT NỢ VAY NGÂN HÀNG</t>
  </si>
  <si>
    <t>Hạn mức vay ngắn hạn</t>
  </si>
  <si>
    <t>ACB</t>
  </si>
  <si>
    <t>VietinBank</t>
  </si>
  <si>
    <t>Vietcombank</t>
  </si>
  <si>
    <t>BIDV</t>
  </si>
  <si>
    <t>Standard Chartered</t>
  </si>
  <si>
    <t>VILC</t>
  </si>
  <si>
    <t>IVB</t>
  </si>
  <si>
    <t>Vay ngắn hạn ngân hàng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</si>
  <si>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</si>
  <si>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</si>
  <si>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</si>
  <si>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</si>
  <si>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</si>
  <si>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</si>
  <si>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</si>
  <si>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</si>
  <si>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</si>
  <si>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</si>
  <si>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</si>
  <si>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Mã số thuế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</si>
  <si>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</si>
  <si>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</si>
  <si>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</si>
  <si>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</si>
  <si>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</si>
  <si>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</si>
  <si>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</si>
  <si>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</si>
  <si>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</si>
  <si>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</si>
  <si>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</si>
  <si>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</si>
  <si>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</si>
  <si>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</si>
  <si>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2025</t>
  </si>
  <si>
    <t>Lũy kế năm 2026</t>
  </si>
  <si>
    <t>I.</t>
  </si>
  <si>
    <t>DOANH THU BÁN HÀNG VÀ DỊCH VỤ, TÀI SẢN….</t>
  </si>
  <si>
    <t>Công ty TNHH Nhựa Duy Tân</t>
  </si>
  <si>
    <t>0301417196</t>
  </si>
  <si>
    <t>Bán hàng nhựa</t>
  </si>
  <si>
    <t>Bán vật tư</t>
  </si>
  <si>
    <t>Bán TSCĐ</t>
  </si>
  <si>
    <t>Lãi vay</t>
  </si>
  <si>
    <t>Thu tiền lãi vay</t>
  </si>
  <si>
    <t>DV TS24</t>
  </si>
  <si>
    <t>Bao lì xì</t>
  </si>
  <si>
    <t>Bán khác</t>
  </si>
  <si>
    <t>7118</t>
  </si>
  <si>
    <t>Công ty CP Nhựa Tái Chế Duy Tân</t>
  </si>
  <si>
    <t>1100676611</t>
  </si>
  <si>
    <t>Bán nguyên vật liệu</t>
  </si>
  <si>
    <t>Cho thuê máy móc</t>
  </si>
  <si>
    <t>Bán Laptop</t>
  </si>
  <si>
    <t>CP công tác</t>
  </si>
  <si>
    <t>Công ty TNHH Thu mua phế liệu Đại Lộc</t>
  </si>
  <si>
    <t>3603813473</t>
  </si>
  <si>
    <t>Cho thuê nhà xưởng</t>
  </si>
  <si>
    <t>Công ty TNHH MTV Đồng Lâm</t>
  </si>
  <si>
    <t>1501075079</t>
  </si>
  <si>
    <t>CP vận chuyển</t>
  </si>
  <si>
    <t>Công ty TNHH Thu mua phế liệu Khánh Nga</t>
  </si>
  <si>
    <t>1201638316</t>
  </si>
  <si>
    <t>Chi Phí Hỗ Trợ Kỹ Thuật</t>
  </si>
  <si>
    <t xml:space="preserve">Công ty Cổ phần Tái chế Tân Đại Phát </t>
  </si>
  <si>
    <t>1102066435</t>
  </si>
  <si>
    <t>Cho thuê xe</t>
  </si>
  <si>
    <t>Bán CCDC</t>
  </si>
  <si>
    <t>Công ty Cổ phần Nhựa Tái chế Duy Tân Vĩnh Long</t>
  </si>
  <si>
    <t>1501162229</t>
  </si>
  <si>
    <t>Công ty TNHH Khuôn Chính xác Minh Đạt</t>
  </si>
  <si>
    <t>1100673882</t>
  </si>
  <si>
    <t>Bán khuôn</t>
  </si>
  <si>
    <t>Công ty TNHH MTV Sản Xuất Và XNK Cơ Khí Duy Phong</t>
  </si>
  <si>
    <t>0308309915</t>
  </si>
  <si>
    <t>Công ty TNHH Khuôn Chính Xác Natec</t>
  </si>
  <si>
    <t>0313783944</t>
  </si>
  <si>
    <t>Công ty TNHH Plenma</t>
  </si>
  <si>
    <t>0316224817</t>
  </si>
  <si>
    <t>Plascene Inc</t>
  </si>
  <si>
    <t>45-3042526</t>
  </si>
  <si>
    <t>Công ty Cổ phần Cát Vân</t>
  </si>
  <si>
    <t>0304259773</t>
  </si>
  <si>
    <t>Công ty Cổ phần Tân Bình Group</t>
  </si>
  <si>
    <t>1501147679</t>
  </si>
  <si>
    <t>Công ty TNHH SX &amp; TM Thạnh Phát</t>
  </si>
  <si>
    <t>1100140919</t>
  </si>
  <si>
    <t>Công ty TNHH Nội Thất Tân Lợi Phát</t>
  </si>
  <si>
    <t>1101806126</t>
  </si>
  <si>
    <t>Công ty TNHH MTV Trung tâm Thính học Đà Nẵng</t>
  </si>
  <si>
    <t>0401524699</t>
  </si>
  <si>
    <t>Công ty TNHH SX-TM-XNK Yến Nhất Vương</t>
  </si>
  <si>
    <t>3401182514</t>
  </si>
  <si>
    <t>Công ty Cổ phần Duytan Group</t>
  </si>
  <si>
    <t>0317929753</t>
  </si>
  <si>
    <t>Công ty TNHH Duytan Xanh</t>
  </si>
  <si>
    <t>0318602662</t>
  </si>
  <si>
    <t>Công ty TNHH Duy Tân</t>
  </si>
  <si>
    <t>0303816206</t>
  </si>
  <si>
    <t>Công ty Cổ phần Tập đoàn DTG</t>
  </si>
  <si>
    <t>0317356492</t>
  </si>
  <si>
    <t>II.</t>
  </si>
  <si>
    <t>MUA HÀNG VÀ DỊCH VỤ, TÀI SẢN….</t>
  </si>
  <si>
    <t>Thuê nhà xưởng</t>
  </si>
  <si>
    <t>Phần mềm CNTT</t>
  </si>
  <si>
    <t>Thuê máy móc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</si>
  <si>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</si>
  <si>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</si>
  <si>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</si>
  <si>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</si>
  <si>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</si>
  <si>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</si>
  <si>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</si>
  <si>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</si>
  <si>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</si>
  <si>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Mua hàng hóa</t>
  </si>
  <si>
    <t>Thuê kho thành phẩm</t>
  </si>
  <si>
    <t>Phí sửa khuôn</t>
  </si>
  <si>
    <t>Mua thùng giấy</t>
  </si>
  <si>
    <t>151/152</t>
  </si>
  <si>
    <t>Thuê xưởng</t>
  </si>
  <si>
    <t>642/627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</si>
  <si>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</si>
  <si>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</si>
  <si>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</si>
  <si>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</si>
  <si>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</si>
  <si>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</si>
  <si>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</si>
  <si>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</si>
  <si>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</si>
  <si>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</si>
  <si>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</si>
  <si>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</si>
  <si>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</si>
  <si>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</si>
  <si>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</si>
  <si>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</si>
  <si>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</si>
  <si>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</si>
  <si>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</si>
  <si>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</si>
  <si>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</si>
  <si>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</si>
  <si>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</si>
  <si>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</si>
  <si>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</si>
  <si>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</si>
  <si>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</si>
  <si>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</si>
  <si>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</si>
  <si>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</si>
  <si>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</si>
  <si>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</si>
  <si>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</si>
  <si>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Tháng 1/2025</t>
  </si>
  <si>
    <t>Tháng 1/2026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</si>
  <si>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</si>
  <si>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</si>
  <si>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</si>
  <si>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</si>
  <si>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</si>
  <si>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</si>
  <si>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</si>
  <si>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</si>
  <si>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</si>
  <si>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>Bà…</t>
  </si>
  <si>
    <t>VII.</t>
  </si>
  <si>
    <t>CHUYỂN NHƯỢNG VỐN GÓP CỦA</t>
  </si>
  <si>
    <t>N221/Có 338</t>
  </si>
  <si>
    <t>Điều chỉnh trình bày</t>
  </si>
  <si>
    <t>Tổng</t>
  </si>
  <si>
    <t>- Tiền thuê xưởng Thạnh Phát ở 632 đẩy về hết 627</t>
  </si>
  <si>
    <t>- Tiền thuê máy ở 632 trả về khấu hao</t>
  </si>
  <si>
    <t>- Tiền thuê máy ở 627 trả về khấu hao</t>
  </si>
  <si>
    <t>- Tiền thuê xưởng Thạnh Phát k/c 1 phần về 642</t>
  </si>
  <si>
    <t>Check</t>
  </si>
  <si>
    <t>Địa chỉ: Lô D2, Cụm CN Nhựa Đức Hòa, Xã Đức Hòa, Tỉnh Tây Ninh</t>
  </si>
  <si>
    <t>FS</t>
  </si>
  <si>
    <t>A. Hoàng</t>
  </si>
  <si>
    <t>Biến phí sản xuất</t>
  </si>
  <si>
    <t>Chi phí nhân sự</t>
  </si>
  <si>
    <t>Định phí hoạt động</t>
  </si>
  <si>
    <t>Chi phí khấu hao</t>
  </si>
  <si>
    <t>Biến phí bán hàng</t>
  </si>
  <si>
    <t xml:space="preserve">cphđ </t>
  </si>
  <si>
    <t>Lương</t>
  </si>
  <si>
    <t>6427001802</t>
  </si>
  <si>
    <t>6428007201</t>
  </si>
  <si>
    <t>Đổi cp điện quản lý ở 642 -&gt; cp bằng tiền khác. Do mapping a Hoàng đang mapping cp điện -&gt; biến phí sản xuất  (nên chỉnh để chuyển về cp hoạt động)</t>
  </si>
  <si>
    <t>6425001803</t>
  </si>
  <si>
    <t>Đổi cp nước quản lý ở 642 -&gt; cp bằng tiền khác. Do mapping a Hoàng đang mapping cp điện -&gt; biến phí sản xuất  (nên chỉnh để chuyển về cp hoạt động)</t>
  </si>
  <si>
    <t>a. Hoàng</t>
  </si>
  <si>
    <t>Chi phí thuê máy móc thiết bị -632</t>
  </si>
  <si>
    <t>Chi phí thuê nhà, thuê xưởng, kho - 632</t>
  </si>
  <si>
    <t>Thưởng danh hiệu - 632</t>
  </si>
  <si>
    <t>ĐIỀU CHỈNH 632-GV KHÁC</t>
  </si>
  <si>
    <t>Thành phố Hồ Chí Minh, Ngày 04 tháng 07 năm 2026</t>
  </si>
  <si>
    <t xml:space="preserve"> THÁNG 06 NĂM 2026</t>
  </si>
  <si>
    <t>Lập, ngày 04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</si>
</sst>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#,##0;[Red]#,##0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#,##0,,"/>
    <numFmt numFmtId="173" formatCode="_-* #,##0.00\ _₫_-;\-* #,##0.00\ _₫_-;_-* &quot;-&quot;??\ _₫_-;_-@_-"/>
    <numFmt numFmtId="174" formatCode="#,###"/>
    <numFmt numFmtId="175" formatCode="_-* #,##0\ _₫_-;\-* #,##0\ _₫_-;_-* &quot;-&quot;??\ _₫_-;_-@_-"/>
    <numFmt numFmtId="176" formatCode="_-* #,##0.0\ _₫_-;\-* #,##0.0\ _₫_-;_-* &quot;-&quot;??\ _₫_-;_-@_-"/>
    <numFmt numFmtId="177" formatCode="_(* #.##0_);_(* \(#.##0\);_(* &quot;-&quot;??_);_(@_)"/>
  </numFmts>
  <fonts count="1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1"/>
      <color indexed="8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2"/>
      <name val="VNI-Times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sz val="11"/>
      <color rgb="FF0000FF"/>
      <name val="Times New Roman"/>
      <family val="1"/>
    </font>
    <font>
      <b/>
      <sz val="11"/>
      <color indexed="12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1"/>
      <color rgb="FF0000FF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0"/>
      <name val="VNI-Times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sz val="11"/>
      <color rgb="FF000080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b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color rgb="FFFF0000"/>
      <name val="Arial Nova"/>
      <family val="2"/>
    </font>
    <font>
      <b/>
      <sz val="11"/>
      <color rgb="FFFF0000"/>
      <name val="Arial Nova"/>
      <family val="2"/>
    </font>
    <font>
      <b/>
      <sz val="13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17">
    <xf numFmtId="0" fontId="0" fillId="0" borderId="0"/>
    <xf numFmtId="9" fontId="18" fillId="0" borderId="0" applyFont="0" applyFill="0" applyBorder="0" applyAlignment="0" applyProtection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99" fillId="0" borderId="0"/>
    <xf numFmtId="173" fontId="99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</cellStyleXfs>
  <cellXfs count="643">
    <xf numFmtId="0" fontId="0" fillId="0" borderId="0" xfId="0"/>
    <xf numFmtId="166" fontId="13" fillId="0" borderId="4" xfId="4" applyNumberFormat="1" applyFont="1" applyFill="1" applyBorder="1" applyAlignment="1" applyProtection="1">
      <alignment vertical="top" wrapText="1"/>
      <protection locked="0"/>
    </xf>
    <xf numFmtId="166" fontId="10" fillId="0" borderId="4" xfId="4" applyNumberFormat="1" applyFont="1" applyFill="1" applyBorder="1" applyAlignment="1" applyProtection="1">
      <alignment vertical="top" wrapText="1"/>
      <protection locked="0"/>
    </xf>
    <xf numFmtId="3" fontId="17" fillId="0" borderId="4" xfId="2" applyNumberFormat="1" applyFont="1" applyBorder="1" applyAlignment="1" applyProtection="1">
      <alignment vertical="top" wrapText="1"/>
      <protection locked="0"/>
    </xf>
    <xf numFmtId="3" fontId="19" fillId="0" borderId="4" xfId="2" applyNumberFormat="1" applyFont="1" applyBorder="1" applyAlignment="1" applyProtection="1">
      <alignment vertical="top" wrapText="1"/>
      <protection locked="0"/>
    </xf>
    <xf numFmtId="3" fontId="10" fillId="0" borderId="4" xfId="2" applyNumberFormat="1" applyFont="1" applyBorder="1" applyAlignment="1" applyProtection="1">
      <alignment vertical="top" wrapText="1"/>
      <protection locked="0"/>
    </xf>
    <xf numFmtId="3" fontId="10" fillId="0" borderId="4" xfId="0" applyNumberFormat="1" applyFont="1" applyBorder="1" applyAlignment="1" applyProtection="1">
      <alignment vertical="top" wrapText="1"/>
      <protection locked="0"/>
    </xf>
    <xf numFmtId="3" fontId="13" fillId="0" borderId="4" xfId="2" applyNumberFormat="1" applyFont="1" applyBorder="1" applyAlignment="1" applyProtection="1">
      <alignment vertical="top" wrapText="1"/>
      <protection locked="0"/>
    </xf>
    <xf numFmtId="3" fontId="13" fillId="0" borderId="4" xfId="0" applyNumberFormat="1" applyFont="1" applyBorder="1" applyAlignment="1" applyProtection="1">
      <alignment vertical="top" wrapText="1"/>
      <protection locked="0"/>
    </xf>
    <xf numFmtId="3" fontId="17" fillId="0" borderId="2" xfId="2" applyNumberFormat="1" applyFont="1" applyBorder="1" applyAlignment="1" applyProtection="1">
      <alignment vertical="top" wrapText="1"/>
      <protection locked="0"/>
    </xf>
    <xf numFmtId="3" fontId="24" fillId="3" borderId="4" xfId="2" applyNumberFormat="1" applyFont="1" applyFill="1" applyBorder="1" applyAlignment="1" applyProtection="1">
      <alignment vertical="top" wrapText="1"/>
      <protection locked="0"/>
    </xf>
    <xf numFmtId="3" fontId="24" fillId="3" borderId="4" xfId="0" applyNumberFormat="1" applyFont="1" applyFill="1" applyBorder="1" applyAlignment="1" applyProtection="1">
      <alignment vertical="top" wrapText="1"/>
      <protection locked="0"/>
    </xf>
    <xf numFmtId="3" fontId="17" fillId="0" borderId="4" xfId="0" applyNumberFormat="1" applyFont="1" applyBorder="1" applyAlignment="1" applyProtection="1">
      <alignment vertical="top" wrapText="1"/>
      <protection locked="0"/>
    </xf>
    <xf numFmtId="3" fontId="6" fillId="3" borderId="4" xfId="2" applyNumberFormat="1" applyFont="1" applyFill="1" applyBorder="1" applyAlignment="1" applyProtection="1">
      <alignment vertical="center" wrapText="1"/>
      <protection locked="0"/>
    </xf>
    <xf numFmtId="3" fontId="6" fillId="3" borderId="4" xfId="0" applyNumberFormat="1" applyFont="1" applyFill="1" applyBorder="1" applyAlignment="1" applyProtection="1">
      <alignment vertical="center" wrapText="1"/>
      <protection locked="0"/>
    </xf>
    <xf numFmtId="3" fontId="11" fillId="0" borderId="4" xfId="2" applyNumberFormat="1" applyFont="1" applyBorder="1" applyAlignment="1" applyProtection="1">
      <alignment vertical="top" wrapText="1"/>
      <protection locked="0"/>
    </xf>
    <xf numFmtId="3" fontId="19" fillId="0" borderId="4" xfId="0" applyNumberFormat="1" applyFont="1" applyBorder="1" applyAlignment="1" applyProtection="1">
      <alignment vertical="top" wrapText="1"/>
      <protection locked="0"/>
    </xf>
    <xf numFmtId="166" fontId="10" fillId="0" borderId="4" xfId="2" applyNumberFormat="1" applyFont="1" applyBorder="1" applyAlignment="1" applyProtection="1">
      <alignment vertical="top" wrapText="1"/>
      <protection locked="0"/>
    </xf>
    <xf numFmtId="0" fontId="21" fillId="0" borderId="4" xfId="0" applyFont="1" applyBorder="1" applyProtection="1">
      <protection locked="0"/>
    </xf>
    <xf numFmtId="166" fontId="8" fillId="0" borderId="4" xfId="5" quotePrefix="1" applyNumberFormat="1" applyFont="1" applyFill="1" applyBorder="1" applyAlignment="1" applyProtection="1">
      <alignment horizontal="left" indent="1"/>
      <protection locked="0"/>
    </xf>
    <xf numFmtId="166" fontId="11" fillId="0" borderId="4" xfId="5" quotePrefix="1" applyNumberFormat="1" applyFont="1" applyFill="1" applyBorder="1" applyAlignment="1" applyProtection="1">
      <alignment horizontal="left" vertical="center"/>
      <protection locked="0"/>
    </xf>
    <xf numFmtId="166" fontId="10" fillId="0" borderId="4" xfId="5" applyNumberFormat="1" applyFont="1" applyFill="1" applyBorder="1" applyAlignment="1" applyProtection="1">
      <alignment horizontal="left"/>
      <protection locked="0"/>
    </xf>
    <xf numFmtId="166" fontId="11" fillId="0" borderId="4" xfId="5" applyNumberFormat="1" applyFont="1" applyFill="1" applyBorder="1" applyProtection="1">
      <protection locked="0"/>
    </xf>
    <xf numFmtId="166" fontId="10" fillId="0" borderId="4" xfId="5" applyNumberFormat="1" applyFont="1" applyFill="1" applyBorder="1" applyProtection="1">
      <protection locked="0"/>
    </xf>
    <xf numFmtId="166" fontId="8" fillId="0" borderId="4" xfId="5" quotePrefix="1" applyNumberFormat="1" applyFont="1" applyFill="1" applyBorder="1" applyAlignment="1" applyProtection="1">
      <alignment horizontal="left" vertical="center"/>
      <protection locked="0"/>
    </xf>
    <xf numFmtId="166" fontId="10" fillId="4" borderId="4" xfId="4" applyNumberFormat="1" applyFont="1" applyFill="1" applyBorder="1" applyProtection="1">
      <protection locked="0"/>
    </xf>
    <xf numFmtId="0" fontId="35" fillId="0" borderId="4" xfId="0" applyFont="1" applyBorder="1" applyAlignment="1" applyProtection="1">
      <alignment horizontal="right" indent="1"/>
      <protection locked="0"/>
    </xf>
    <xf numFmtId="43" fontId="9" fillId="0" borderId="0" xfId="6" applyFont="1" applyBorder="1" applyAlignment="1" applyProtection="1">
      <alignment horizontal="center" vertical="top" wrapText="1"/>
    </xf>
    <xf numFmtId="43" fontId="2" fillId="0" borderId="0" xfId="6" applyFont="1" applyBorder="1" applyAlignment="1" applyProtection="1">
      <alignment horizontal="center" vertical="top" wrapText="1"/>
    </xf>
    <xf numFmtId="166" fontId="2" fillId="0" borderId="0" xfId="6" applyNumberFormat="1" applyFont="1" applyBorder="1" applyAlignment="1" applyProtection="1">
      <alignment horizontal="center" vertical="top" wrapText="1"/>
    </xf>
    <xf numFmtId="3" fontId="2" fillId="0" borderId="0" xfId="6" applyNumberFormat="1" applyFont="1" applyBorder="1" applyAlignment="1" applyProtection="1">
      <alignment horizontal="center" vertical="top" wrapText="1"/>
    </xf>
    <xf numFmtId="9" fontId="2" fillId="0" borderId="0" xfId="1" applyFont="1" applyBorder="1" applyAlignment="1" applyProtection="1">
      <alignment horizontal="center" vertical="top" wrapText="1"/>
    </xf>
    <xf numFmtId="0" fontId="9" fillId="0" borderId="0" xfId="2" applyFont="1" applyProtection="1">
      <protection locked="0"/>
    </xf>
    <xf numFmtId="167" fontId="30" fillId="0" borderId="4" xfId="4" applyNumberFormat="1" applyFont="1" applyFill="1" applyBorder="1" applyAlignment="1" applyProtection="1">
      <alignment horizontal="right" vertical="top" wrapText="1"/>
      <protection locked="0"/>
    </xf>
    <xf numFmtId="166" fontId="33" fillId="0" borderId="2" xfId="4" applyNumberFormat="1" applyFont="1" applyFill="1" applyBorder="1" applyAlignment="1" applyProtection="1">
      <alignment vertical="top" wrapText="1"/>
      <protection locked="0"/>
    </xf>
    <xf numFmtId="166" fontId="20" fillId="0" borderId="2" xfId="0" quotePrefix="1" applyNumberFormat="1" applyFont="1" applyBorder="1" applyAlignment="1" applyProtection="1">
      <alignment horizontal="right"/>
      <protection locked="0"/>
    </xf>
    <xf numFmtId="3" fontId="20" fillId="0" borderId="2" xfId="0" quotePrefix="1" applyNumberFormat="1" applyFont="1" applyBorder="1" applyAlignment="1" applyProtection="1">
      <alignment vertical="center"/>
      <protection locked="0"/>
    </xf>
    <xf numFmtId="3" fontId="20" fillId="0" borderId="2" xfId="0" quotePrefix="1" applyNumberFormat="1" applyFont="1" applyBorder="1" applyProtection="1">
      <protection locked="0"/>
    </xf>
    <xf numFmtId="166" fontId="20" fillId="0" borderId="2" xfId="0" quotePrefix="1" applyNumberFormat="1" applyFont="1" applyBorder="1" applyAlignment="1" applyProtection="1">
      <alignment horizontal="right" vertical="center"/>
      <protection locked="0"/>
    </xf>
    <xf numFmtId="3" fontId="20" fillId="0" borderId="4" xfId="0" quotePrefix="1" applyNumberFormat="1" applyFont="1" applyBorder="1" applyAlignment="1" applyProtection="1">
      <alignment horizontal="right"/>
      <protection locked="0"/>
    </xf>
    <xf numFmtId="3" fontId="20" fillId="0" borderId="4" xfId="0" quotePrefix="1" applyNumberFormat="1" applyFont="1" applyBorder="1" applyProtection="1">
      <protection locked="0"/>
    </xf>
    <xf numFmtId="166" fontId="20" fillId="0" borderId="4" xfId="0" quotePrefix="1" applyNumberFormat="1" applyFont="1" applyBorder="1" applyAlignment="1" applyProtection="1">
      <alignment horizontal="right"/>
      <protection locked="0"/>
    </xf>
    <xf numFmtId="3" fontId="38" fillId="0" borderId="2" xfId="3" applyNumberFormat="1" applyFont="1" applyBorder="1" applyProtection="1">
      <protection locked="0"/>
    </xf>
    <xf numFmtId="3" fontId="40" fillId="0" borderId="2" xfId="2" applyNumberFormat="1" applyFont="1" applyBorder="1" applyProtection="1">
      <protection locked="0"/>
    </xf>
    <xf numFmtId="3" fontId="42" fillId="0" borderId="2" xfId="2" applyNumberFormat="1" applyFont="1" applyBorder="1" applyProtection="1">
      <protection locked="0"/>
    </xf>
    <xf numFmtId="169" fontId="42" fillId="0" borderId="2" xfId="1" applyNumberFormat="1" applyFont="1" applyBorder="1" applyProtection="1">
      <protection locked="0"/>
    </xf>
    <xf numFmtId="3" fontId="43" fillId="0" borderId="2" xfId="2" applyNumberFormat="1" applyFont="1" applyBorder="1" applyProtection="1">
      <protection locked="0"/>
    </xf>
    <xf numFmtId="3" fontId="38" fillId="0" borderId="2" xfId="2" applyNumberFormat="1" applyFont="1" applyBorder="1" applyProtection="1">
      <protection locked="0"/>
    </xf>
    <xf numFmtId="169" fontId="43" fillId="0" borderId="2" xfId="1" applyNumberFormat="1" applyFont="1" applyBorder="1" applyProtection="1">
      <protection locked="0"/>
    </xf>
    <xf numFmtId="3" fontId="44" fillId="0" borderId="5" xfId="2" applyNumberFormat="1" applyFont="1" applyBorder="1" applyProtection="1">
      <protection locked="0"/>
    </xf>
    <xf numFmtId="3" fontId="9" fillId="0" borderId="0" xfId="2" applyNumberFormat="1" applyFont="1" applyProtection="1">
      <protection locked="0"/>
    </xf>
    <xf numFmtId="3" fontId="44" fillId="0" borderId="6" xfId="2" applyNumberFormat="1" applyFont="1" applyBorder="1" applyProtection="1">
      <protection locked="0"/>
    </xf>
    <xf numFmtId="3" fontId="45" fillId="0" borderId="0" xfId="2" applyNumberFormat="1" applyFont="1" applyProtection="1">
      <protection locked="0"/>
    </xf>
    <xf numFmtId="10" fontId="9" fillId="0" borderId="0" xfId="1" applyNumberFormat="1" applyFont="1" applyProtection="1">
      <protection locked="0"/>
    </xf>
    <xf numFmtId="164" fontId="9" fillId="0" borderId="0" xfId="8" applyFont="1" applyProtection="1">
      <protection locked="0"/>
    </xf>
    <xf numFmtId="0" fontId="4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3" fontId="5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7" fillId="0" borderId="0" xfId="3"/>
    <xf numFmtId="0" fontId="4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66" fontId="6" fillId="0" borderId="0" xfId="2" applyNumberFormat="1" applyFont="1" applyAlignment="1">
      <alignment horizontal="center"/>
    </xf>
    <xf numFmtId="3" fontId="6" fillId="0" borderId="0" xfId="2" applyNumberFormat="1" applyFont="1" applyAlignment="1">
      <alignment horizontal="center"/>
    </xf>
    <xf numFmtId="0" fontId="11" fillId="3" borderId="2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3" fillId="0" borderId="4" xfId="4" applyNumberFormat="1" applyFont="1" applyFill="1" applyBorder="1" applyAlignment="1" applyProtection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10" fillId="0" borderId="4" xfId="4" applyNumberFormat="1" applyFont="1" applyFill="1" applyBorder="1" applyAlignment="1" applyProtection="1">
      <alignment horizontal="center" vertical="top" wrapText="1"/>
    </xf>
    <xf numFmtId="0" fontId="14" fillId="0" borderId="2" xfId="2" applyFont="1" applyBorder="1" applyAlignment="1">
      <alignment horizontal="left" vertical="top" wrapText="1" indent="1"/>
    </xf>
    <xf numFmtId="3" fontId="17" fillId="0" borderId="4" xfId="2" applyNumberFormat="1" applyFont="1" applyBorder="1" applyAlignment="1">
      <alignment horizontal="center" vertical="top" wrapText="1"/>
    </xf>
    <xf numFmtId="0" fontId="15" fillId="0" borderId="2" xfId="2" applyFont="1" applyBorder="1" applyAlignment="1">
      <alignment horizontal="left" vertical="top" wrapText="1" indent="2"/>
    </xf>
    <xf numFmtId="3" fontId="19" fillId="0" borderId="4" xfId="2" applyNumberFormat="1" applyFont="1" applyBorder="1" applyAlignment="1">
      <alignment horizontal="center" vertical="top" wrapText="1"/>
    </xf>
    <xf numFmtId="0" fontId="15" fillId="0" borderId="4" xfId="2" applyFont="1" applyBorder="1" applyAlignment="1">
      <alignment horizontal="left" vertical="top" wrapText="1" indent="2"/>
    </xf>
    <xf numFmtId="3" fontId="10" fillId="0" borderId="4" xfId="2" applyNumberFormat="1" applyFont="1" applyBorder="1" applyAlignment="1">
      <alignment horizontal="center" vertical="top" wrapText="1"/>
    </xf>
    <xf numFmtId="0" fontId="16" fillId="0" borderId="2" xfId="2" applyFont="1" applyBorder="1" applyAlignment="1">
      <alignment horizontal="left" vertical="top" wrapText="1" indent="2"/>
    </xf>
    <xf numFmtId="0" fontId="16" fillId="0" borderId="4" xfId="2" applyFont="1" applyBorder="1" applyAlignment="1">
      <alignment horizontal="left" vertical="top" wrapText="1" indent="2"/>
    </xf>
    <xf numFmtId="3" fontId="13" fillId="0" borderId="4" xfId="2" applyNumberFormat="1" applyFont="1" applyBorder="1" applyAlignment="1">
      <alignment horizontal="center" vertical="top" wrapText="1"/>
    </xf>
    <xf numFmtId="0" fontId="13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 indent="1"/>
    </xf>
    <xf numFmtId="0" fontId="10" fillId="0" borderId="2" xfId="2" applyFont="1" applyBorder="1" applyAlignment="1">
      <alignment horizontal="left" vertical="top" wrapText="1" indent="2"/>
    </xf>
    <xf numFmtId="166" fontId="15" fillId="0" borderId="2" xfId="6" applyNumberFormat="1" applyFont="1" applyFill="1" applyBorder="1" applyAlignment="1" applyProtection="1">
      <alignment horizontal="left" vertical="top" wrapText="1" indent="3"/>
    </xf>
    <xf numFmtId="166" fontId="15" fillId="0" borderId="2" xfId="6" applyNumberFormat="1" applyFont="1" applyFill="1" applyBorder="1" applyAlignment="1" applyProtection="1">
      <alignment horizontal="left" vertical="top" wrapText="1" indent="2"/>
    </xf>
    <xf numFmtId="166" fontId="15" fillId="0" borderId="2" xfId="6" applyNumberFormat="1" applyFont="1" applyFill="1" applyBorder="1" applyAlignment="1" applyProtection="1">
      <alignment horizontal="left" vertical="top" wrapText="1" indent="5"/>
    </xf>
    <xf numFmtId="0" fontId="10" fillId="0" borderId="4" xfId="2" applyFont="1" applyBorder="1" applyAlignment="1">
      <alignment horizontal="left" vertical="top" wrapText="1" indent="1"/>
    </xf>
    <xf numFmtId="0" fontId="11" fillId="0" borderId="4" xfId="2" applyFont="1" applyBorder="1" applyAlignment="1">
      <alignment horizontal="left" vertical="top" wrapText="1" indent="1"/>
    </xf>
    <xf numFmtId="0" fontId="22" fillId="0" borderId="0" xfId="3" applyFont="1"/>
    <xf numFmtId="3" fontId="24" fillId="3" borderId="4" xfId="2" applyNumberFormat="1" applyFont="1" applyFill="1" applyBorder="1" applyAlignment="1">
      <alignment horizontal="center" vertical="top" wrapText="1"/>
    </xf>
    <xf numFmtId="0" fontId="23" fillId="3" borderId="2" xfId="2" applyFont="1" applyFill="1" applyBorder="1" applyAlignment="1">
      <alignment horizontal="center" vertical="top" wrapText="1"/>
    </xf>
    <xf numFmtId="0" fontId="25" fillId="0" borderId="0" xfId="3" applyFont="1"/>
    <xf numFmtId="0" fontId="16" fillId="0" borderId="2" xfId="2" applyFont="1" applyBorder="1" applyAlignment="1">
      <alignment horizontal="left" vertical="top" wrapText="1" indent="1"/>
    </xf>
    <xf numFmtId="0" fontId="16" fillId="0" borderId="4" xfId="2" applyFont="1" applyBorder="1" applyAlignment="1">
      <alignment horizontal="left" vertical="top" wrapText="1" indent="1"/>
    </xf>
    <xf numFmtId="3" fontId="17" fillId="0" borderId="4" xfId="0" applyNumberFormat="1" applyFont="1" applyBorder="1" applyAlignment="1">
      <alignment horizontal="center" vertical="top" wrapText="1"/>
    </xf>
    <xf numFmtId="0" fontId="26" fillId="0" borderId="2" xfId="2" applyFont="1" applyBorder="1" applyAlignment="1">
      <alignment horizontal="left" vertical="top" wrapText="1" indent="1"/>
    </xf>
    <xf numFmtId="0" fontId="27" fillId="0" borderId="2" xfId="2" applyFont="1" applyBorder="1" applyAlignment="1">
      <alignment horizontal="left" vertical="top" wrapText="1" indent="1"/>
    </xf>
    <xf numFmtId="3" fontId="6" fillId="3" borderId="4" xfId="2" applyNumberFormat="1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28" fillId="0" borderId="0" xfId="3" applyFont="1" applyAlignment="1">
      <alignment vertical="center"/>
    </xf>
    <xf numFmtId="9" fontId="1" fillId="0" borderId="0" xfId="7" applyFont="1" applyFill="1" applyBorder="1" applyAlignment="1" applyProtection="1">
      <alignment horizontal="right" vertical="top" wrapText="1" indent="1"/>
    </xf>
    <xf numFmtId="168" fontId="32" fillId="0" borderId="0" xfId="2" applyNumberFormat="1" applyFont="1" applyAlignment="1">
      <alignment horizontal="right" vertical="top" wrapText="1" indent="1"/>
    </xf>
    <xf numFmtId="166" fontId="1" fillId="0" borderId="0" xfId="4" applyNumberFormat="1" applyFont="1" applyFill="1" applyBorder="1" applyAlignment="1" applyProtection="1">
      <alignment horizontal="right" vertical="top" wrapText="1" indent="1"/>
    </xf>
    <xf numFmtId="166" fontId="1" fillId="0" borderId="0" xfId="6" applyNumberFormat="1" applyFont="1" applyFill="1" applyBorder="1" applyAlignment="1" applyProtection="1">
      <alignment horizontal="right" vertical="top" wrapText="1" indent="1"/>
    </xf>
    <xf numFmtId="0" fontId="2" fillId="0" borderId="0" xfId="2"/>
    <xf numFmtId="0" fontId="9" fillId="0" borderId="0" xfId="2" applyFont="1"/>
    <xf numFmtId="166" fontId="2" fillId="0" borderId="0" xfId="6" applyNumberFormat="1" applyFont="1" applyProtection="1"/>
    <xf numFmtId="0" fontId="46" fillId="0" borderId="0" xfId="3" applyFont="1"/>
    <xf numFmtId="3" fontId="9" fillId="0" borderId="0" xfId="2" applyNumberFormat="1" applyFont="1"/>
    <xf numFmtId="0" fontId="30" fillId="0" borderId="4" xfId="4" applyNumberFormat="1" applyFont="1" applyFill="1" applyBorder="1" applyAlignment="1" applyProtection="1">
      <alignment horizontal="center" vertical="top" wrapText="1"/>
    </xf>
    <xf numFmtId="3" fontId="29" fillId="0" borderId="2" xfId="2" applyNumberFormat="1" applyFont="1" applyBorder="1" applyAlignment="1">
      <alignment horizontal="left" vertical="top" wrapText="1" indent="1"/>
    </xf>
    <xf numFmtId="3" fontId="14" fillId="0" borderId="2" xfId="2" applyNumberFormat="1" applyFont="1" applyBorder="1" applyAlignment="1">
      <alignment horizontal="left" vertical="top" wrapText="1" indent="1"/>
    </xf>
    <xf numFmtId="3" fontId="16" fillId="0" borderId="2" xfId="2" applyNumberFormat="1" applyFont="1" applyBorder="1" applyAlignment="1">
      <alignment horizontal="left" vertical="top" wrapText="1" indent="1"/>
    </xf>
    <xf numFmtId="3" fontId="11" fillId="0" borderId="4" xfId="2" applyNumberFormat="1" applyFont="1" applyBorder="1" applyAlignment="1">
      <alignment horizontal="center" vertical="top" wrapText="1"/>
    </xf>
    <xf numFmtId="3" fontId="17" fillId="0" borderId="2" xfId="2" applyNumberFormat="1" applyFont="1" applyBorder="1" applyAlignment="1">
      <alignment horizontal="center" vertical="top" wrapText="1"/>
    </xf>
    <xf numFmtId="3" fontId="19" fillId="0" borderId="4" xfId="0" applyNumberFormat="1" applyFont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left" vertical="top" wrapText="1" indent="2"/>
    </xf>
    <xf numFmtId="3" fontId="8" fillId="0" borderId="2" xfId="2" applyNumberFormat="1" applyFont="1" applyBorder="1" applyAlignment="1">
      <alignment horizontal="left" vertical="top" wrapText="1" indent="1"/>
    </xf>
    <xf numFmtId="0" fontId="10" fillId="2" borderId="4" xfId="2" applyFont="1" applyFill="1" applyBorder="1" applyAlignment="1">
      <alignment horizontal="center" vertical="center" wrapText="1"/>
    </xf>
    <xf numFmtId="0" fontId="14" fillId="0" borderId="4" xfId="2" applyFont="1" applyBorder="1" applyAlignment="1">
      <alignment horizontal="center"/>
    </xf>
    <xf numFmtId="0" fontId="14" fillId="0" borderId="2" xfId="2" applyFont="1" applyBorder="1"/>
    <xf numFmtId="0" fontId="33" fillId="0" borderId="2" xfId="4" applyNumberFormat="1" applyFont="1" applyFill="1" applyBorder="1" applyAlignment="1" applyProtection="1">
      <alignment horizontal="center" vertical="top" wrapText="1"/>
    </xf>
    <xf numFmtId="0" fontId="10" fillId="0" borderId="4" xfId="2" applyFont="1" applyBorder="1" applyAlignment="1">
      <alignment horizontal="center" vertical="top" wrapText="1"/>
    </xf>
    <xf numFmtId="0" fontId="34" fillId="0" borderId="4" xfId="2" applyFont="1" applyBorder="1" applyAlignment="1">
      <alignment horizontal="center"/>
    </xf>
    <xf numFmtId="0" fontId="34" fillId="0" borderId="2" xfId="2" applyFont="1" applyBorder="1"/>
    <xf numFmtId="0" fontId="21" fillId="0" borderId="4" xfId="0" applyFont="1" applyBorder="1" applyAlignment="1">
      <alignment horizontal="center"/>
    </xf>
    <xf numFmtId="0" fontId="8" fillId="0" borderId="4" xfId="2" quotePrefix="1" applyFont="1" applyBorder="1" applyAlignment="1">
      <alignment horizontal="center"/>
    </xf>
    <xf numFmtId="0" fontId="8" fillId="0" borderId="2" xfId="2" quotePrefix="1" applyFont="1" applyBorder="1" applyAlignment="1">
      <alignment horizontal="left" indent="1"/>
    </xf>
    <xf numFmtId="0" fontId="20" fillId="0" borderId="2" xfId="0" quotePrefix="1" applyFont="1" applyBorder="1" applyAlignment="1">
      <alignment horizontal="center"/>
    </xf>
    <xf numFmtId="0" fontId="8" fillId="0" borderId="4" xfId="2" quotePrefix="1" applyFont="1" applyBorder="1" applyAlignment="1">
      <alignment horizontal="center" vertical="center"/>
    </xf>
    <xf numFmtId="0" fontId="8" fillId="0" borderId="2" xfId="2" quotePrefix="1" applyFont="1" applyBorder="1" applyAlignment="1">
      <alignment horizontal="left" vertical="center" indent="1"/>
    </xf>
    <xf numFmtId="0" fontId="20" fillId="0" borderId="2" xfId="0" quotePrefix="1" applyFont="1" applyBorder="1" applyAlignment="1">
      <alignment horizontal="center" vertical="center"/>
    </xf>
    <xf numFmtId="0" fontId="8" fillId="0" borderId="4" xfId="5" quotePrefix="1" applyNumberFormat="1" applyFont="1" applyFill="1" applyBorder="1" applyAlignment="1" applyProtection="1">
      <alignment horizontal="center"/>
    </xf>
    <xf numFmtId="0" fontId="14" fillId="0" borderId="4" xfId="2" quotePrefix="1" applyFont="1" applyBorder="1" applyAlignment="1">
      <alignment horizontal="center" vertical="center"/>
    </xf>
    <xf numFmtId="0" fontId="14" fillId="0" borderId="2" xfId="2" quotePrefix="1" applyFont="1" applyBorder="1" applyAlignment="1">
      <alignment horizontal="left" vertical="center"/>
    </xf>
    <xf numFmtId="0" fontId="11" fillId="0" borderId="4" xfId="5" quotePrefix="1" applyNumberFormat="1" applyFont="1" applyFill="1" applyBorder="1" applyAlignment="1" applyProtection="1">
      <alignment horizontal="center" vertical="center"/>
    </xf>
    <xf numFmtId="0" fontId="16" fillId="0" borderId="4" xfId="2" quotePrefix="1" applyFont="1" applyBorder="1" applyAlignment="1">
      <alignment horizontal="center"/>
    </xf>
    <xf numFmtId="0" fontId="16" fillId="0" borderId="2" xfId="2" quotePrefix="1" applyFont="1" applyBorder="1" applyAlignment="1">
      <alignment horizontal="left" indent="1"/>
    </xf>
    <xf numFmtId="0" fontId="16" fillId="0" borderId="4" xfId="2" quotePrefix="1" applyFont="1" applyBorder="1" applyAlignment="1">
      <alignment horizontal="center" wrapText="1"/>
    </xf>
    <xf numFmtId="0" fontId="16" fillId="0" borderId="2" xfId="2" quotePrefix="1" applyFont="1" applyBorder="1" applyAlignment="1">
      <alignment horizontal="left" wrapText="1" indent="1"/>
    </xf>
    <xf numFmtId="0" fontId="16" fillId="0" borderId="4" xfId="2" quotePrefix="1" applyFont="1" applyBorder="1" applyAlignment="1">
      <alignment horizontal="center" vertical="center"/>
    </xf>
    <xf numFmtId="0" fontId="16" fillId="0" borderId="2" xfId="2" quotePrefix="1" applyFont="1" applyBorder="1" applyAlignment="1">
      <alignment horizontal="left" vertical="center" indent="1"/>
    </xf>
    <xf numFmtId="0" fontId="20" fillId="0" borderId="4" xfId="0" quotePrefix="1" applyFont="1" applyBorder="1" applyAlignment="1">
      <alignment horizontal="center"/>
    </xf>
    <xf numFmtId="0" fontId="14" fillId="0" borderId="2" xfId="2" applyFont="1" applyBorder="1" applyAlignment="1">
      <alignment horizontal="left"/>
    </xf>
    <xf numFmtId="0" fontId="10" fillId="0" borderId="4" xfId="5" applyNumberFormat="1" applyFont="1" applyFill="1" applyBorder="1" applyAlignment="1" applyProtection="1">
      <alignment horizontal="center"/>
    </xf>
    <xf numFmtId="0" fontId="11" fillId="0" borderId="4" xfId="5" applyNumberFormat="1" applyFont="1" applyFill="1" applyBorder="1" applyAlignment="1" applyProtection="1">
      <alignment horizontal="center"/>
    </xf>
    <xf numFmtId="0" fontId="8" fillId="0" borderId="4" xfId="2" applyFont="1" applyBorder="1" applyAlignment="1">
      <alignment horizontal="center"/>
    </xf>
    <xf numFmtId="0" fontId="8" fillId="0" borderId="2" xfId="2" applyFont="1" applyBorder="1" applyAlignment="1">
      <alignment horizontal="left" indent="1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 indent="1"/>
    </xf>
    <xf numFmtId="0" fontId="8" fillId="0" borderId="4" xfId="5" quotePrefix="1" applyNumberFormat="1" applyFont="1" applyFill="1" applyBorder="1" applyAlignment="1" applyProtection="1">
      <alignment horizontal="center" vertical="center"/>
    </xf>
    <xf numFmtId="0" fontId="14" fillId="4" borderId="4" xfId="2" applyFont="1" applyFill="1" applyBorder="1" applyAlignment="1">
      <alignment horizontal="center"/>
    </xf>
    <xf numFmtId="0" fontId="14" fillId="4" borderId="2" xfId="2" applyFont="1" applyFill="1" applyBorder="1"/>
    <xf numFmtId="0" fontId="10" fillId="4" borderId="4" xfId="5" applyNumberFormat="1" applyFont="1" applyFill="1" applyBorder="1" applyAlignment="1" applyProtection="1">
      <alignment horizontal="center"/>
    </xf>
    <xf numFmtId="0" fontId="31" fillId="0" borderId="4" xfId="2" applyFont="1" applyBorder="1" applyAlignment="1">
      <alignment horizontal="center"/>
    </xf>
    <xf numFmtId="0" fontId="31" fillId="0" borderId="2" xfId="2" applyFont="1" applyBorder="1" applyAlignment="1">
      <alignment horizontal="left" indent="1"/>
    </xf>
    <xf numFmtId="0" fontId="35" fillId="0" borderId="4" xfId="0" applyFont="1" applyBorder="1" applyAlignment="1">
      <alignment horizontal="center"/>
    </xf>
    <xf numFmtId="0" fontId="36" fillId="2" borderId="7" xfId="2" applyFont="1" applyFill="1" applyBorder="1" applyAlignment="1">
      <alignment horizontal="center" vertical="center" wrapText="1"/>
    </xf>
    <xf numFmtId="0" fontId="36" fillId="2" borderId="8" xfId="2" applyFont="1" applyFill="1" applyBorder="1" applyAlignment="1">
      <alignment horizontal="left" vertical="center" wrapText="1"/>
    </xf>
    <xf numFmtId="0" fontId="39" fillId="3" borderId="3" xfId="3" applyFont="1" applyFill="1" applyBorder="1" applyAlignment="1">
      <alignment horizontal="center" vertical="center" wrapText="1"/>
    </xf>
    <xf numFmtId="0" fontId="37" fillId="0" borderId="4" xfId="2" applyFont="1" applyBorder="1" applyAlignment="1">
      <alignment horizontal="center" vertical="center" wrapText="1"/>
    </xf>
    <xf numFmtId="0" fontId="37" fillId="0" borderId="2" xfId="2" applyFont="1" applyBorder="1" applyAlignment="1">
      <alignment horizontal="left" vertical="center" wrapText="1" indent="2"/>
    </xf>
    <xf numFmtId="0" fontId="38" fillId="0" borderId="2" xfId="3" applyFont="1" applyBorder="1" applyAlignment="1">
      <alignment horizontal="center"/>
    </xf>
    <xf numFmtId="0" fontId="39" fillId="0" borderId="4" xfId="2" applyFont="1" applyBorder="1" applyAlignment="1">
      <alignment horizontal="center" vertical="center" wrapText="1"/>
    </xf>
    <xf numFmtId="0" fontId="39" fillId="0" borderId="2" xfId="2" applyFont="1" applyBorder="1" applyAlignment="1">
      <alignment horizontal="left" vertical="center" wrapText="1" indent="1"/>
    </xf>
    <xf numFmtId="0" fontId="40" fillId="0" borderId="2" xfId="2" applyFont="1" applyBorder="1" applyAlignment="1">
      <alignment horizontal="center"/>
    </xf>
    <xf numFmtId="0" fontId="41" fillId="0" borderId="4" xfId="2" applyFont="1" applyBorder="1" applyAlignment="1">
      <alignment horizontal="center" vertical="center" wrapText="1"/>
    </xf>
    <xf numFmtId="0" fontId="41" fillId="0" borderId="2" xfId="2" applyFont="1" applyBorder="1" applyAlignment="1">
      <alignment horizontal="left" vertical="center" wrapText="1" indent="1"/>
    </xf>
    <xf numFmtId="0" fontId="42" fillId="0" borderId="2" xfId="2" applyFont="1" applyBorder="1" applyAlignment="1">
      <alignment horizontal="center"/>
    </xf>
    <xf numFmtId="0" fontId="42" fillId="0" borderId="2" xfId="1" applyNumberFormat="1" applyFont="1" applyBorder="1" applyAlignment="1" applyProtection="1">
      <alignment horizontal="center"/>
    </xf>
    <xf numFmtId="0" fontId="43" fillId="0" borderId="2" xfId="2" applyFont="1" applyBorder="1" applyAlignment="1">
      <alignment horizontal="center"/>
    </xf>
    <xf numFmtId="0" fontId="38" fillId="0" borderId="2" xfId="2" applyFont="1" applyBorder="1" applyAlignment="1">
      <alignment horizontal="center"/>
    </xf>
    <xf numFmtId="0" fontId="37" fillId="0" borderId="4" xfId="2" applyFont="1" applyBorder="1" applyAlignment="1">
      <alignment horizontal="center" vertical="center"/>
    </xf>
    <xf numFmtId="0" fontId="37" fillId="0" borderId="2" xfId="2" applyFont="1" applyBorder="1" applyAlignment="1">
      <alignment horizontal="left" vertical="center" indent="2"/>
    </xf>
    <xf numFmtId="0" fontId="43" fillId="0" borderId="2" xfId="1" applyNumberFormat="1" applyFont="1" applyBorder="1" applyAlignment="1" applyProtection="1">
      <alignment horizontal="center"/>
    </xf>
    <xf numFmtId="0" fontId="39" fillId="0" borderId="4" xfId="2" applyFont="1" applyBorder="1" applyAlignment="1">
      <alignment horizontal="center" vertical="center"/>
    </xf>
    <xf numFmtId="0" fontId="39" fillId="0" borderId="2" xfId="2" applyFont="1" applyBorder="1" applyAlignment="1">
      <alignment horizontal="left" vertical="center" indent="1"/>
    </xf>
    <xf numFmtId="0" fontId="41" fillId="0" borderId="4" xfId="2" applyFont="1" applyBorder="1" applyAlignment="1">
      <alignment horizontal="center" vertical="center"/>
    </xf>
    <xf numFmtId="0" fontId="41" fillId="0" borderId="2" xfId="2" applyFont="1" applyBorder="1" applyAlignment="1">
      <alignment horizontal="left" vertical="center" indent="1"/>
    </xf>
    <xf numFmtId="0" fontId="41" fillId="0" borderId="9" xfId="2" applyFont="1" applyBorder="1" applyAlignment="1">
      <alignment horizontal="center" vertical="center"/>
    </xf>
    <xf numFmtId="0" fontId="41" fillId="0" borderId="10" xfId="2" applyFont="1" applyBorder="1" applyAlignment="1">
      <alignment horizontal="left" vertical="center" indent="1"/>
    </xf>
    <xf numFmtId="0" fontId="36" fillId="2" borderId="2" xfId="2" applyFont="1" applyFill="1" applyBorder="1" applyAlignment="1">
      <alignment horizontal="center" vertical="center" wrapText="1"/>
    </xf>
    <xf numFmtId="0" fontId="36" fillId="2" borderId="2" xfId="2" applyFont="1" applyFill="1" applyBorder="1" applyAlignment="1">
      <alignment horizontal="left" vertical="center" wrapText="1"/>
    </xf>
    <xf numFmtId="0" fontId="11" fillId="3" borderId="11" xfId="2" applyFont="1" applyFill="1" applyBorder="1" applyAlignment="1">
      <alignment horizontal="center" vertical="center" wrapText="1"/>
    </xf>
    <xf numFmtId="0" fontId="44" fillId="0" borderId="5" xfId="2" applyFont="1" applyBorder="1" applyAlignment="1">
      <alignment horizontal="center"/>
    </xf>
    <xf numFmtId="0" fontId="44" fillId="0" borderId="5" xfId="2" applyFont="1" applyBorder="1"/>
    <xf numFmtId="0" fontId="9" fillId="0" borderId="5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 indent="1"/>
    </xf>
    <xf numFmtId="0" fontId="44" fillId="0" borderId="0" xfId="2" applyFont="1" applyAlignment="1">
      <alignment horizontal="center"/>
    </xf>
    <xf numFmtId="0" fontId="44" fillId="0" borderId="0" xfId="2" applyFont="1"/>
    <xf numFmtId="0" fontId="44" fillId="0" borderId="6" xfId="2" applyFont="1" applyBorder="1" applyAlignment="1">
      <alignment horizontal="center"/>
    </xf>
    <xf numFmtId="0" fontId="44" fillId="0" borderId="6" xfId="2" applyFont="1" applyBorder="1"/>
    <xf numFmtId="0" fontId="11" fillId="3" borderId="3" xfId="6" applyNumberFormat="1" applyFont="1" applyFill="1" applyBorder="1" applyAlignment="1" applyProtection="1">
      <alignment horizontal="center" vertical="center" wrapText="1"/>
    </xf>
    <xf numFmtId="0" fontId="10" fillId="2" borderId="2" xfId="2" applyFont="1" applyFill="1" applyBorder="1" applyAlignment="1">
      <alignment horizontal="left" vertical="top" wrapText="1"/>
    </xf>
    <xf numFmtId="0" fontId="50" fillId="5" borderId="0" xfId="3" applyFont="1" applyFill="1"/>
    <xf numFmtId="0" fontId="51" fillId="5" borderId="0" xfId="3" applyFont="1" applyFill="1"/>
    <xf numFmtId="0" fontId="51" fillId="0" borderId="0" xfId="3" applyFont="1"/>
    <xf numFmtId="0" fontId="50" fillId="0" borderId="0" xfId="3" applyFont="1" applyAlignment="1">
      <alignment horizontal="right"/>
    </xf>
    <xf numFmtId="0" fontId="51" fillId="5" borderId="12" xfId="3" applyFont="1" applyFill="1" applyBorder="1"/>
    <xf numFmtId="0" fontId="51" fillId="0" borderId="12" xfId="3" applyFont="1" applyBorder="1"/>
    <xf numFmtId="0" fontId="52" fillId="0" borderId="12" xfId="3" applyFont="1" applyBorder="1" applyAlignment="1">
      <alignment horizontal="right"/>
    </xf>
    <xf numFmtId="0" fontId="51" fillId="5" borderId="0" xfId="3" quotePrefix="1" applyFont="1" applyFill="1"/>
    <xf numFmtId="0" fontId="52" fillId="0" borderId="0" xfId="3" applyFont="1" applyAlignment="1">
      <alignment horizontal="right"/>
    </xf>
    <xf numFmtId="0" fontId="53" fillId="0" borderId="0" xfId="3" applyFont="1"/>
    <xf numFmtId="0" fontId="9" fillId="0" borderId="0" xfId="3" applyFont="1"/>
    <xf numFmtId="0" fontId="9" fillId="5" borderId="0" xfId="3" applyFont="1" applyFill="1"/>
    <xf numFmtId="0" fontId="44" fillId="0" borderId="0" xfId="3" applyFont="1"/>
    <xf numFmtId="0" fontId="44" fillId="5" borderId="0" xfId="3" applyFont="1" applyFill="1" applyAlignment="1">
      <alignment horizontal="center"/>
    </xf>
    <xf numFmtId="14" fontId="9" fillId="0" borderId="0" xfId="3" applyNumberFormat="1" applyFont="1" applyAlignment="1">
      <alignment vertical="center"/>
    </xf>
    <xf numFmtId="0" fontId="21" fillId="0" borderId="0" xfId="3" applyFont="1" applyAlignment="1">
      <alignment horizontal="left"/>
    </xf>
    <xf numFmtId="0" fontId="8" fillId="5" borderId="0" xfId="3" applyFont="1" applyFill="1" applyAlignment="1">
      <alignment horizontal="left"/>
    </xf>
    <xf numFmtId="0" fontId="8" fillId="5" borderId="0" xfId="3" applyFont="1" applyFill="1"/>
    <xf numFmtId="0" fontId="54" fillId="0" borderId="0" xfId="3" applyFont="1" applyAlignment="1">
      <alignment horizontal="right"/>
    </xf>
    <xf numFmtId="0" fontId="20" fillId="0" borderId="0" xfId="3" applyFont="1"/>
    <xf numFmtId="0" fontId="54" fillId="0" borderId="0" xfId="3" applyFont="1"/>
    <xf numFmtId="0" fontId="54" fillId="0" borderId="0" xfId="3" applyFont="1" applyAlignment="1">
      <alignment horizontal="centerContinuous"/>
    </xf>
    <xf numFmtId="0" fontId="54" fillId="0" borderId="0" xfId="3" applyFont="1" applyAlignment="1">
      <alignment horizontal="centerContinuous" wrapText="1"/>
    </xf>
    <xf numFmtId="0" fontId="20" fillId="0" borderId="0" xfId="3" applyFont="1" applyAlignment="1">
      <alignment horizontal="centerContinuous"/>
    </xf>
    <xf numFmtId="0" fontId="58" fillId="0" borderId="0" xfId="3" applyFont="1"/>
    <xf numFmtId="0" fontId="59" fillId="0" borderId="0" xfId="3" applyFont="1" applyAlignment="1">
      <alignment horizontal="centerContinuous"/>
    </xf>
    <xf numFmtId="0" fontId="50" fillId="0" borderId="0" xfId="3" applyFont="1"/>
    <xf numFmtId="0" fontId="61" fillId="0" borderId="0" xfId="3" applyFont="1"/>
    <xf numFmtId="0" fontId="62" fillId="0" borderId="0" xfId="3" applyFont="1"/>
    <xf numFmtId="0" fontId="63" fillId="0" borderId="0" xfId="3" applyFont="1"/>
    <xf numFmtId="0" fontId="61" fillId="0" borderId="0" xfId="3" applyFont="1" applyAlignment="1">
      <alignment horizontal="right"/>
    </xf>
    <xf numFmtId="0" fontId="64" fillId="0" borderId="0" xfId="3" applyFont="1"/>
    <xf numFmtId="49" fontId="64" fillId="0" borderId="0" xfId="3" applyNumberFormat="1" applyFont="1" applyAlignment="1">
      <alignment horizontal="right"/>
    </xf>
    <xf numFmtId="0" fontId="65" fillId="0" borderId="0" xfId="3" quotePrefix="1" applyFont="1" applyAlignment="1">
      <alignment horizontal="left" indent="1"/>
    </xf>
    <xf numFmtId="0" fontId="66" fillId="0" borderId="0" xfId="3" applyFont="1"/>
    <xf numFmtId="49" fontId="66" fillId="0" borderId="0" xfId="3" applyNumberFormat="1" applyFont="1" applyAlignment="1">
      <alignment horizontal="right"/>
    </xf>
    <xf numFmtId="0" fontId="67" fillId="0" borderId="0" xfId="3" quotePrefix="1" applyFont="1" applyAlignment="1">
      <alignment horizontal="left" indent="1"/>
    </xf>
    <xf numFmtId="0" fontId="68" fillId="0" borderId="0" xfId="3" applyFont="1"/>
    <xf numFmtId="49" fontId="68" fillId="0" borderId="0" xfId="3" applyNumberFormat="1" applyFont="1" applyAlignment="1">
      <alignment horizontal="right"/>
    </xf>
    <xf numFmtId="0" fontId="69" fillId="0" borderId="0" xfId="3" quotePrefix="1" applyFont="1" applyAlignment="1">
      <alignment horizontal="left" indent="1"/>
    </xf>
    <xf numFmtId="0" fontId="70" fillId="0" borderId="0" xfId="3" applyFont="1"/>
    <xf numFmtId="49" fontId="70" fillId="0" borderId="0" xfId="3" applyNumberFormat="1" applyFont="1" applyAlignment="1">
      <alignment horizontal="right"/>
    </xf>
    <xf numFmtId="0" fontId="71" fillId="0" borderId="0" xfId="3" quotePrefix="1" applyFont="1" applyAlignment="1">
      <alignment horizontal="left" indent="1"/>
    </xf>
    <xf numFmtId="49" fontId="62" fillId="0" borderId="0" xfId="3" applyNumberFormat="1" applyFont="1" applyAlignment="1">
      <alignment horizontal="right"/>
    </xf>
    <xf numFmtId="0" fontId="72" fillId="0" borderId="0" xfId="3" applyFont="1"/>
    <xf numFmtId="170" fontId="73" fillId="0" borderId="0" xfId="3" applyNumberFormat="1" applyFont="1"/>
    <xf numFmtId="0" fontId="73" fillId="0" borderId="0" xfId="3" applyFont="1"/>
    <xf numFmtId="0" fontId="74" fillId="0" borderId="12" xfId="3" applyFont="1" applyBorder="1"/>
    <xf numFmtId="170" fontId="73" fillId="0" borderId="12" xfId="3" applyNumberFormat="1" applyFont="1" applyBorder="1"/>
    <xf numFmtId="0" fontId="16" fillId="0" borderId="0" xfId="3" applyFont="1"/>
    <xf numFmtId="0" fontId="16" fillId="0" borderId="0" xfId="9" applyFont="1"/>
    <xf numFmtId="170" fontId="16" fillId="0" borderId="0" xfId="9" applyNumberFormat="1" applyFont="1"/>
    <xf numFmtId="170" fontId="77" fillId="0" borderId="0" xfId="9" applyNumberFormat="1" applyFont="1" applyAlignment="1">
      <alignment horizontal="right"/>
    </xf>
    <xf numFmtId="0" fontId="72" fillId="0" borderId="13" xfId="10" applyFont="1" applyBorder="1" applyAlignment="1">
      <alignment horizontal="center" vertical="center" wrapText="1"/>
    </xf>
    <xf numFmtId="170" fontId="72" fillId="0" borderId="13" xfId="10" applyNumberFormat="1" applyFont="1" applyBorder="1" applyAlignment="1">
      <alignment horizontal="center" vertical="center" wrapText="1"/>
    </xf>
    <xf numFmtId="14" fontId="72" fillId="0" borderId="13" xfId="10" applyNumberFormat="1" applyFont="1" applyBorder="1" applyAlignment="1">
      <alignment horizontal="center" vertical="center" wrapText="1"/>
    </xf>
    <xf numFmtId="0" fontId="21" fillId="6" borderId="0" xfId="3" applyFont="1" applyFill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11" fillId="0" borderId="14" xfId="10" applyFont="1" applyBorder="1" applyAlignment="1">
      <alignment horizontal="left" wrapText="1"/>
    </xf>
    <xf numFmtId="3" fontId="78" fillId="0" borderId="14" xfId="10" applyNumberFormat="1" applyFont="1" applyBorder="1" applyAlignment="1" applyProtection="1">
      <alignment horizontal="right" vertical="center"/>
      <protection hidden="1"/>
    </xf>
    <xf numFmtId="170" fontId="35" fillId="0" borderId="0" xfId="3" applyNumberFormat="1" applyFont="1"/>
    <xf numFmtId="0" fontId="35" fillId="0" borderId="0" xfId="3" applyFont="1"/>
    <xf numFmtId="0" fontId="16" fillId="0" borderId="15" xfId="10" applyFont="1" applyBorder="1"/>
    <xf numFmtId="3" fontId="79" fillId="0" borderId="15" xfId="10" applyNumberFormat="1" applyFont="1" applyBorder="1" applyProtection="1">
      <protection hidden="1"/>
    </xf>
    <xf numFmtId="0" fontId="72" fillId="0" borderId="15" xfId="10" applyFont="1" applyBorder="1"/>
    <xf numFmtId="3" fontId="80" fillId="0" borderId="15" xfId="10" applyNumberFormat="1" applyFont="1" applyBorder="1" applyProtection="1">
      <protection hidden="1"/>
    </xf>
    <xf numFmtId="16" fontId="16" fillId="0" borderId="0" xfId="3" applyNumberFormat="1" applyFont="1"/>
    <xf numFmtId="0" fontId="16" fillId="0" borderId="15" xfId="10" applyFont="1" applyBorder="1" applyAlignment="1">
      <alignment horizontal="left" wrapText="1"/>
    </xf>
    <xf numFmtId="0" fontId="8" fillId="0" borderId="15" xfId="10" applyFont="1" applyBorder="1"/>
    <xf numFmtId="9" fontId="16" fillId="0" borderId="0" xfId="11" applyFont="1"/>
    <xf numFmtId="3" fontId="2" fillId="0" borderId="15" xfId="10" applyNumberFormat="1" applyBorder="1" applyProtection="1">
      <protection hidden="1"/>
    </xf>
    <xf numFmtId="0" fontId="11" fillId="0" borderId="15" xfId="10" applyFont="1" applyBorder="1" applyAlignment="1">
      <alignment horizontal="left" wrapText="1"/>
    </xf>
    <xf numFmtId="3" fontId="78" fillId="0" borderId="15" xfId="10" applyNumberFormat="1" applyFont="1" applyBorder="1" applyAlignment="1" applyProtection="1">
      <alignment horizontal="right" vertical="center"/>
      <protection hidden="1"/>
    </xf>
    <xf numFmtId="3" fontId="80" fillId="0" borderId="15" xfId="10" applyNumberFormat="1" applyFont="1" applyBorder="1" applyAlignment="1" applyProtection="1">
      <alignment horizontal="right"/>
      <protection hidden="1"/>
    </xf>
    <xf numFmtId="0" fontId="16" fillId="0" borderId="16" xfId="10" applyFont="1" applyBorder="1"/>
    <xf numFmtId="3" fontId="79" fillId="0" borderId="17" xfId="10" applyNumberFormat="1" applyFont="1" applyBorder="1" applyProtection="1">
      <protection hidden="1"/>
    </xf>
    <xf numFmtId="0" fontId="16" fillId="0" borderId="0" xfId="10" applyFont="1"/>
    <xf numFmtId="3" fontId="79" fillId="0" borderId="0" xfId="10" applyNumberFormat="1" applyFont="1" applyProtection="1">
      <protection hidden="1"/>
    </xf>
    <xf numFmtId="3" fontId="72" fillId="0" borderId="13" xfId="10" applyNumberFormat="1" applyFont="1" applyBorder="1" applyAlignment="1" applyProtection="1">
      <alignment horizontal="center" vertical="center" wrapText="1"/>
      <protection hidden="1"/>
    </xf>
    <xf numFmtId="0" fontId="81" fillId="0" borderId="0" xfId="3" applyFont="1"/>
    <xf numFmtId="0" fontId="21" fillId="0" borderId="14" xfId="10" applyFont="1" applyBorder="1"/>
    <xf numFmtId="3" fontId="79" fillId="0" borderId="14" xfId="10" applyNumberFormat="1" applyFont="1" applyBorder="1" applyProtection="1">
      <protection hidden="1"/>
    </xf>
    <xf numFmtId="3" fontId="79" fillId="0" borderId="15" xfId="10" applyNumberFormat="1" applyFont="1" applyBorder="1" applyAlignment="1" applyProtection="1">
      <alignment horizontal="right"/>
      <protection hidden="1"/>
    </xf>
    <xf numFmtId="166" fontId="79" fillId="0" borderId="15" xfId="10" applyNumberFormat="1" applyFont="1" applyBorder="1" applyAlignment="1" applyProtection="1">
      <alignment horizontal="right"/>
      <protection hidden="1"/>
    </xf>
    <xf numFmtId="170" fontId="16" fillId="0" borderId="0" xfId="3" applyNumberFormat="1" applyFont="1"/>
    <xf numFmtId="0" fontId="16" fillId="0" borderId="15" xfId="10" applyFont="1" applyBorder="1" applyAlignment="1">
      <alignment horizontal="left" indent="1"/>
    </xf>
    <xf numFmtId="0" fontId="16" fillId="0" borderId="15" xfId="10" quotePrefix="1" applyFont="1" applyBorder="1" applyAlignment="1">
      <alignment horizontal="left" indent="2"/>
    </xf>
    <xf numFmtId="0" fontId="16" fillId="0" borderId="15" xfId="10" quotePrefix="1" applyFont="1" applyBorder="1"/>
    <xf numFmtId="0" fontId="16" fillId="0" borderId="17" xfId="10" applyFont="1" applyBorder="1"/>
    <xf numFmtId="0" fontId="10" fillId="0" borderId="13" xfId="10" applyFont="1" applyBorder="1"/>
    <xf numFmtId="3" fontId="82" fillId="0" borderId="13" xfId="10" applyNumberFormat="1" applyFont="1" applyBorder="1" applyProtection="1">
      <protection hidden="1"/>
    </xf>
    <xf numFmtId="3" fontId="16" fillId="0" borderId="0" xfId="3" applyNumberFormat="1" applyFont="1" applyProtection="1">
      <protection hidden="1"/>
    </xf>
    <xf numFmtId="0" fontId="11" fillId="0" borderId="15" xfId="10" applyFont="1" applyBorder="1"/>
    <xf numFmtId="3" fontId="78" fillId="0" borderId="15" xfId="10" applyNumberFormat="1" applyFont="1" applyBorder="1" applyProtection="1">
      <protection hidden="1"/>
    </xf>
    <xf numFmtId="3" fontId="16" fillId="0" borderId="0" xfId="10" applyNumberFormat="1" applyFont="1" applyProtection="1">
      <protection hidden="1"/>
    </xf>
    <xf numFmtId="3" fontId="83" fillId="0" borderId="0" xfId="10" applyNumberFormat="1" applyFont="1" applyAlignment="1" applyProtection="1">
      <alignment horizontal="right"/>
      <protection hidden="1"/>
    </xf>
    <xf numFmtId="3" fontId="79" fillId="0" borderId="15" xfId="10" applyNumberFormat="1" applyFont="1" applyBorder="1" applyAlignment="1" applyProtection="1">
      <alignment vertical="top"/>
      <protection hidden="1"/>
    </xf>
    <xf numFmtId="171" fontId="79" fillId="0" borderId="15" xfId="10" applyNumberFormat="1" applyFont="1" applyBorder="1" applyProtection="1">
      <protection hidden="1"/>
    </xf>
    <xf numFmtId="3" fontId="16" fillId="0" borderId="0" xfId="3" applyNumberFormat="1" applyFont="1"/>
    <xf numFmtId="0" fontId="84" fillId="0" borderId="15" xfId="10" applyFont="1" applyBorder="1" applyAlignment="1">
      <alignment horizontal="left" indent="1"/>
    </xf>
    <xf numFmtId="166" fontId="85" fillId="0" borderId="15" xfId="10" applyNumberFormat="1" applyFont="1" applyBorder="1" applyAlignment="1" applyProtection="1">
      <alignment vertical="center"/>
      <protection hidden="1"/>
    </xf>
    <xf numFmtId="0" fontId="16" fillId="0" borderId="14" xfId="10" applyFont="1" applyBorder="1"/>
    <xf numFmtId="172" fontId="16" fillId="0" borderId="0" xfId="3" applyNumberFormat="1" applyFont="1" applyProtection="1">
      <protection hidden="1"/>
    </xf>
    <xf numFmtId="0" fontId="16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86" fillId="0" borderId="0" xfId="3" applyFont="1" applyAlignment="1">
      <alignment horizontal="center"/>
    </xf>
    <xf numFmtId="0" fontId="87" fillId="0" borderId="0" xfId="3" applyFont="1"/>
    <xf numFmtId="0" fontId="21" fillId="0" borderId="0" xfId="3" applyFont="1"/>
    <xf numFmtId="0" fontId="16" fillId="0" borderId="12" xfId="3" applyFont="1" applyBorder="1"/>
    <xf numFmtId="170" fontId="84" fillId="0" borderId="0" xfId="3" applyNumberFormat="1" applyFont="1" applyAlignment="1">
      <alignment horizontal="right"/>
    </xf>
    <xf numFmtId="170" fontId="77" fillId="0" borderId="0" xfId="10" applyNumberFormat="1" applyFont="1" applyAlignment="1">
      <alignment horizontal="right"/>
    </xf>
    <xf numFmtId="170" fontId="87" fillId="0" borderId="26" xfId="3" applyNumberFormat="1" applyFont="1" applyBorder="1" applyAlignment="1">
      <alignment horizontal="center" vertical="center"/>
    </xf>
    <xf numFmtId="0" fontId="21" fillId="0" borderId="27" xfId="3" applyFont="1" applyBorder="1" applyAlignment="1">
      <alignment vertical="center"/>
    </xf>
    <xf numFmtId="3" fontId="89" fillId="0" borderId="30" xfId="3" applyNumberFormat="1" applyFont="1" applyBorder="1" applyAlignment="1" applyProtection="1">
      <alignment vertical="center"/>
      <protection hidden="1"/>
    </xf>
    <xf numFmtId="0" fontId="16" fillId="0" borderId="31" xfId="3" applyFont="1" applyBorder="1" applyAlignment="1">
      <alignment vertical="center"/>
    </xf>
    <xf numFmtId="0" fontId="16" fillId="0" borderId="32" xfId="3" applyFont="1" applyBorder="1" applyAlignment="1">
      <alignment vertical="center"/>
    </xf>
    <xf numFmtId="0" fontId="16" fillId="0" borderId="33" xfId="3" applyFont="1" applyBorder="1" applyAlignment="1">
      <alignment vertical="center"/>
    </xf>
    <xf numFmtId="3" fontId="90" fillId="0" borderId="34" xfId="3" applyNumberFormat="1" applyFont="1" applyBorder="1" applyAlignment="1" applyProtection="1">
      <alignment vertical="center"/>
      <protection hidden="1"/>
    </xf>
    <xf numFmtId="0" fontId="10" fillId="0" borderId="31" xfId="3" applyFont="1" applyBorder="1" applyAlignment="1">
      <alignment vertical="center"/>
    </xf>
    <xf numFmtId="3" fontId="91" fillId="0" borderId="34" xfId="3" applyNumberFormat="1" applyFont="1" applyBorder="1" applyAlignment="1" applyProtection="1">
      <alignment horizontal="right" vertical="center"/>
      <protection hidden="1"/>
    </xf>
    <xf numFmtId="0" fontId="92" fillId="0" borderId="0" xfId="3" applyFont="1"/>
    <xf numFmtId="0" fontId="21" fillId="0" borderId="31" xfId="3" applyFont="1" applyBorder="1" applyAlignment="1">
      <alignment vertical="center"/>
    </xf>
    <xf numFmtId="0" fontId="21" fillId="0" borderId="32" xfId="3" applyFont="1" applyBorder="1" applyAlignment="1">
      <alignment vertical="center"/>
    </xf>
    <xf numFmtId="0" fontId="21" fillId="0" borderId="33" xfId="3" applyFont="1" applyBorder="1" applyAlignment="1">
      <alignment vertical="center"/>
    </xf>
    <xf numFmtId="3" fontId="89" fillId="0" borderId="34" xfId="3" applyNumberFormat="1" applyFont="1" applyBorder="1" applyAlignment="1" applyProtection="1">
      <alignment vertical="center"/>
      <protection hidden="1"/>
    </xf>
    <xf numFmtId="171" fontId="91" fillId="0" borderId="34" xfId="3" applyNumberFormat="1" applyFont="1" applyBorder="1" applyAlignment="1" applyProtection="1">
      <alignment horizontal="right" vertical="center"/>
      <protection hidden="1"/>
    </xf>
    <xf numFmtId="166" fontId="90" fillId="0" borderId="34" xfId="3" applyNumberFormat="1" applyFont="1" applyBorder="1" applyAlignment="1" applyProtection="1">
      <alignment vertical="center"/>
      <protection hidden="1"/>
    </xf>
    <xf numFmtId="0" fontId="84" fillId="0" borderId="31" xfId="3" applyFont="1" applyBorder="1" applyAlignment="1">
      <alignment vertical="center"/>
    </xf>
    <xf numFmtId="0" fontId="84" fillId="0" borderId="32" xfId="3" applyFont="1" applyBorder="1" applyAlignment="1">
      <alignment vertical="center"/>
    </xf>
    <xf numFmtId="0" fontId="84" fillId="0" borderId="33" xfId="3" applyFont="1" applyBorder="1" applyAlignment="1">
      <alignment vertical="center"/>
    </xf>
    <xf numFmtId="0" fontId="84" fillId="0" borderId="0" xfId="3" applyFont="1"/>
    <xf numFmtId="0" fontId="10" fillId="0" borderId="31" xfId="3" applyFont="1" applyBorder="1" applyAlignment="1">
      <alignment horizontal="left" vertical="center"/>
    </xf>
    <xf numFmtId="171" fontId="89" fillId="0" borderId="34" xfId="3" applyNumberFormat="1" applyFont="1" applyBorder="1" applyAlignment="1" applyProtection="1">
      <alignment vertical="center"/>
      <protection hidden="1"/>
    </xf>
    <xf numFmtId="0" fontId="10" fillId="0" borderId="32" xfId="3" applyFont="1" applyBorder="1" applyAlignment="1">
      <alignment vertical="center"/>
    </xf>
    <xf numFmtId="0" fontId="10" fillId="0" borderId="33" xfId="3" applyFont="1" applyBorder="1" applyAlignment="1">
      <alignment vertical="center"/>
    </xf>
    <xf numFmtId="171" fontId="91" fillId="0" borderId="34" xfId="3" applyNumberFormat="1" applyFont="1" applyBorder="1" applyAlignment="1" applyProtection="1">
      <alignment vertical="center"/>
      <protection hidden="1"/>
    </xf>
    <xf numFmtId="171" fontId="93" fillId="0" borderId="34" xfId="3" applyNumberFormat="1" applyFont="1" applyBorder="1" applyAlignment="1" applyProtection="1">
      <alignment vertical="center"/>
      <protection hidden="1"/>
    </xf>
    <xf numFmtId="0" fontId="10" fillId="0" borderId="27" xfId="3" quotePrefix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35" xfId="3" applyFont="1" applyBorder="1" applyAlignment="1">
      <alignment vertical="center"/>
    </xf>
    <xf numFmtId="171" fontId="91" fillId="0" borderId="30" xfId="3" applyNumberFormat="1" applyFont="1" applyBorder="1" applyAlignment="1" applyProtection="1">
      <alignment vertical="center"/>
      <protection hidden="1"/>
    </xf>
    <xf numFmtId="0" fontId="21" fillId="0" borderId="27" xfId="3" quotePrefix="1" applyFont="1" applyBorder="1" applyAlignment="1">
      <alignment vertical="top"/>
    </xf>
    <xf numFmtId="0" fontId="21" fillId="0" borderId="35" xfId="3" applyFont="1" applyBorder="1"/>
    <xf numFmtId="166" fontId="89" fillId="0" borderId="30" xfId="12" applyNumberFormat="1" applyFont="1" applyBorder="1" applyProtection="1">
      <protection hidden="1"/>
    </xf>
    <xf numFmtId="0" fontId="16" fillId="0" borderId="30" xfId="3" applyFont="1" applyBorder="1" applyProtection="1">
      <protection hidden="1"/>
    </xf>
    <xf numFmtId="170" fontId="89" fillId="0" borderId="30" xfId="3" applyNumberFormat="1" applyFont="1" applyBorder="1" applyProtection="1">
      <protection hidden="1"/>
    </xf>
    <xf numFmtId="0" fontId="16" fillId="0" borderId="23" xfId="3" applyFont="1" applyBorder="1"/>
    <xf numFmtId="0" fontId="16" fillId="0" borderId="24" xfId="3" applyFont="1" applyBorder="1"/>
    <xf numFmtId="0" fontId="16" fillId="0" borderId="25" xfId="3" applyFont="1" applyBorder="1"/>
    <xf numFmtId="10" fontId="16" fillId="0" borderId="36" xfId="11" applyNumberFormat="1" applyFont="1" applyBorder="1" applyProtection="1">
      <protection hidden="1"/>
    </xf>
    <xf numFmtId="0" fontId="16" fillId="0" borderId="36" xfId="3" applyFont="1" applyBorder="1" applyProtection="1">
      <protection hidden="1"/>
    </xf>
    <xf numFmtId="0" fontId="84" fillId="0" borderId="0" xfId="3" applyFont="1" applyAlignment="1">
      <alignment horizontal="center"/>
    </xf>
    <xf numFmtId="0" fontId="16" fillId="0" borderId="0" xfId="3" applyFont="1" applyAlignment="1">
      <alignment vertical="center"/>
    </xf>
    <xf numFmtId="170" fontId="16" fillId="0" borderId="0" xfId="3" applyNumberFormat="1" applyFont="1" applyAlignment="1">
      <alignment horizontal="center" vertical="center"/>
    </xf>
    <xf numFmtId="0" fontId="8" fillId="0" borderId="0" xfId="3" applyFont="1"/>
    <xf numFmtId="0" fontId="94" fillId="0" borderId="0" xfId="3" applyFont="1" applyAlignment="1">
      <alignment horizontal="centerContinuous"/>
    </xf>
    <xf numFmtId="170" fontId="77" fillId="0" borderId="0" xfId="3" applyNumberFormat="1" applyFont="1" applyAlignment="1">
      <alignment horizontal="right"/>
    </xf>
    <xf numFmtId="0" fontId="95" fillId="0" borderId="0" xfId="3" applyFont="1" applyAlignment="1">
      <alignment horizontal="center" vertical="center" wrapText="1"/>
    </xf>
    <xf numFmtId="170" fontId="87" fillId="0" borderId="37" xfId="3" applyNumberFormat="1" applyFont="1" applyBorder="1" applyAlignment="1">
      <alignment horizontal="center" vertical="center"/>
    </xf>
    <xf numFmtId="0" fontId="96" fillId="0" borderId="27" xfId="3" applyFont="1" applyBorder="1" applyAlignment="1">
      <alignment vertical="center"/>
    </xf>
    <xf numFmtId="174" fontId="8" fillId="0" borderId="30" xfId="12" applyNumberFormat="1" applyFont="1" applyBorder="1" applyAlignment="1" applyProtection="1">
      <alignment vertical="center"/>
      <protection hidden="1"/>
    </xf>
    <xf numFmtId="0" fontId="97" fillId="0" borderId="31" xfId="3" applyFont="1" applyBorder="1" applyAlignment="1">
      <alignment vertical="center"/>
    </xf>
    <xf numFmtId="0" fontId="97" fillId="0" borderId="0" xfId="3" applyFont="1"/>
    <xf numFmtId="0" fontId="8" fillId="0" borderId="31" xfId="3" quotePrefix="1" applyFont="1" applyBorder="1" applyAlignment="1">
      <alignment horizontal="left" vertical="center"/>
    </xf>
    <xf numFmtId="172" fontId="8" fillId="0" borderId="0" xfId="12" applyNumberFormat="1" applyFont="1"/>
    <xf numFmtId="0" fontId="8" fillId="0" borderId="31" xfId="3" quotePrefix="1" applyFont="1" applyBorder="1" applyAlignment="1">
      <alignment horizontal="justify" vertical="center" wrapText="1"/>
    </xf>
    <xf numFmtId="0" fontId="97" fillId="0" borderId="31" xfId="3" applyFont="1" applyBorder="1" applyAlignment="1">
      <alignment horizontal="left" vertical="center" wrapText="1"/>
    </xf>
    <xf numFmtId="0" fontId="98" fillId="0" borderId="0" xfId="3" applyFont="1"/>
    <xf numFmtId="0" fontId="16" fillId="0" borderId="31" xfId="3" quotePrefix="1" applyFont="1" applyBorder="1" applyAlignment="1">
      <alignment horizontal="left" vertical="center"/>
    </xf>
    <xf numFmtId="0" fontId="16" fillId="0" borderId="31" xfId="3" quotePrefix="1" applyFont="1" applyBorder="1" applyAlignment="1">
      <alignment horizontal="left" vertical="center" wrapText="1"/>
    </xf>
    <xf numFmtId="0" fontId="96" fillId="0" borderId="31" xfId="3" applyFont="1" applyBorder="1" applyAlignment="1">
      <alignment vertical="center"/>
    </xf>
    <xf numFmtId="0" fontId="8" fillId="0" borderId="31" xfId="3" applyFont="1" applyBorder="1" applyAlignment="1">
      <alignment horizontal="left" vertical="center" wrapText="1"/>
    </xf>
    <xf numFmtId="0" fontId="8" fillId="0" borderId="0" xfId="3" applyFont="1" applyAlignment="1">
      <alignment vertical="center"/>
    </xf>
    <xf numFmtId="0" fontId="8" fillId="0" borderId="31" xfId="3" applyFont="1" applyBorder="1" applyAlignment="1">
      <alignment horizontal="left" vertical="center"/>
    </xf>
    <xf numFmtId="0" fontId="8" fillId="0" borderId="31" xfId="3" applyFont="1" applyBorder="1" applyAlignment="1">
      <alignment horizontal="justify" vertical="center" wrapText="1"/>
    </xf>
    <xf numFmtId="0" fontId="8" fillId="0" borderId="31" xfId="3" applyFont="1" applyBorder="1" applyAlignment="1">
      <alignment vertical="center"/>
    </xf>
    <xf numFmtId="0" fontId="97" fillId="0" borderId="31" xfId="3" applyFont="1" applyBorder="1" applyAlignment="1">
      <alignment horizontal="left" vertical="center"/>
    </xf>
    <xf numFmtId="0" fontId="10" fillId="0" borderId="23" xfId="3" applyFont="1" applyBorder="1" applyAlignment="1">
      <alignment vertical="center"/>
    </xf>
    <xf numFmtId="166" fontId="92" fillId="0" borderId="0" xfId="3" applyNumberFormat="1" applyFont="1"/>
    <xf numFmtId="0" fontId="96" fillId="0" borderId="0" xfId="3" applyFont="1"/>
    <xf numFmtId="172" fontId="96" fillId="0" borderId="0" xfId="12" applyNumberFormat="1" applyFont="1" applyBorder="1" applyProtection="1">
      <protection hidden="1"/>
    </xf>
    <xf numFmtId="166" fontId="8" fillId="0" borderId="0" xfId="12" applyNumberFormat="1" applyFont="1"/>
    <xf numFmtId="0" fontId="100" fillId="0" borderId="0" xfId="13" applyFont="1" applyAlignment="1">
      <alignment horizontal="left"/>
    </xf>
    <xf numFmtId="0" fontId="1" fillId="0" borderId="0" xfId="13" applyFont="1"/>
    <xf numFmtId="175" fontId="1" fillId="0" borderId="0" xfId="14" applyNumberFormat="1" applyFont="1"/>
    <xf numFmtId="0" fontId="101" fillId="0" borderId="0" xfId="13" applyFont="1" applyAlignment="1">
      <alignment horizontal="center"/>
    </xf>
    <xf numFmtId="0" fontId="102" fillId="0" borderId="0" xfId="13" applyFont="1" applyAlignment="1">
      <alignment vertical="center"/>
    </xf>
    <xf numFmtId="0" fontId="100" fillId="0" borderId="0" xfId="13" applyFont="1" applyAlignment="1">
      <alignment horizontal="center"/>
    </xf>
    <xf numFmtId="0" fontId="100" fillId="7" borderId="0" xfId="13" applyFont="1" applyFill="1"/>
    <xf numFmtId="0" fontId="100" fillId="0" borderId="0" xfId="13" applyFont="1"/>
    <xf numFmtId="175" fontId="101" fillId="8" borderId="0" xfId="14" applyNumberFormat="1" applyFont="1" applyFill="1" applyAlignment="1">
      <alignment horizontal="centerContinuous"/>
    </xf>
    <xf numFmtId="0" fontId="1" fillId="8" borderId="0" xfId="13" applyFont="1" applyFill="1" applyAlignment="1">
      <alignment horizontal="centerContinuous"/>
    </xf>
    <xf numFmtId="175" fontId="1" fillId="0" borderId="0" xfId="14" applyNumberFormat="1" applyFont="1" applyAlignment="1">
      <alignment horizontal="centerContinuous"/>
    </xf>
    <xf numFmtId="0" fontId="101" fillId="0" borderId="38" xfId="13" applyFont="1" applyBorder="1" applyAlignment="1">
      <alignment horizontal="center" vertical="top"/>
    </xf>
    <xf numFmtId="0" fontId="78" fillId="0" borderId="38" xfId="13" applyFont="1" applyBorder="1" applyAlignment="1">
      <alignment vertical="top"/>
    </xf>
    <xf numFmtId="0" fontId="78" fillId="0" borderId="38" xfId="13" applyFont="1" applyBorder="1" applyAlignment="1">
      <alignment horizontal="center" vertical="top" wrapText="1"/>
    </xf>
    <xf numFmtId="16" fontId="1" fillId="9" borderId="38" xfId="13" applyNumberFormat="1" applyFont="1" applyFill="1" applyBorder="1" applyAlignment="1">
      <alignment horizontal="centerContinuous" vertical="center"/>
    </xf>
    <xf numFmtId="175" fontId="78" fillId="0" borderId="38" xfId="14" applyNumberFormat="1" applyFont="1" applyBorder="1" applyAlignment="1">
      <alignment horizontal="center" vertical="center"/>
    </xf>
    <xf numFmtId="0" fontId="1" fillId="0" borderId="0" xfId="13" applyFont="1" applyAlignment="1">
      <alignment vertical="top"/>
    </xf>
    <xf numFmtId="0" fontId="100" fillId="0" borderId="39" xfId="13" applyFont="1" applyBorder="1" applyAlignment="1">
      <alignment horizontal="center"/>
    </xf>
    <xf numFmtId="0" fontId="100" fillId="0" borderId="38" xfId="13" applyFont="1" applyBorder="1"/>
    <xf numFmtId="0" fontId="78" fillId="0" borderId="38" xfId="13" applyFont="1" applyBorder="1" applyAlignment="1">
      <alignment vertical="top" wrapText="1"/>
    </xf>
    <xf numFmtId="0" fontId="1" fillId="0" borderId="38" xfId="13" applyFont="1" applyBorder="1" applyAlignment="1">
      <alignment horizontal="center" vertical="top" wrapText="1"/>
    </xf>
    <xf numFmtId="175" fontId="78" fillId="0" borderId="38" xfId="14" applyNumberFormat="1" applyFont="1" applyBorder="1" applyAlignment="1">
      <alignment horizontal="center" vertical="top"/>
    </xf>
    <xf numFmtId="0" fontId="1" fillId="0" borderId="40" xfId="13" applyFont="1" applyBorder="1" applyAlignment="1">
      <alignment horizontal="center"/>
    </xf>
    <xf numFmtId="0" fontId="2" fillId="0" borderId="40" xfId="13" applyFont="1" applyBorder="1"/>
    <xf numFmtId="0" fontId="1" fillId="0" borderId="40" xfId="13" applyFont="1" applyBorder="1"/>
    <xf numFmtId="0" fontId="1" fillId="0" borderId="40" xfId="13" applyFont="1" applyBorder="1" applyAlignment="1">
      <alignment horizontal="left"/>
    </xf>
    <xf numFmtId="3" fontId="1" fillId="0" borderId="40" xfId="13" quotePrefix="1" applyNumberFormat="1" applyFont="1" applyBorder="1"/>
    <xf numFmtId="3" fontId="1" fillId="0" borderId="40" xfId="13" applyNumberFormat="1" applyFont="1" applyBorder="1"/>
    <xf numFmtId="175" fontId="1" fillId="0" borderId="40" xfId="14" applyNumberFormat="1" applyFont="1" applyBorder="1"/>
    <xf numFmtId="0" fontId="1" fillId="0" borderId="41" xfId="13" applyFont="1" applyBorder="1" applyAlignment="1">
      <alignment horizontal="center"/>
    </xf>
    <xf numFmtId="0" fontId="1" fillId="0" borderId="42" xfId="13" applyFont="1" applyBorder="1"/>
    <xf numFmtId="2" fontId="1" fillId="0" borderId="43" xfId="13" applyNumberFormat="1" applyFont="1" applyBorder="1"/>
    <xf numFmtId="3" fontId="2" fillId="0" borderId="40" xfId="13" applyNumberFormat="1" applyFont="1" applyBorder="1" applyAlignment="1">
      <alignment horizontal="left"/>
    </xf>
    <xf numFmtId="0" fontId="1" fillId="0" borderId="44" xfId="13" applyFont="1" applyBorder="1"/>
    <xf numFmtId="0" fontId="1" fillId="0" borderId="42" xfId="13" applyFont="1" applyBorder="1" applyAlignment="1">
      <alignment horizontal="left"/>
    </xf>
    <xf numFmtId="0" fontId="1" fillId="0" borderId="45" xfId="13" applyFont="1" applyBorder="1" applyAlignment="1">
      <alignment horizontal="center"/>
    </xf>
    <xf numFmtId="2" fontId="1" fillId="0" borderId="42" xfId="13" applyNumberFormat="1" applyFont="1" applyBorder="1"/>
    <xf numFmtId="3" fontId="2" fillId="0" borderId="42" xfId="13" applyNumberFormat="1" applyFont="1" applyBorder="1" applyAlignment="1">
      <alignment horizontal="left"/>
    </xf>
    <xf numFmtId="0" fontId="1" fillId="0" borderId="46" xfId="13" applyFont="1" applyBorder="1" applyAlignment="1">
      <alignment horizontal="center"/>
    </xf>
    <xf numFmtId="0" fontId="1" fillId="0" borderId="46" xfId="13" applyFont="1" applyBorder="1"/>
    <xf numFmtId="2" fontId="1" fillId="0" borderId="47" xfId="13" applyNumberFormat="1" applyFont="1" applyBorder="1"/>
    <xf numFmtId="3" fontId="2" fillId="0" borderId="44" xfId="13" quotePrefix="1" applyNumberFormat="1" applyFont="1" applyBorder="1" applyAlignment="1">
      <alignment horizontal="left"/>
    </xf>
    <xf numFmtId="3" fontId="1" fillId="0" borderId="46" xfId="13" quotePrefix="1" applyNumberFormat="1" applyFont="1" applyBorder="1"/>
    <xf numFmtId="175" fontId="1" fillId="0" borderId="46" xfId="14" applyNumberFormat="1" applyFont="1" applyBorder="1"/>
    <xf numFmtId="2" fontId="103" fillId="0" borderId="42" xfId="13" applyNumberFormat="1" applyFont="1" applyBorder="1"/>
    <xf numFmtId="3" fontId="1" fillId="0" borderId="42" xfId="13" applyNumberFormat="1" applyFont="1" applyBorder="1"/>
    <xf numFmtId="3" fontId="1" fillId="0" borderId="42" xfId="13" quotePrefix="1" applyNumberFormat="1" applyFont="1" applyBorder="1"/>
    <xf numFmtId="0" fontId="1" fillId="0" borderId="42" xfId="13" applyFont="1" applyBorder="1" applyAlignment="1">
      <alignment horizontal="center"/>
    </xf>
    <xf numFmtId="2" fontId="1" fillId="0" borderId="40" xfId="13" applyNumberFormat="1" applyFont="1" applyBorder="1"/>
    <xf numFmtId="0" fontId="1" fillId="0" borderId="44" xfId="13" applyFont="1" applyBorder="1" applyAlignment="1">
      <alignment horizontal="center"/>
    </xf>
    <xf numFmtId="2" fontId="1" fillId="0" borderId="48" xfId="13" applyNumberFormat="1" applyFont="1" applyBorder="1"/>
    <xf numFmtId="3" fontId="1" fillId="0" borderId="44" xfId="13" quotePrefix="1" applyNumberFormat="1" applyFont="1" applyBorder="1"/>
    <xf numFmtId="175" fontId="1" fillId="0" borderId="48" xfId="14" applyNumberFormat="1" applyFont="1" applyBorder="1"/>
    <xf numFmtId="0" fontId="2" fillId="0" borderId="44" xfId="13" quotePrefix="1" applyFont="1" applyBorder="1" applyAlignment="1">
      <alignment horizontal="left"/>
    </xf>
    <xf numFmtId="175" fontId="1" fillId="0" borderId="0" xfId="13" applyNumberFormat="1" applyFont="1"/>
    <xf numFmtId="2" fontId="2" fillId="0" borderId="42" xfId="13" applyNumberFormat="1" applyFont="1" applyBorder="1"/>
    <xf numFmtId="0" fontId="1" fillId="0" borderId="48" xfId="13" applyFont="1" applyBorder="1" applyAlignment="1">
      <alignment horizontal="center"/>
    </xf>
    <xf numFmtId="2" fontId="2" fillId="0" borderId="44" xfId="13" applyNumberFormat="1" applyFont="1" applyBorder="1"/>
    <xf numFmtId="2" fontId="1" fillId="0" borderId="44" xfId="13" applyNumberFormat="1" applyFont="1" applyBorder="1"/>
    <xf numFmtId="2" fontId="2" fillId="0" borderId="40" xfId="13" applyNumberFormat="1" applyFont="1" applyBorder="1"/>
    <xf numFmtId="3" fontId="2" fillId="0" borderId="40" xfId="13" quotePrefix="1" applyNumberFormat="1" applyFont="1" applyBorder="1" applyAlignment="1">
      <alignment horizontal="left"/>
    </xf>
    <xf numFmtId="2" fontId="2" fillId="0" borderId="49" xfId="13" applyNumberFormat="1" applyFont="1" applyBorder="1"/>
    <xf numFmtId="175" fontId="1" fillId="0" borderId="42" xfId="14" applyNumberFormat="1" applyFont="1" applyBorder="1"/>
    <xf numFmtId="3" fontId="2" fillId="0" borderId="44" xfId="13" applyNumberFormat="1" applyFont="1" applyBorder="1" applyAlignment="1">
      <alignment horizontal="left"/>
    </xf>
    <xf numFmtId="2" fontId="1" fillId="0" borderId="49" xfId="13" applyNumberFormat="1" applyFont="1" applyBorder="1"/>
    <xf numFmtId="3" fontId="2" fillId="0" borderId="49" xfId="13" applyNumberFormat="1" applyFont="1" applyBorder="1" applyAlignment="1">
      <alignment horizontal="left"/>
    </xf>
    <xf numFmtId="0" fontId="2" fillId="0" borderId="48" xfId="13" applyFont="1" applyBorder="1" applyAlignment="1">
      <alignment horizontal="left"/>
    </xf>
    <xf numFmtId="0" fontId="1" fillId="0" borderId="49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46" xfId="13" applyNumberFormat="1" applyFont="1" applyBorder="1"/>
    <xf numFmtId="0" fontId="2" fillId="0" borderId="46" xfId="13" applyFont="1" applyBorder="1" applyAlignment="1">
      <alignment horizontal="left"/>
    </xf>
    <xf numFmtId="0" fontId="2" fillId="0" borderId="44" xfId="13" applyFont="1" applyBorder="1" applyAlignment="1">
      <alignment horizontal="left"/>
    </xf>
    <xf numFmtId="2" fontId="1" fillId="0" borderId="46" xfId="13" applyNumberFormat="1" applyFont="1" applyBorder="1"/>
    <xf numFmtId="3" fontId="1" fillId="0" borderId="44" xfId="13" applyNumberFormat="1" applyFont="1" applyBorder="1"/>
    <xf numFmtId="0" fontId="2" fillId="0" borderId="49" xfId="13" applyFont="1" applyBorder="1" applyAlignment="1">
      <alignment horizontal="left"/>
    </xf>
    <xf numFmtId="0" fontId="1" fillId="0" borderId="47" xfId="13" applyFont="1" applyBorder="1" applyAlignment="1">
      <alignment horizontal="center"/>
    </xf>
    <xf numFmtId="0" fontId="1" fillId="0" borderId="47" xfId="13" applyFont="1" applyBorder="1"/>
    <xf numFmtId="0" fontId="100" fillId="0" borderId="38" xfId="13" applyFont="1" applyBorder="1" applyAlignment="1">
      <alignment horizontal="center"/>
    </xf>
    <xf numFmtId="175" fontId="1" fillId="0" borderId="38" xfId="14" applyNumberFormat="1" applyFont="1" applyBorder="1"/>
    <xf numFmtId="0" fontId="1" fillId="0" borderId="38" xfId="13" applyFont="1" applyBorder="1"/>
    <xf numFmtId="176" fontId="1" fillId="0" borderId="42" xfId="14" applyNumberFormat="1" applyFont="1" applyBorder="1"/>
    <xf numFmtId="0" fontId="1" fillId="0" borderId="46" xfId="13" applyFont="1" applyBorder="1" applyAlignment="1">
      <alignment horizontal="left"/>
    </xf>
    <xf numFmtId="176" fontId="1" fillId="0" borderId="46" xfId="14" applyNumberFormat="1" applyFont="1" applyBorder="1"/>
    <xf numFmtId="0" fontId="2" fillId="0" borderId="40" xfId="13" applyFont="1" applyBorder="1" applyAlignment="1">
      <alignment horizontal="left"/>
    </xf>
    <xf numFmtId="0" fontId="2" fillId="0" borderId="42" xfId="13" applyFont="1" applyBorder="1" applyAlignment="1">
      <alignment horizontal="left"/>
    </xf>
    <xf numFmtId="3" fontId="1" fillId="0" borderId="48" xfId="13" applyNumberFormat="1" applyFont="1" applyBorder="1"/>
    <xf numFmtId="3" fontId="1" fillId="0" borderId="46" xfId="13" applyNumberFormat="1" applyFont="1" applyBorder="1"/>
    <xf numFmtId="175" fontId="1" fillId="0" borderId="44" xfId="14" applyNumberFormat="1" applyFont="1" applyBorder="1"/>
    <xf numFmtId="0" fontId="78" fillId="0" borderId="38" xfId="13" applyFont="1" applyBorder="1" applyAlignment="1">
      <alignment horizontal="center"/>
    </xf>
    <xf numFmtId="0" fontId="78" fillId="0" borderId="38" xfId="13" applyFont="1" applyBorder="1"/>
    <xf numFmtId="0" fontId="101" fillId="0" borderId="42" xfId="13" applyFont="1" applyBorder="1" applyAlignment="1">
      <alignment horizontal="center"/>
    </xf>
    <xf numFmtId="0" fontId="1" fillId="0" borderId="42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40" xfId="13" applyFont="1" applyBorder="1" applyAlignment="1">
      <alignment horizontal="left" vertical="center"/>
    </xf>
    <xf numFmtId="0" fontId="1" fillId="0" borderId="40" xfId="13" applyFont="1" applyBorder="1" applyAlignment="1">
      <alignment vertical="center"/>
    </xf>
    <xf numFmtId="0" fontId="1" fillId="0" borderId="42" xfId="13" applyFont="1" applyBorder="1" applyAlignment="1">
      <alignment vertical="center"/>
    </xf>
    <xf numFmtId="0" fontId="101" fillId="0" borderId="46" xfId="13" applyFont="1" applyBorder="1" applyAlignment="1">
      <alignment horizontal="center"/>
    </xf>
    <xf numFmtId="0" fontId="1" fillId="0" borderId="46" xfId="13" applyFont="1" applyBorder="1" applyAlignment="1">
      <alignment vertical="center"/>
    </xf>
    <xf numFmtId="0" fontId="1" fillId="0" borderId="46" xfId="13" applyFont="1" applyBorder="1" applyAlignment="1">
      <alignment horizontal="left" vertical="center"/>
    </xf>
    <xf numFmtId="0" fontId="101" fillId="0" borderId="48" xfId="13" applyFont="1" applyBorder="1" applyAlignment="1">
      <alignment horizontal="center"/>
    </xf>
    <xf numFmtId="0" fontId="1" fillId="0" borderId="48" xfId="13" applyFont="1" applyBorder="1"/>
    <xf numFmtId="175" fontId="1" fillId="0" borderId="46" xfId="14" applyNumberFormat="1" applyFont="1" applyFill="1" applyBorder="1"/>
    <xf numFmtId="175" fontId="1" fillId="0" borderId="40" xfId="14" applyNumberFormat="1" applyFont="1" applyFill="1" applyBorder="1"/>
    <xf numFmtId="0" fontId="101" fillId="0" borderId="44" xfId="13" applyFont="1" applyBorder="1" applyAlignment="1">
      <alignment horizontal="center"/>
    </xf>
    <xf numFmtId="0" fontId="2" fillId="0" borderId="48" xfId="13" applyFont="1" applyBorder="1"/>
    <xf numFmtId="0" fontId="1" fillId="0" borderId="44" xfId="13" applyFont="1" applyBorder="1" applyAlignment="1">
      <alignment horizontal="left" vertical="center"/>
    </xf>
    <xf numFmtId="175" fontId="1" fillId="0" borderId="42" xfId="14" applyNumberFormat="1" applyFont="1" applyFill="1" applyBorder="1"/>
    <xf numFmtId="0" fontId="101" fillId="0" borderId="5" xfId="13" applyFont="1" applyBorder="1" applyAlignment="1">
      <alignment horizontal="center"/>
    </xf>
    <xf numFmtId="0" fontId="1" fillId="0" borderId="47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16" fontId="1" fillId="9" borderId="38" xfId="13" applyNumberFormat="1" applyFont="1" applyFill="1" applyBorder="1" applyAlignment="1">
      <alignment horizontal="centerContinuous"/>
    </xf>
    <xf numFmtId="0" fontId="2" fillId="0" borderId="47" xfId="13" applyFont="1" applyBorder="1" applyAlignment="1">
      <alignment horizontal="center"/>
    </xf>
    <xf numFmtId="0" fontId="2" fillId="0" borderId="47" xfId="13" applyFont="1" applyBorder="1"/>
    <xf numFmtId="0" fontId="1" fillId="0" borderId="47" xfId="13" applyFont="1" applyBorder="1" applyAlignment="1">
      <alignment horizontal="left"/>
    </xf>
    <xf numFmtId="3" fontId="1" fillId="0" borderId="50" xfId="13" applyNumberFormat="1" applyFont="1" applyBorder="1"/>
    <xf numFmtId="3" fontId="1" fillId="0" borderId="47" xfId="13" applyNumberFormat="1" applyFont="1" applyBorder="1"/>
    <xf numFmtId="0" fontId="2" fillId="0" borderId="46" xfId="13" applyFont="1" applyBorder="1" applyAlignment="1">
      <alignment horizontal="center"/>
    </xf>
    <xf numFmtId="0" fontId="2" fillId="0" borderId="46" xfId="13" applyFont="1" applyBorder="1"/>
    <xf numFmtId="3" fontId="1" fillId="0" borderId="51" xfId="13" applyNumberFormat="1" applyFont="1" applyBorder="1"/>
    <xf numFmtId="0" fontId="1" fillId="0" borderId="44" xfId="13" applyFont="1" applyBorder="1" applyAlignment="1">
      <alignment horizontal="left"/>
    </xf>
    <xf numFmtId="0" fontId="2" fillId="0" borderId="42" xfId="13" applyFont="1" applyBorder="1" applyAlignment="1">
      <alignment horizontal="center"/>
    </xf>
    <xf numFmtId="0" fontId="2" fillId="0" borderId="42" xfId="13" applyFont="1" applyBorder="1"/>
    <xf numFmtId="0" fontId="1" fillId="0" borderId="43" xfId="13" applyFont="1" applyBorder="1"/>
    <xf numFmtId="0" fontId="1" fillId="0" borderId="52" xfId="13" applyFont="1" applyBorder="1"/>
    <xf numFmtId="0" fontId="101" fillId="0" borderId="42" xfId="13" applyFont="1" applyBorder="1"/>
    <xf numFmtId="0" fontId="101" fillId="0" borderId="42" xfId="13" applyFont="1" applyBorder="1" applyAlignment="1">
      <alignment horizontal="left"/>
    </xf>
    <xf numFmtId="0" fontId="104" fillId="0" borderId="42" xfId="13" applyFont="1" applyBorder="1"/>
    <xf numFmtId="0" fontId="101" fillId="0" borderId="53" xfId="13" applyFont="1" applyBorder="1" applyAlignment="1">
      <alignment horizontal="center"/>
    </xf>
    <xf numFmtId="171" fontId="105" fillId="0" borderId="34" xfId="12" applyNumberFormat="1" applyFont="1" applyBorder="1" applyAlignment="1" applyProtection="1">
      <alignment vertical="center"/>
      <protection hidden="1"/>
    </xf>
    <xf numFmtId="171" fontId="9" fillId="0" borderId="34" xfId="12" applyNumberFormat="1" applyFont="1" applyBorder="1" applyAlignment="1" applyProtection="1">
      <alignment vertical="center"/>
      <protection hidden="1"/>
    </xf>
    <xf numFmtId="171" fontId="105" fillId="0" borderId="34" xfId="12" applyNumberFormat="1" applyFont="1" applyBorder="1" applyAlignment="1" applyProtection="1">
      <alignment horizontal="right" vertical="center"/>
      <protection hidden="1"/>
    </xf>
    <xf numFmtId="171" fontId="44" fillId="0" borderId="34" xfId="12" applyNumberFormat="1" applyFont="1" applyBorder="1" applyAlignment="1" applyProtection="1">
      <alignment vertical="center"/>
      <protection hidden="1"/>
    </xf>
    <xf numFmtId="171" fontId="91" fillId="0" borderId="34" xfId="12" applyNumberFormat="1" applyFont="1" applyBorder="1" applyAlignment="1" applyProtection="1">
      <alignment vertical="center"/>
      <protection hidden="1"/>
    </xf>
    <xf numFmtId="171" fontId="105" fillId="0" borderId="34" xfId="12" applyNumberFormat="1" applyFont="1" applyFill="1" applyBorder="1" applyAlignment="1" applyProtection="1">
      <alignment vertical="center"/>
      <protection hidden="1"/>
    </xf>
    <xf numFmtId="171" fontId="91" fillId="0" borderId="36" xfId="12" applyNumberFormat="1" applyFont="1" applyBorder="1" applyAlignment="1" applyProtection="1">
      <alignment vertical="center"/>
      <protection hidden="1"/>
    </xf>
    <xf numFmtId="2" fontId="103" fillId="0" borderId="40" xfId="13" applyNumberFormat="1" applyFont="1" applyBorder="1"/>
    <xf numFmtId="2" fontId="103" fillId="0" borderId="48" xfId="13" applyNumberFormat="1" applyFont="1" applyBorder="1"/>
    <xf numFmtId="2" fontId="2" fillId="0" borderId="48" xfId="13" applyNumberFormat="1" applyFont="1" applyBorder="1"/>
    <xf numFmtId="2" fontId="2" fillId="0" borderId="47" xfId="13" applyNumberFormat="1" applyFont="1" applyBorder="1"/>
    <xf numFmtId="0" fontId="100" fillId="0" borderId="48" xfId="13" applyFont="1" applyBorder="1"/>
    <xf numFmtId="0" fontId="2" fillId="0" borderId="44" xfId="13" applyFont="1" applyBorder="1"/>
    <xf numFmtId="0" fontId="2" fillId="0" borderId="0" xfId="13" applyFont="1" applyAlignment="1">
      <alignment horizontal="left"/>
    </xf>
    <xf numFmtId="0" fontId="2" fillId="0" borderId="43" xfId="13" applyFont="1" applyBorder="1" applyAlignment="1">
      <alignment horizontal="left"/>
    </xf>
    <xf numFmtId="0" fontId="2" fillId="0" borderId="54" xfId="13" applyFont="1" applyBorder="1"/>
    <xf numFmtId="166" fontId="10" fillId="0" borderId="4" xfId="4" applyNumberFormat="1" applyFont="1" applyBorder="1" applyAlignment="1" applyProtection="1">
      <alignment vertical="top" wrapText="1"/>
      <protection locked="0"/>
    </xf>
    <xf numFmtId="166" fontId="13" fillId="0" borderId="4" xfId="4" applyNumberFormat="1" applyFont="1" applyBorder="1" applyAlignment="1" applyProtection="1">
      <alignment vertical="top" wrapText="1"/>
      <protection locked="0"/>
    </xf>
    <xf numFmtId="177" fontId="9" fillId="0" borderId="0" xfId="2" applyNumberFormat="1" applyFont="1" applyProtection="1">
      <protection locked="0"/>
    </xf>
    <xf numFmtId="3" fontId="9" fillId="0" borderId="6" xfId="2" applyNumberFormat="1" applyFont="1" applyBorder="1" applyProtection="1">
      <protection locked="0"/>
    </xf>
    <xf numFmtId="0" fontId="0" fillId="10" borderId="0" xfId="0" applyFill="1"/>
    <xf numFmtId="0" fontId="0" fillId="10" borderId="0" xfId="0" applyFill="1" applyAlignment="1">
      <alignment horizontal="right"/>
    </xf>
    <xf numFmtId="0" fontId="0" fillId="0" borderId="0" xfId="0" quotePrefix="1"/>
    <xf numFmtId="166" fontId="0" fillId="0" borderId="0" xfId="15" applyNumberFormat="1" applyFont="1"/>
    <xf numFmtId="166" fontId="0" fillId="6" borderId="0" xfId="15" applyNumberFormat="1" applyFont="1" applyFill="1"/>
    <xf numFmtId="166" fontId="106" fillId="0" borderId="0" xfId="15" applyNumberFormat="1" applyFont="1"/>
    <xf numFmtId="166" fontId="0" fillId="0" borderId="0" xfId="0" applyNumberFormat="1"/>
    <xf numFmtId="0" fontId="0" fillId="11" borderId="0" xfId="0" applyFill="1"/>
    <xf numFmtId="166" fontId="0" fillId="11" borderId="0" xfId="0" applyNumberFormat="1" applyFill="1"/>
    <xf numFmtId="0" fontId="107" fillId="0" borderId="0" xfId="0" applyFont="1"/>
    <xf numFmtId="166" fontId="107" fillId="0" borderId="0" xfId="15" applyNumberFormat="1" applyFont="1" applyFill="1"/>
    <xf numFmtId="0" fontId="0" fillId="12" borderId="0" xfId="0" applyFill="1"/>
    <xf numFmtId="0" fontId="0" fillId="12" borderId="0" xfId="0" applyFill="1" applyAlignment="1">
      <alignment horizontal="right"/>
    </xf>
    <xf numFmtId="11" fontId="0" fillId="0" borderId="0" xfId="0" applyNumberFormat="1"/>
    <xf numFmtId="43" fontId="108" fillId="0" borderId="0" xfId="15" applyFont="1" applyProtection="1">
      <protection hidden="1"/>
    </xf>
    <xf numFmtId="166" fontId="96" fillId="0" borderId="0" xfId="15" applyNumberFormat="1" applyFont="1" applyBorder="1" applyProtection="1">
      <protection hidden="1"/>
    </xf>
    <xf numFmtId="3" fontId="1" fillId="0" borderId="46" xfId="14" applyNumberFormat="1" applyFont="1" applyBorder="1"/>
    <xf numFmtId="3" fontId="1" fillId="0" borderId="40" xfId="14" applyNumberFormat="1" applyFont="1" applyBorder="1"/>
    <xf numFmtId="3" fontId="1" fillId="0" borderId="42" xfId="14" applyNumberFormat="1" applyFont="1" applyBorder="1"/>
    <xf numFmtId="3" fontId="1" fillId="0" borderId="42" xfId="14" applyNumberFormat="1" applyFont="1" applyFill="1" applyBorder="1"/>
    <xf numFmtId="0" fontId="109" fillId="11" borderId="0" xfId="0" applyFont="1" applyFill="1"/>
    <xf numFmtId="166" fontId="109" fillId="11" borderId="0" xfId="15" applyNumberFormat="1" applyFont="1" applyFill="1"/>
    <xf numFmtId="0" fontId="109" fillId="0" borderId="0" xfId="0" applyFont="1"/>
    <xf numFmtId="3" fontId="20" fillId="0" borderId="4" xfId="0" applyNumberFormat="1" applyFont="1" applyBorder="1" applyProtection="1">
      <protection locked="0"/>
    </xf>
    <xf numFmtId="166" fontId="20" fillId="0" borderId="2" xfId="0" applyNumberFormat="1" applyFont="1" applyBorder="1" applyAlignment="1" applyProtection="1">
      <alignment horizontal="right"/>
      <protection locked="0"/>
    </xf>
    <xf numFmtId="166" fontId="11" fillId="0" borderId="4" xfId="5" applyNumberFormat="1" applyFont="1" applyFill="1" applyBorder="1" applyAlignment="1" applyProtection="1">
      <alignment horizontal="left" vertical="center"/>
      <protection locked="0"/>
    </xf>
    <xf numFmtId="166" fontId="20" fillId="0" borderId="2" xfId="0" applyNumberFormat="1" applyFont="1" applyBorder="1" applyAlignment="1" applyProtection="1">
      <alignment horizontal="right" vertical="center"/>
      <protection locked="0"/>
    </xf>
    <xf numFmtId="166" fontId="20" fillId="0" borderId="4" xfId="0" applyNumberFormat="1" applyFont="1" applyBorder="1" applyAlignment="1" applyProtection="1">
      <alignment horizontal="right"/>
      <protection locked="0"/>
    </xf>
    <xf numFmtId="0" fontId="1" fillId="0" borderId="55" xfId="13" applyFont="1" applyBorder="1" applyAlignment="1">
      <alignment horizontal="center"/>
    </xf>
    <xf numFmtId="3" fontId="1" fillId="0" borderId="48" xfId="13" quotePrefix="1" applyNumberFormat="1" applyFont="1" applyBorder="1"/>
    <xf numFmtId="166" fontId="1" fillId="0" borderId="46" xfId="15" applyNumberFormat="1" applyFont="1" applyBorder="1"/>
    <xf numFmtId="166" fontId="1" fillId="0" borderId="42" xfId="15" applyNumberFormat="1" applyFont="1" applyBorder="1"/>
    <xf numFmtId="0" fontId="1" fillId="0" borderId="56" xfId="13" applyFont="1" applyBorder="1" applyAlignment="1">
      <alignment horizontal="center"/>
    </xf>
    <xf numFmtId="2" fontId="1" fillId="0" borderId="56" xfId="13" applyNumberFormat="1" applyFont="1" applyBorder="1"/>
    <xf numFmtId="2" fontId="2" fillId="0" borderId="56" xfId="13" applyNumberFormat="1" applyFont="1" applyBorder="1"/>
    <xf numFmtId="3" fontId="2" fillId="0" borderId="56" xfId="13" applyNumberFormat="1" applyFont="1" applyBorder="1" applyAlignment="1">
      <alignment horizontal="left"/>
    </xf>
    <xf numFmtId="3" fontId="1" fillId="0" borderId="56" xfId="13" quotePrefix="1" applyNumberFormat="1" applyFont="1" applyBorder="1"/>
    <xf numFmtId="175" fontId="1" fillId="0" borderId="56" xfId="14" applyNumberFormat="1" applyFont="1" applyBorder="1"/>
    <xf numFmtId="3" fontId="1" fillId="0" borderId="56" xfId="13" applyNumberFormat="1" applyFont="1" applyBorder="1"/>
    <xf numFmtId="3" fontId="2" fillId="0" borderId="56" xfId="13" quotePrefix="1" applyNumberFormat="1" applyFont="1" applyBorder="1" applyAlignment="1">
      <alignment horizontal="left"/>
    </xf>
    <xf numFmtId="2" fontId="2" fillId="0" borderId="56" xfId="13" quotePrefix="1" applyNumberFormat="1" applyFont="1" applyBorder="1"/>
    <xf numFmtId="0" fontId="2" fillId="0" borderId="56" xfId="13" applyFont="1" applyBorder="1" applyAlignment="1">
      <alignment horizontal="left"/>
    </xf>
    <xf numFmtId="0" fontId="1" fillId="0" borderId="56" xfId="13" applyFont="1" applyBorder="1"/>
    <xf numFmtId="0" fontId="1" fillId="0" borderId="56" xfId="13" applyFont="1" applyBorder="1" applyAlignment="1">
      <alignment horizontal="left"/>
    </xf>
    <xf numFmtId="0" fontId="2" fillId="0" borderId="56" xfId="13" applyFont="1" applyBorder="1"/>
    <xf numFmtId="0" fontId="2" fillId="0" borderId="57" xfId="13" applyFont="1" applyBorder="1"/>
    <xf numFmtId="2" fontId="1" fillId="0" borderId="57" xfId="13" applyNumberFormat="1" applyFont="1" applyBorder="1"/>
    <xf numFmtId="166" fontId="1" fillId="0" borderId="56" xfId="15" applyNumberFormat="1" applyFont="1" applyBorder="1"/>
    <xf numFmtId="0" fontId="101" fillId="0" borderId="56" xfId="13" applyFont="1" applyBorder="1" applyAlignment="1">
      <alignment horizontal="center"/>
    </xf>
    <xf numFmtId="0" fontId="1" fillId="0" borderId="56" xfId="13" applyFont="1" applyBorder="1" applyAlignment="1">
      <alignment horizontal="left" vertical="center"/>
    </xf>
    <xf numFmtId="0" fontId="100" fillId="0" borderId="56" xfId="13" applyFont="1" applyBorder="1" applyAlignment="1">
      <alignment horizontal="center"/>
    </xf>
    <xf numFmtId="0" fontId="100" fillId="0" borderId="56" xfId="13" applyFont="1" applyBorder="1"/>
    <xf numFmtId="0" fontId="101" fillId="0" borderId="56" xfId="13" applyFont="1" applyBorder="1" applyAlignment="1">
      <alignment wrapText="1"/>
    </xf>
    <xf numFmtId="0" fontId="2" fillId="0" borderId="56" xfId="13" applyFont="1" applyBorder="1" applyAlignment="1">
      <alignment horizontal="center"/>
    </xf>
    <xf numFmtId="3" fontId="1" fillId="0" borderId="57" xfId="13" applyNumberFormat="1" applyFont="1" applyBorder="1"/>
    <xf numFmtId="3" fontId="1" fillId="0" borderId="56" xfId="14" applyNumberFormat="1" applyFont="1" applyBorder="1"/>
    <xf numFmtId="0" fontId="1" fillId="0" borderId="58" xfId="13" applyFont="1" applyBorder="1"/>
    <xf numFmtId="0" fontId="101" fillId="0" borderId="59" xfId="13" applyFont="1" applyBorder="1" applyAlignment="1">
      <alignment horizontal="center"/>
    </xf>
    <xf numFmtId="166" fontId="1" fillId="0" borderId="56" xfId="15" quotePrefix="1" applyNumberFormat="1" applyFont="1" applyBorder="1"/>
    <xf numFmtId="3" fontId="1" fillId="0" borderId="42" xfId="15" applyNumberFormat="1" applyFont="1" applyBorder="1"/>
    <xf numFmtId="0" fontId="37" fillId="6" borderId="2" xfId="2" applyFont="1" applyFill="1" applyBorder="1" applyAlignment="1">
      <alignment horizontal="left" vertical="center" wrapText="1" indent="2"/>
    </xf>
    <xf numFmtId="0" fontId="37" fillId="6" borderId="2" xfId="2" applyFont="1" applyFill="1" applyBorder="1" applyAlignment="1">
      <alignment horizontal="left" vertical="center" indent="2"/>
    </xf>
    <xf numFmtId="0" fontId="37" fillId="13" borderId="2" xfId="2" applyFont="1" applyFill="1" applyBorder="1" applyAlignment="1">
      <alignment horizontal="left" vertical="center" wrapText="1" indent="2"/>
    </xf>
    <xf numFmtId="0" fontId="37" fillId="13" borderId="2" xfId="2" applyFont="1" applyFill="1" applyBorder="1" applyAlignment="1">
      <alignment horizontal="left" vertical="center" indent="2"/>
    </xf>
    <xf numFmtId="166" fontId="18" fillId="0" borderId="0" xfId="15" applyNumberFormat="1" applyFont="1"/>
    <xf numFmtId="3" fontId="38" fillId="13" borderId="2" xfId="2" applyNumberFormat="1" applyFont="1" applyFill="1" applyBorder="1" applyProtection="1">
      <protection locked="0"/>
    </xf>
    <xf numFmtId="3" fontId="38" fillId="6" borderId="2" xfId="2" applyNumberFormat="1" applyFont="1" applyFill="1" applyBorder="1" applyProtection="1">
      <protection locked="0"/>
    </xf>
    <xf numFmtId="3" fontId="38" fillId="14" borderId="2" xfId="2" applyNumberFormat="1" applyFont="1" applyFill="1" applyBorder="1" applyProtection="1">
      <protection locked="0"/>
    </xf>
    <xf numFmtId="166" fontId="106" fillId="0" borderId="0" xfId="0" applyNumberFormat="1" applyFont="1"/>
    <xf numFmtId="166" fontId="0" fillId="6" borderId="0" xfId="0" applyNumberFormat="1" applyFill="1"/>
    <xf numFmtId="166" fontId="0" fillId="13" borderId="0" xfId="15" applyNumberFormat="1" applyFont="1" applyFill="1"/>
    <xf numFmtId="0" fontId="0" fillId="13" borderId="0" xfId="0" applyFill="1"/>
    <xf numFmtId="166" fontId="0" fillId="15" borderId="0" xfId="15" applyNumberFormat="1" applyFont="1" applyFill="1"/>
    <xf numFmtId="0" fontId="0" fillId="15" borderId="0" xfId="0" applyFill="1"/>
    <xf numFmtId="3" fontId="110" fillId="6" borderId="2" xfId="2" applyNumberFormat="1" applyFont="1" applyFill="1" applyBorder="1" applyProtection="1">
      <protection locked="0"/>
    </xf>
    <xf numFmtId="0" fontId="111" fillId="0" borderId="2" xfId="2" applyFont="1" applyBorder="1" applyAlignment="1">
      <alignment horizontal="left" vertical="center" wrapText="1" indent="2"/>
    </xf>
    <xf numFmtId="166" fontId="106" fillId="15" borderId="0" xfId="15" applyNumberFormat="1" applyFont="1" applyFill="1"/>
    <xf numFmtId="0" fontId="112" fillId="0" borderId="0" xfId="0" applyFont="1"/>
    <xf numFmtId="3" fontId="38" fillId="16" borderId="2" xfId="2" applyNumberFormat="1" applyFont="1" applyFill="1" applyBorder="1" applyProtection="1">
      <protection locked="0"/>
    </xf>
    <xf numFmtId="3" fontId="0" fillId="0" borderId="0" xfId="0" applyNumberFormat="1"/>
    <xf numFmtId="166" fontId="38" fillId="0" borderId="2" xfId="15" applyNumberFormat="1" applyFont="1" applyBorder="1" applyProtection="1">
      <protection locked="0"/>
    </xf>
    <xf numFmtId="0" fontId="55" fillId="0" borderId="0" xfId="3" applyFont="1" applyAlignment="1">
      <alignment horizontal="center"/>
    </xf>
    <xf numFmtId="0" fontId="56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57" fillId="0" borderId="0" xfId="3" applyFont="1" applyAlignment="1">
      <alignment horizontal="center"/>
    </xf>
    <xf numFmtId="0" fontId="60" fillId="0" borderId="0" xfId="3" applyFont="1" applyAlignment="1">
      <alignment horizontal="center"/>
    </xf>
    <xf numFmtId="0" fontId="64" fillId="0" borderId="0" xfId="3" applyFont="1" applyAlignment="1">
      <alignment horizontal="center"/>
    </xf>
    <xf numFmtId="0" fontId="75" fillId="0" borderId="0" xfId="9" applyFont="1" applyAlignment="1">
      <alignment horizontal="center"/>
    </xf>
    <xf numFmtId="0" fontId="76" fillId="0" borderId="0" xfId="9" applyFont="1" applyAlignment="1">
      <alignment horizontal="center"/>
    </xf>
    <xf numFmtId="0" fontId="16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166" fontId="16" fillId="0" borderId="0" xfId="12" applyNumberFormat="1" applyFont="1" applyAlignment="1">
      <alignment horizontal="center"/>
    </xf>
    <xf numFmtId="0" fontId="88" fillId="0" borderId="0" xfId="3" applyFont="1" applyAlignment="1">
      <alignment horizontal="center"/>
    </xf>
    <xf numFmtId="0" fontId="76" fillId="0" borderId="0" xfId="3" applyFont="1" applyAlignment="1">
      <alignment horizontal="center"/>
    </xf>
    <xf numFmtId="0" fontId="87" fillId="0" borderId="18" xfId="3" applyFont="1" applyBorder="1" applyAlignment="1">
      <alignment horizontal="center" vertical="center" wrapText="1"/>
    </xf>
    <xf numFmtId="0" fontId="87" fillId="0" borderId="19" xfId="3" applyFont="1" applyBorder="1" applyAlignment="1">
      <alignment horizontal="center" vertical="center" wrapText="1"/>
    </xf>
    <xf numFmtId="0" fontId="87" fillId="0" borderId="20" xfId="3" applyFont="1" applyBorder="1" applyAlignment="1">
      <alignment horizontal="center" vertical="center" wrapText="1"/>
    </xf>
    <xf numFmtId="0" fontId="87" fillId="0" borderId="23" xfId="3" applyFont="1" applyBorder="1" applyAlignment="1">
      <alignment horizontal="center" vertical="center" wrapText="1"/>
    </xf>
    <xf numFmtId="0" fontId="87" fillId="0" borderId="24" xfId="3" applyFont="1" applyBorder="1" applyAlignment="1">
      <alignment horizontal="center" vertical="center" wrapText="1"/>
    </xf>
    <xf numFmtId="0" fontId="87" fillId="0" borderId="25" xfId="3" applyFont="1" applyBorder="1" applyAlignment="1">
      <alignment horizontal="center" vertical="center" wrapText="1"/>
    </xf>
    <xf numFmtId="1" fontId="87" fillId="0" borderId="21" xfId="3" applyNumberFormat="1" applyFont="1" applyBorder="1" applyAlignment="1">
      <alignment horizontal="center" vertical="center"/>
    </xf>
    <xf numFmtId="1" fontId="87" fillId="0" borderId="22" xfId="3" applyNumberFormat="1" applyFont="1" applyBorder="1" applyAlignment="1">
      <alignment horizontal="center" vertical="center"/>
    </xf>
    <xf numFmtId="170" fontId="87" fillId="0" borderId="21" xfId="3" applyNumberFormat="1" applyFont="1" applyBorder="1" applyAlignment="1">
      <alignment horizontal="center" vertical="center"/>
    </xf>
    <xf numFmtId="170" fontId="87" fillId="0" borderId="22" xfId="3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10" fillId="0" borderId="32" xfId="3" applyFont="1" applyBorder="1" applyAlignment="1">
      <alignment horizontal="left" vertical="center" wrapText="1"/>
    </xf>
    <xf numFmtId="0" fontId="10" fillId="0" borderId="33" xfId="3" applyFont="1" applyBorder="1" applyAlignment="1">
      <alignment horizontal="left" vertical="center" wrapText="1"/>
    </xf>
    <xf numFmtId="0" fontId="84" fillId="0" borderId="0" xfId="3" applyFont="1" applyAlignment="1">
      <alignment horizontal="right"/>
    </xf>
    <xf numFmtId="0" fontId="21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77" fillId="0" borderId="0" xfId="3" applyFont="1" applyAlignment="1">
      <alignment horizontal="center"/>
    </xf>
    <xf numFmtId="0" fontId="87" fillId="0" borderId="0" xfId="3" applyFont="1" applyAlignment="1">
      <alignment horizontal="center"/>
    </xf>
    <xf numFmtId="0" fontId="87" fillId="0" borderId="26" xfId="3" applyFont="1" applyBorder="1" applyAlignment="1">
      <alignment horizontal="center" vertical="center" wrapText="1"/>
    </xf>
    <xf numFmtId="0" fontId="87" fillId="0" borderId="36" xfId="3" applyFont="1" applyBorder="1" applyAlignment="1">
      <alignment horizontal="center" vertical="center" wrapText="1"/>
    </xf>
    <xf numFmtId="0" fontId="84" fillId="0" borderId="0" xfId="3" applyFont="1" applyAlignment="1">
      <alignment horizontal="center"/>
    </xf>
    <xf numFmtId="170" fontId="21" fillId="0" borderId="0" xfId="3" applyNumberFormat="1" applyFont="1" applyAlignment="1">
      <alignment horizontal="center"/>
    </xf>
  </cellXfs>
  <cellStyles count="17">
    <cellStyle name="Comma" xfId="15" builtinId="3"/>
    <cellStyle name="Comma [0]" xfId="8" builtinId="6"/>
    <cellStyle name="Comma 2" xfId="16" xr:uid="{7826FA0B-BC92-4510-8146-F56FA524B86E}"/>
    <cellStyle name="Comma 3" xfId="6" xr:uid="{C3A77205-A5C9-4872-9270-0CEEC9B5FF61}"/>
    <cellStyle name="Comma 3 2" xfId="14" xr:uid="{4D1411EE-899A-41DC-BCF2-6B364F24FAE7}"/>
    <cellStyle name="Comma 4" xfId="12" xr:uid="{01566CEA-CF34-4801-A2A2-B33D1C67A726}"/>
    <cellStyle name="Comma 5" xfId="5" xr:uid="{05314FF5-117D-4452-AED1-4A0E98BEC189}"/>
    <cellStyle name="Comma 5 2" xfId="4" xr:uid="{2003BB21-2719-4E07-8378-CB3E4D8C7D7C}"/>
    <cellStyle name="Normal" xfId="0" builtinId="0"/>
    <cellStyle name="Normal 2" xfId="2" xr:uid="{854F5DE4-0E03-4F79-8144-8231436D6A61}"/>
    <cellStyle name="Normal 3" xfId="3" xr:uid="{B9B5ACD5-DD3E-4781-A29F-CA74B1256D01}"/>
    <cellStyle name="Normal 4" xfId="13" xr:uid="{51F67859-071D-4307-B994-7A156C6B9057}"/>
    <cellStyle name="Normal_2010_09_BCTC_CTCP" xfId="9" xr:uid="{971D42FF-7A4C-44AB-8A51-2E2471F6221F}"/>
    <cellStyle name="Normal_2010_09_BCTC_CTCP 2" xfId="10" xr:uid="{00B46889-E360-4279-859F-8F6D44CCE9A6}"/>
    <cellStyle name="Percent" xfId="1" builtinId="5"/>
    <cellStyle name="Percent 2" xfId="11" xr:uid="{3A5711EE-0444-4658-BA69-8B17A89D2333}"/>
    <cellStyle name="Percent 2 2" xfId="7" xr:uid="{2C6BB808-8E87-4AC9-B443-5F2DF198AD9F}"/>
  </cellStyles>
  <dxfs count="3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protection locked="1" hidden="0"/>
    </dxf>
    <dxf>
      <border outline="0">
        <top style="thin">
          <color rgb="FF00B0F0"/>
        </top>
      </border>
    </dxf>
    <dxf>
      <border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numFmt numFmtId="177" formatCode="_(* #.##0_);_(* \(#.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541191-D515-48E8-AB7D-EA83AD49111D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D107A8E-6371-4F6A-BD1C-EACE9C2BB51A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7B97A37E-9DC4-4009-B7E9-F26620AB37DB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F1F36060-56A1-441E-85CB-EEE02C2025A7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BBF72425-BEE8-49F3-9839-7E519070AA8F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A068F420-8B5A-460B-8913-9CF89EF4C668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B4439AE4-2DC8-4D54-8345-097B96EECC9E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133350</xdr:colOff>
      <xdr:row>0</xdr:row>
      <xdr:rowOff>161925</xdr:rowOff>
    </xdr:from>
    <xdr:to>
      <xdr:col>10</xdr:col>
      <xdr:colOff>476250</xdr:colOff>
      <xdr:row>4</xdr:row>
      <xdr:rowOff>361950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6C8CA9C-3C55-4D72-9656-8B3685D32932}"/>
            </a:ext>
          </a:extLst>
        </xdr:cNvPr>
        <xdr:cNvSpPr txBox="1">
          <a:spLocks noChangeArrowheads="1"/>
        </xdr:cNvSpPr>
      </xdr:nvSpPr>
      <xdr:spPr bwMode="auto">
        <a:xfrm>
          <a:off x="1962150" y="161925"/>
          <a:ext cx="4391025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vi-VN" sz="1400" b="1" i="0" u="none" strike="noStrike" spc="-20" baseline="0">
              <a:solidFill>
                <a:srgbClr val="000080"/>
              </a:solidFill>
              <a:latin typeface="Arial"/>
              <a:cs typeface="Arial"/>
            </a:rPr>
            <a:t>CÔNG TY CP NHỰA TÁI CHẾ DUY TÂN</a:t>
          </a:r>
          <a:endParaRPr lang="vi-VN" sz="1400" b="0" i="0" u="none" strike="noStrike" spc="-20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Địa chỉ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: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Mã số thuế:   </a:t>
          </a:r>
          <a:endParaRPr lang="en-US" sz="1000" b="0" i="0" u="none" strike="noStrike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 CE"/>
            </a:rPr>
            <a:t>Đ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iện thoại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		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– Fax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: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Website: 		 – Email:  </a:t>
          </a: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</xdr:col>
      <xdr:colOff>9527</xdr:colOff>
      <xdr:row>21</xdr:row>
      <xdr:rowOff>142875</xdr:rowOff>
    </xdr:from>
    <xdr:to>
      <xdr:col>8</xdr:col>
      <xdr:colOff>266701</xdr:colOff>
      <xdr:row>25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6BB88A-4BB6-4567-B41B-6CC99D7A6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7" y="4381500"/>
          <a:ext cx="391477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1</xdr:row>
      <xdr:rowOff>66677</xdr:rowOff>
    </xdr:from>
    <xdr:to>
      <xdr:col>3</xdr:col>
      <xdr:colOff>19050</xdr:colOff>
      <xdr:row>3</xdr:row>
      <xdr:rowOff>38101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760837-F532-4043-BCB4-E8DA3F38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247652"/>
          <a:ext cx="1714499" cy="333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1108710</xdr:colOff>
      <xdr:row>4</xdr:row>
      <xdr:rowOff>45720</xdr:rowOff>
    </xdr:from>
    <xdr:to>
      <xdr:col>28</xdr:col>
      <xdr:colOff>173355</xdr:colOff>
      <xdr:row>18</xdr:row>
      <xdr:rowOff>102870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E71EE9A-5E29-AC92-BDB2-B72D035D8487}"/>
            </a:ext>
          </a:extLst>
        </xdr:cNvPr>
        <xdr:cNvSpPr/>
      </xdr:nvSpPr>
      <xdr:spPr>
        <a:xfrm>
          <a:off x="26452830" y="777240"/>
          <a:ext cx="6334125" cy="26174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không</a:t>
          </a:r>
          <a:r>
            <a:rPr lang="en-US" sz="1100" baseline="0"/>
            <a:t> chỉnh nữa</a:t>
          </a:r>
          <a:endParaRPr lang="en-US" sz="1100"/>
        </a:p>
      </xdr:txBody>
    </xdr:sp>
    <xdr:clientData/>
  </xdr:twoCellAnchor>
  <xdr:twoCellAnchor>
    <xdr:from>
      <xdr:col>32</xdr:col>
      <xdr:colOff>733425</xdr:colOff>
      <xdr:row>2</xdr:row>
      <xdr:rowOff>85725</xdr:rowOff>
    </xdr:from>
    <xdr:to>
      <xdr:col>40</xdr:col>
      <xdr:colOff>85725</xdr:colOff>
      <xdr:row>16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9BE060D-F662-4D71-8DD2-50097E5227DB}"/>
            </a:ext>
          </a:extLst>
        </xdr:cNvPr>
        <xdr:cNvSpPr/>
      </xdr:nvSpPr>
      <xdr:spPr>
        <a:xfrm>
          <a:off x="36118800" y="466725"/>
          <a:ext cx="6181725" cy="2724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không</a:t>
          </a:r>
          <a:r>
            <a:rPr lang="en-US" sz="1100" baseline="0"/>
            <a:t> chỉnh nữa</a:t>
          </a:r>
          <a:endParaRPr lang="en-US" sz="1100"/>
        </a:p>
      </xdr:txBody>
    </xdr:sp>
    <xdr:clientData/>
  </xdr:twoCellAnchor>
  <xdr:twoCellAnchor>
    <xdr:from>
      <xdr:col>0</xdr:col>
      <xdr:colOff>533400</xdr:colOff>
      <xdr:row>3</xdr:row>
      <xdr:rowOff>0</xdr:rowOff>
    </xdr:from>
    <xdr:to>
      <xdr:col>5</xdr:col>
      <xdr:colOff>885825</xdr:colOff>
      <xdr:row>17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4EC5542-960A-4CF9-A579-DADF4038C8D4}"/>
            </a:ext>
          </a:extLst>
        </xdr:cNvPr>
        <xdr:cNvSpPr/>
      </xdr:nvSpPr>
      <xdr:spPr>
        <a:xfrm>
          <a:off x="533400" y="571500"/>
          <a:ext cx="6181725" cy="2724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không</a:t>
          </a:r>
          <a:r>
            <a:rPr lang="en-US" sz="1100" baseline="0"/>
            <a:t> chỉnh nữa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2</xdr:row>
      <xdr:rowOff>76200</xdr:rowOff>
    </xdr:from>
    <xdr:to>
      <xdr:col>18</xdr:col>
      <xdr:colOff>400050</xdr:colOff>
      <xdr:row>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4FF44-925F-2BD8-09AB-5F892451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0" y="457200"/>
          <a:ext cx="3962400" cy="670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danhhd_duytanrecycling_com/Documents/Work/Others/G&#7917;i/a.%20Ho&#224;ng-Shared/0.%20D&#7921;%20&#225;n/0.1%20X&#226;y%20d&#7921;ng%20BCQT/DTR_B&#225;o%20c&#225;o%20KQKD%20v&#224;%20Chi%20ph&#237;%20(working)%20-%20v2.xlsx" TargetMode="External"/><Relationship Id="rId1" Type="http://schemas.openxmlformats.org/officeDocument/2006/relationships/externalLinkPath" Target="https://dtg-my.sharepoint.com/personal/danhhd_duytanrecycling_com/Documents/Work/Others/G&#7917;i/a.%20Ho&#224;ng-Shared/0.%20D&#7921;%20&#225;n/0.1%20X&#226;y%20d&#7921;ng%20BCQT/DTR_B&#225;o%20c&#225;o%20KQKD%20v&#224;%20Chi%20ph&#237;%20(working)%20-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KQKD"/>
      <sheetName val="DB1-TQCP"/>
      <sheetName val="DB2-%CP.DT"/>
      <sheetName val="DB3-%CP.DT"/>
      <sheetName val="DB4.CP PB"/>
      <sheetName val="DB5.CP PB-&gt;KMP"/>
      <sheetName val="DB6.CP KMP-&gt;PB"/>
      <sheetName val="DB7.80KMP"/>
      <sheetName val="DB8.CP.TẤN (80KMP)"/>
      <sheetName val="9.%CP(80KMP)"/>
      <sheetName val="10. 170KMP"/>
      <sheetName val="PV1_TQCP"/>
      <sheetName val="PV2.%CP.DT"/>
      <sheetName val="PV3.%CP"/>
      <sheetName val="PV4.CP.PB"/>
      <sheetName val="PV5.GiaNL"/>
      <sheetName val="CostCenter"/>
      <sheetName val="KSB1"/>
      <sheetName val="KE30"/>
      <sheetName val="621"/>
      <sheetName val="DT"/>
      <sheetName val="Mapping account"/>
      <sheetName val="COA_DTGroup_Update 20260428"/>
      <sheetName val="M.account_DTR"/>
      <sheetName val="&gt;&gt;Check FS"/>
      <sheetName val="PV_Check FS"/>
      <sheetName val="PV_Check FS_Biến phí SX"/>
      <sheetName val="PV_Check FS_Định phí"/>
      <sheetName val="PV_Check_Cost_center"/>
      <sheetName val="Mapping-FS"/>
      <sheetName val="Mapping-A.Hoà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19">
          <cell r="B219" t="str">
            <v>Chi phí điện</v>
          </cell>
          <cell r="C219">
            <v>4605981207.7444878</v>
          </cell>
        </row>
        <row r="220">
          <cell r="B220" t="str">
            <v>Chi phí khấu hao sản xuất (6274)</v>
          </cell>
          <cell r="C220">
            <v>2399981473.5821357</v>
          </cell>
        </row>
        <row r="221">
          <cell r="B221" t="str">
            <v>Chi phí lương ngoài giờ sản xuất</v>
          </cell>
          <cell r="C221">
            <v>519536675</v>
          </cell>
        </row>
        <row r="222">
          <cell r="B222" t="str">
            <v>Chi phí nhân công gián tiếp sản xuất (6271)</v>
          </cell>
          <cell r="C222">
            <v>4701503206</v>
          </cell>
        </row>
        <row r="223">
          <cell r="B223" t="str">
            <v>Chi phí nhân công trực tiếp sản xuất (622)</v>
          </cell>
          <cell r="C223">
            <v>2719192593</v>
          </cell>
        </row>
        <row r="224">
          <cell r="B224" t="str">
            <v>Phúc lợi nhân viên sản xuất (BHXH,thưởng,…)</v>
          </cell>
          <cell r="C224">
            <v>1600863727.3653848</v>
          </cell>
        </row>
        <row r="225">
          <cell r="B225" t="str">
            <v>Chi phí sửa chữa, bảo trì</v>
          </cell>
          <cell r="C225">
            <v>632091381</v>
          </cell>
        </row>
        <row r="226">
          <cell r="B226" t="str">
            <v>Chi phí xưởng (các khoản còn lại ngoài các mục trên)</v>
          </cell>
          <cell r="C226">
            <v>11998585661.42218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F658A-CE4F-4584-A83B-11853981C9F1}" name="Data_BS" displayName="Data_BS" ref="A3:BW129" totalsRowShown="0" headerRowDxfId="389" dataDxfId="388" headerRowCellStyle="Normal 2">
  <tableColumns count="75">
    <tableColumn id="1" xr3:uid="{2346B998-A4E8-4612-916D-F977366F1063}" name="Index BS" dataDxfId="387" dataCellStyle="Normal 2"/>
    <tableColumn id="2" xr3:uid="{CC13EC2B-BF0F-4943-8853-FB86EAB106FD}" name="PHẦN I-BÁO CÁO TÌNH HÌNH TÀI CHÍNH" dataDxfId="386" dataCellStyle="Normal 2"/>
    <tableColumn id="3" xr3:uid="{A55CD9F7-CED9-40D5-9938-3332982A7289}" name="TenCongTyID" dataDxfId="385" dataCellStyle="Normal 2"/>
    <tableColumn id="4" xr3:uid="{790A87AF-D568-4626-B632-EA96D07B197D}" name="T1.2021" dataDxfId="384" dataCellStyle="Normal 2"/>
    <tableColumn id="5" xr3:uid="{02D196F4-A181-44C5-B745-87448AF51EBB}" name="T02.2021" dataDxfId="383" dataCellStyle="Normal 2"/>
    <tableColumn id="6" xr3:uid="{DBD11FF4-A26B-4EFF-8417-427ADE051E31}" name="T03.2021" dataDxfId="382" dataCellStyle="Normal 2"/>
    <tableColumn id="7" xr3:uid="{8A2CAA7B-7D2C-4A9A-B243-25BE52FEC458}" name="T04.2021" dataDxfId="381" dataCellStyle="Normal 2"/>
    <tableColumn id="8" xr3:uid="{6C77A2AC-3E8F-4EAB-9D34-7A810CB792AF}" name="T05.2021" dataDxfId="380" dataCellStyle="Normal 2"/>
    <tableColumn id="9" xr3:uid="{54B45428-615C-4DCA-8FA1-FBD241253E9A}" name="T06.2021" dataDxfId="379" dataCellStyle="Normal 2"/>
    <tableColumn id="10" xr3:uid="{707E4805-C48C-48F3-AC57-2955FA8032BC}" name="T07.2021" dataDxfId="378" dataCellStyle="Normal 2"/>
    <tableColumn id="11" xr3:uid="{6C7998FA-7A8D-47BB-9558-BB97B4D180E4}" name="T08.2021" dataDxfId="377" dataCellStyle="Normal 2"/>
    <tableColumn id="12" xr3:uid="{6C4886D9-9749-4090-8287-B38DBFD5CC0E}" name="T09.2021" dataDxfId="376" dataCellStyle="Normal 2"/>
    <tableColumn id="13" xr3:uid="{C55D2224-AB0A-46CF-863C-1C6126730513}" name="T10.2021" dataDxfId="375" dataCellStyle="Normal 2"/>
    <tableColumn id="14" xr3:uid="{3DBC3487-7EAA-43EF-8DCF-A34BEE6D9A80}" name="T11.2021" dataDxfId="374" dataCellStyle="Normal 2"/>
    <tableColumn id="15" xr3:uid="{E9D79070-C2E7-439D-91B3-E552D6847FA0}" name="T12.2021" dataDxfId="373" dataCellStyle="Normal 2"/>
    <tableColumn id="16" xr3:uid="{E72E0326-BBF0-408E-A243-B6A8699B6061}" name="T1.2022" dataDxfId="372" dataCellStyle="Normal 2"/>
    <tableColumn id="17" xr3:uid="{FCA8EFA8-B75A-4AE6-AD3C-F4C23F28A423}" name="T02.2022" dataDxfId="371" dataCellStyle="Normal 2"/>
    <tableColumn id="18" xr3:uid="{EBBD0BDF-833F-4AEA-BF7B-64021E8AEE34}" name="T03.2022" dataDxfId="370" dataCellStyle="Normal 2"/>
    <tableColumn id="19" xr3:uid="{0D431D58-F1A6-434E-A00F-B2D29323FFB0}" name="T04.2022" dataDxfId="369" dataCellStyle="Normal 2"/>
    <tableColumn id="20" xr3:uid="{FDCACBB4-A726-4391-96A8-2F72690EE85A}" name="T05.2022" dataDxfId="368" dataCellStyle="Normal 2"/>
    <tableColumn id="21" xr3:uid="{F8407201-0DC1-45F9-85E6-D8C49B06091C}" name="T06.2022" dataDxfId="367" dataCellStyle="Normal 2"/>
    <tableColumn id="22" xr3:uid="{3407483D-0156-44A9-9619-38E3AA86FF13}" name="T07.2022" dataDxfId="366" dataCellStyle="Normal 2"/>
    <tableColumn id="23" xr3:uid="{7865B64B-99E2-4E5C-B786-17A618C7D3CF}" name="T08.2022" dataDxfId="365" dataCellStyle="Normal 2"/>
    <tableColumn id="24" xr3:uid="{C5E2BAD2-F483-4531-9560-1C5B375F4DE4}" name="T09.2022" dataDxfId="364" dataCellStyle="Normal 2"/>
    <tableColumn id="25" xr3:uid="{76F0AD01-9389-4CAE-AF19-E944F3BDA1CF}" name="T10.2022" dataDxfId="363" dataCellStyle="Normal 2"/>
    <tableColumn id="26" xr3:uid="{A27D4330-D9AF-4119-B52F-C8BD7BDCBF53}" name="T11.2022" dataDxfId="362" dataCellStyle="Normal 2"/>
    <tableColumn id="27" xr3:uid="{B97F819D-FC8F-40C7-8D6A-537702B6FAAB}" name="T12.2022" dataDxfId="361" dataCellStyle="Normal 2"/>
    <tableColumn id="52" xr3:uid="{886CE37A-1144-4C17-9CDD-A6E00EF03B7E}" name="T1.2023" dataDxfId="360" dataCellStyle="Normal 2"/>
    <tableColumn id="53" xr3:uid="{61F078E8-B687-4286-9AAA-F58770EC6A18}" name="T02.2023" dataDxfId="359" dataCellStyle="Normal 2"/>
    <tableColumn id="54" xr3:uid="{839CFF96-EA93-4F36-9D0A-F4BB458F7F15}" name="T03.2023" dataDxfId="358" dataCellStyle="Normal 2"/>
    <tableColumn id="55" xr3:uid="{3478BD60-B56B-4C57-9B5A-42D231CE5FD7}" name="T04.2023" dataDxfId="357" dataCellStyle="Normal 2"/>
    <tableColumn id="56" xr3:uid="{FD799F2C-63EF-4375-91B6-47C2613B7F1C}" name="T05.2023" dataDxfId="356" dataCellStyle="Normal 2"/>
    <tableColumn id="57" xr3:uid="{4C3DEA82-D6EF-47D7-883E-46BDE6E7EDA3}" name="T06.2023" dataDxfId="355" dataCellStyle="Normal 2"/>
    <tableColumn id="58" xr3:uid="{C2CA653D-2BB1-40F6-8EC4-A5225E1407E0}" name="T07.2023" dataDxfId="354" dataCellStyle="Normal 2"/>
    <tableColumn id="59" xr3:uid="{B72CED66-956C-4E1B-B684-D865D2396419}" name="T08.2023" dataDxfId="353" dataCellStyle="Normal 2"/>
    <tableColumn id="60" xr3:uid="{366A896B-B85F-4646-BE9C-028AC600FEBC}" name="T09.2023" dataDxfId="352" dataCellStyle="Normal 2"/>
    <tableColumn id="61" xr3:uid="{E86E5397-6401-497F-8DAA-B6EAF97D84EE}" name="T10.2023" dataDxfId="351" dataCellStyle="Normal 2"/>
    <tableColumn id="62" xr3:uid="{3B26858F-A63E-4E97-89F7-DEB9018AAC8D}" name="T11.2023" dataDxfId="350" dataCellStyle="Normal 2"/>
    <tableColumn id="63" xr3:uid="{1451E534-DA86-4C71-8BFA-B6FF7E2B94F6}" name="T12.2023" dataDxfId="349" dataCellStyle="Normal 2"/>
    <tableColumn id="28" xr3:uid="{A9F375CE-AC01-4578-B467-569D67B08915}" name="T01.2024" dataDxfId="348"/>
    <tableColumn id="29" xr3:uid="{13BA71A9-FC56-4D0D-AB03-F5EB14E3CD67}" name="T02.2024" dataDxfId="347"/>
    <tableColumn id="30" xr3:uid="{C31F8CA9-6BA0-497A-AF31-C84A176BCBB0}" name="T03.2024" dataDxfId="346"/>
    <tableColumn id="31" xr3:uid="{394D569B-4209-4B64-8BC2-4A0BA5C92E02}" name="T04.2024" dataDxfId="345"/>
    <tableColumn id="32" xr3:uid="{252AAFB7-2475-4190-B66D-85886C638242}" name="T05.2024" dataDxfId="344"/>
    <tableColumn id="33" xr3:uid="{A2CBD8FA-F81C-49B6-8077-EE88DAC1D11A}" name="T06.2024" dataDxfId="343"/>
    <tableColumn id="34" xr3:uid="{B51976E2-1D9D-466E-B9F6-162072C77892}" name="T07.2024" dataDxfId="342"/>
    <tableColumn id="35" xr3:uid="{F094D3B5-B6A0-4D91-B109-BB8A81C9E05B}" name="T08.2024" dataDxfId="341"/>
    <tableColumn id="36" xr3:uid="{E775E21A-A24E-44AE-882E-B5A22F9618FB}" name="T09.2024" dataDxfId="340"/>
    <tableColumn id="37" xr3:uid="{3ACC8DF5-05A5-4D66-8425-FFD27770486D}" name="T10.2024" dataDxfId="339"/>
    <tableColumn id="38" xr3:uid="{5DD1AA75-7128-40B8-AEEA-6150B8741F71}" name="T11.2024" dataDxfId="338"/>
    <tableColumn id="39" xr3:uid="{403EA274-923F-447C-9C21-56D632771F42}" name="T12.2024" dataDxfId="337"/>
    <tableColumn id="40" xr3:uid="{BA3A1F80-2E1E-4482-BA69-2325875F315A}" name="T01.2025" dataDxfId="336" dataCellStyle="Normal 2"/>
    <tableColumn id="41" xr3:uid="{1A54F5A0-375D-4345-9534-E57D0A023742}" name="T02.2025" dataDxfId="335" dataCellStyle="Normal 2"/>
    <tableColumn id="42" xr3:uid="{2AB39A12-EB41-41AE-965A-AA559121A121}" name="T03.2025" dataDxfId="334" dataCellStyle="Normal 2"/>
    <tableColumn id="43" xr3:uid="{490CF469-452A-4537-B314-5CD8A5C31CD7}" name="T04.2025" dataDxfId="333" dataCellStyle="Normal 2"/>
    <tableColumn id="44" xr3:uid="{636E5D1C-E0AA-4E14-B618-BDF399B0EB67}" name="T05.2025" dataDxfId="332" dataCellStyle="Normal 2"/>
    <tableColumn id="45" xr3:uid="{C5928489-0551-4C70-90D8-892116F533F0}" name="T06.2025" dataDxfId="331" dataCellStyle="Normal 2"/>
    <tableColumn id="46" xr3:uid="{A50E431F-7203-4CCC-B86C-17A5B3C9EF49}" name="T07.2025" dataDxfId="330" dataCellStyle="Normal 2"/>
    <tableColumn id="47" xr3:uid="{32473C0E-2C14-4DD6-9037-57E9F9187A30}" name="T08.2025" dataDxfId="329" dataCellStyle="Normal 2"/>
    <tableColumn id="48" xr3:uid="{3E046469-70BC-4DAC-A017-BBCD9DAE6DE2}" name="T09.2025" dataDxfId="328" dataCellStyle="Normal 2"/>
    <tableColumn id="49" xr3:uid="{3C4706E3-F8E5-4D50-AB75-38DED572FB80}" name="T10.2025" dataDxfId="327" dataCellStyle="Normal 2"/>
    <tableColumn id="50" xr3:uid="{A3C6E784-0A8B-49FD-A8D8-EF063407F61A}" name="T11.2025" dataDxfId="326" dataCellStyle="Normal 2"/>
    <tableColumn id="51" xr3:uid="{43334BF2-AE84-4871-90FF-E1289F1AF5EC}" name="T12.2025" dataDxfId="325" dataCellStyle="Normal 2"/>
    <tableColumn id="64" xr3:uid="{0530E79C-DD8B-488E-92C5-45A096649242}" name="T01.2026" dataDxfId="324" dataCellStyle="Normal 2"/>
    <tableColumn id="65" xr3:uid="{44021364-1FF3-4C68-9030-1529BFC38FFC}" name="T02.2026" dataDxfId="323" dataCellStyle="Normal 2"/>
    <tableColumn id="66" xr3:uid="{10E13A9B-890E-4E61-8880-5165741F8E68}" name="T03.2026" dataDxfId="322" dataCellStyle="Normal 2"/>
    <tableColumn id="67" xr3:uid="{57999070-F4CD-462D-9C25-8E8E8C300B37}" name="T04.2026" dataDxfId="321" dataCellStyle="Normal 2"/>
    <tableColumn id="68" xr3:uid="{860DAFEA-C7E1-4BCF-A09F-17B9FC8F6C35}" name="T05.2026" dataDxfId="320" dataCellStyle="Normal 2"/>
    <tableColumn id="69" xr3:uid="{BAE22BAC-1CDD-49E2-8D29-8B05F9994D1E}" name="T06.2026" dataDxfId="319" dataCellStyle="Normal 2"/>
    <tableColumn id="70" xr3:uid="{49C929DB-3DD7-4429-B5F5-0D7282285583}" name="T07.2026" dataDxfId="318" dataCellStyle="Normal 2"/>
    <tableColumn id="71" xr3:uid="{97A23455-9D2B-4A93-A0D2-4B84249CB2F1}" name="T08.2026" dataDxfId="317" dataCellStyle="Normal 2"/>
    <tableColumn id="72" xr3:uid="{EC5F0E35-19A7-415C-B1B9-390AC282A361}" name="T09.2026" dataDxfId="316" dataCellStyle="Normal 2"/>
    <tableColumn id="73" xr3:uid="{0A877FFD-1B4C-4256-AC93-1B4EEF35C426}" name="T10.2026" dataDxfId="315" dataCellStyle="Normal 2"/>
    <tableColumn id="74" xr3:uid="{1C0602BC-1904-4DD9-A30B-6CC94DD6C118}" name="T11.2026" dataDxfId="314" dataCellStyle="Normal 2"/>
    <tableColumn id="75" xr3:uid="{5D44FAA7-DDD7-4C67-8147-204E51AB9279}" name="T12.2026" dataDxfId="313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3522E-9AE6-4857-9C74-5B4C5A3EBA9D}" name="Data_PL" displayName="Data_PL" ref="A3:BW23" totalsRowShown="0" headerRowDxfId="312" dataDxfId="311" tableBorderDxfId="310" headerRowCellStyle="Comma 3">
  <tableColumns count="75">
    <tableColumn id="1" xr3:uid="{ABB05ADA-C0B8-4AB9-BCB1-BB6622F367B2}" name="Index PL" dataDxfId="309" dataCellStyle="Normal 2"/>
    <tableColumn id="2" xr3:uid="{D6408AC8-8E0C-4398-ADE6-ADB7EDDE6D44}" name="PHẦN II-KẾT QUẢ HOẠT ĐỘNG KINH DOANH" dataDxfId="308" dataCellStyle="Normal 2"/>
    <tableColumn id="3" xr3:uid="{9B19B0BE-D14C-430C-88C8-38B06E711033}" name="TenCongTyID" dataDxfId="307"/>
    <tableColumn id="4" xr3:uid="{C676693E-9173-4154-8B46-279F5ED5B511}" name="T1.2021" dataDxfId="306" dataCellStyle="Normal 2"/>
    <tableColumn id="5" xr3:uid="{673BB486-DD38-4C06-BD78-BB9CC172201C}" name="T02.2021" dataDxfId="305" dataCellStyle="Normal 2"/>
    <tableColumn id="6" xr3:uid="{D78C5B02-B9C5-4F25-AAB2-9B324F7DE7CC}" name="T03.2021" dataDxfId="304" dataCellStyle="Normal 2"/>
    <tableColumn id="7" xr3:uid="{1F00329E-5480-4EAF-8469-FE1DED7FCF90}" name="T04.2021" dataDxfId="303" dataCellStyle="Normal 2"/>
    <tableColumn id="8" xr3:uid="{A08D820A-539D-4C74-ABA9-6DFD3C269DC4}" name="T05.2021" dataDxfId="302" dataCellStyle="Normal 2"/>
    <tableColumn id="9" xr3:uid="{592E2C33-2B69-457E-A80D-CA323A583C2D}" name="T06.2021" dataDxfId="301" dataCellStyle="Normal 2"/>
    <tableColumn id="10" xr3:uid="{6CE799F8-01D1-4C42-8C43-19EBA6AA42E5}" name="T07.2021" dataDxfId="300" dataCellStyle="Normal 2"/>
    <tableColumn id="11" xr3:uid="{900947EB-BD18-4729-B63B-563CAFFA0419}" name="T08.2021" dataDxfId="299" dataCellStyle="Normal 2"/>
    <tableColumn id="12" xr3:uid="{6A13575A-7BDD-4B1A-98E5-0EF31D668557}" name="T09.2021" dataDxfId="298" dataCellStyle="Normal 2"/>
    <tableColumn id="13" xr3:uid="{EDDEC4E9-2AE7-4A66-97BA-0523AC40C016}" name="T10.2021" dataDxfId="297" dataCellStyle="Normal 2"/>
    <tableColumn id="14" xr3:uid="{C4AF1CE7-3DDA-4814-A8B2-8112C52A8F76}" name="T11.2021" dataDxfId="296" dataCellStyle="Normal 2"/>
    <tableColumn id="15" xr3:uid="{86280B82-B36C-4893-B4B6-8FFDDE363B01}" name="T12.2021" dataDxfId="295" dataCellStyle="Normal 2"/>
    <tableColumn id="16" xr3:uid="{71778AF8-2EA4-4245-9CC0-628F85D0490F}" name="T1.2022" dataDxfId="294" dataCellStyle="Normal 2"/>
    <tableColumn id="17" xr3:uid="{A6B3ED9B-24F2-46E2-B5D0-7D4AB7D57FA3}" name="T02.2022" dataDxfId="293" dataCellStyle="Normal 2"/>
    <tableColumn id="18" xr3:uid="{B0AB81B5-2D64-4090-8912-9F0587FA660E}" name="T03.2022" dataDxfId="292" dataCellStyle="Normal 2"/>
    <tableColumn id="19" xr3:uid="{DCB3C9C2-A1F7-4083-A521-98D337BD3DD6}" name="T04.2022" dataDxfId="291" dataCellStyle="Normal 2"/>
    <tableColumn id="20" xr3:uid="{E8386E23-D17F-421B-B623-F6A0DB69BCA9}" name="T05.2022" dataDxfId="290" dataCellStyle="Normal 2"/>
    <tableColumn id="21" xr3:uid="{985EDD12-BC26-4D4B-BAD8-5073B9C2146D}" name="T06.2022" dataDxfId="289" dataCellStyle="Normal 2"/>
    <tableColumn id="22" xr3:uid="{AAC7B673-6FA2-49B2-8DF4-1FB1D597CC73}" name="T07.2022" dataDxfId="288" dataCellStyle="Normal 2"/>
    <tableColumn id="23" xr3:uid="{4A0DBD10-E230-4DEB-AC7F-A09C88752940}" name="T08.2022" dataDxfId="287" dataCellStyle="Normal 2"/>
    <tableColumn id="24" xr3:uid="{04B410D7-849D-43A1-AF56-1CE384034DC7}" name="T09.2022" dataDxfId="286" dataCellStyle="Normal 2"/>
    <tableColumn id="25" xr3:uid="{50511BF5-FA11-4ED0-92FA-E09F7FBAD0A7}" name="T10.2022" dataDxfId="285" dataCellStyle="Normal 2"/>
    <tableColumn id="26" xr3:uid="{C10D6AAC-61D9-4F62-B621-558B05B2C212}" name="T11.2022" dataDxfId="284" dataCellStyle="Normal 2"/>
    <tableColumn id="27" xr3:uid="{B2BB4008-48F1-4F9E-885A-6A425EC18EC6}" name="T12.2022" dataDxfId="283" dataCellStyle="Normal 2"/>
    <tableColumn id="28" xr3:uid="{E1BB6770-E0DD-4955-8FB9-98425C373754}" name="T1.2023" dataDxfId="282" dataCellStyle="Normal 2"/>
    <tableColumn id="29" xr3:uid="{179AB70A-2DF8-49B7-B3EE-E7B1F7114266}" name="T02.2023" dataDxfId="281" dataCellStyle="Normal 2"/>
    <tableColumn id="30" xr3:uid="{FAEC944D-DEBB-451C-91A2-9F1CC09FBC16}" name="T03.2023" dataDxfId="280" dataCellStyle="Normal 2"/>
    <tableColumn id="31" xr3:uid="{138A8B5D-49B3-4065-92C4-951733FC55F8}" name="T04.2023" dataDxfId="279" dataCellStyle="Normal 2"/>
    <tableColumn id="32" xr3:uid="{6D6BC989-9DFC-4EE3-BBEE-19F14B7CD81A}" name="T05.2023" dataDxfId="278" dataCellStyle="Normal 2"/>
    <tableColumn id="33" xr3:uid="{F9A8FE50-45DB-46F3-9E89-B11A577FF6DC}" name="T06.2023" dataDxfId="277" dataCellStyle="Normal 2"/>
    <tableColumn id="34" xr3:uid="{507ABD84-3DE8-44F4-A0BD-197C7DF15030}" name="T07.2023" dataDxfId="276" dataCellStyle="Normal 2"/>
    <tableColumn id="35" xr3:uid="{6364D778-F090-4C6B-8B99-170ABD65412C}" name="T08.2023" dataDxfId="275" dataCellStyle="Normal 2"/>
    <tableColumn id="36" xr3:uid="{82205527-3735-4B7C-8889-BF7E136C37DA}" name="T09.2023" dataDxfId="274" dataCellStyle="Normal 2"/>
    <tableColumn id="37" xr3:uid="{79662330-48BE-4AB8-95C8-35923EFC2EDB}" name="T10.2023" dataDxfId="273" dataCellStyle="Normal 2"/>
    <tableColumn id="38" xr3:uid="{04418C41-56A3-4EE8-8E58-152B1CBE363E}" name="T11.2023" dataDxfId="272" dataCellStyle="Normal 2"/>
    <tableColumn id="39" xr3:uid="{BE2EF19D-A2E1-4BDB-820A-88F27A9C7C45}" name="T12.2023" dataDxfId="271" dataCellStyle="Normal 2"/>
    <tableColumn id="40" xr3:uid="{4F60F36D-727C-4BBF-A576-7EB54EF2A58B}" name="T01.2024" dataDxfId="270" dataCellStyle="Normal 2"/>
    <tableColumn id="41" xr3:uid="{CB0FFFCA-B09C-4388-ADF6-ADC1E0E1A31A}" name="T02.2024" dataDxfId="269" dataCellStyle="Normal 2"/>
    <tableColumn id="42" xr3:uid="{215BF7E2-C6C0-490C-8035-FE411D279F46}" name="T03.2024" dataDxfId="268" dataCellStyle="Normal 2"/>
    <tableColumn id="43" xr3:uid="{2B0E66D4-3459-4508-8AA2-BDA43F3129D9}" name="T04.2024" dataDxfId="267" dataCellStyle="Normal 2"/>
    <tableColumn id="44" xr3:uid="{9A1DD862-DA93-4E6B-B529-A6B53349C37B}" name="T05.2024" dataDxfId="266" dataCellStyle="Normal 2"/>
    <tableColumn id="45" xr3:uid="{0CB9E258-8162-46D3-84F4-3D5ABD6EACE3}" name="T06.2024" dataDxfId="265" dataCellStyle="Normal 2"/>
    <tableColumn id="46" xr3:uid="{E1BE263B-B214-48F2-B1E0-BEF034B14EE5}" name="T07.2024" dataDxfId="264" dataCellStyle="Normal 2"/>
    <tableColumn id="47" xr3:uid="{C692BC09-A5A7-4F8C-8808-85606F0CCE20}" name="T08.2024" dataDxfId="263" dataCellStyle="Normal 2"/>
    <tableColumn id="48" xr3:uid="{A48865DA-41A1-41A2-B2F0-CF1004329CAC}" name="T09.2024" dataDxfId="262" dataCellStyle="Normal 2"/>
    <tableColumn id="49" xr3:uid="{EAC1CD4E-D1FC-413B-A66B-4C314A36265B}" name="T10.2024" dataDxfId="261" dataCellStyle="Normal 2"/>
    <tableColumn id="50" xr3:uid="{CA553365-D88E-40D2-AF86-ACEDBC8771C0}" name="T11.2024" dataDxfId="260" dataCellStyle="Normal 2"/>
    <tableColumn id="51" xr3:uid="{34367242-41FC-415A-ADDB-B0694CABF19A}" name="T12.2024" dataDxfId="259" dataCellStyle="Normal 2"/>
    <tableColumn id="52" xr3:uid="{C18FAD02-6F94-4D4C-A965-EEF454294A65}" name="T01.2025" dataDxfId="258" dataCellStyle="Normal 2"/>
    <tableColumn id="53" xr3:uid="{E2F7B803-84C1-46A3-9F34-186C4E96C10E}" name="T02.2025" dataDxfId="257" dataCellStyle="Normal 2"/>
    <tableColumn id="54" xr3:uid="{52B3202F-D5CB-4E5C-B74F-3DD0D7BCCB99}" name="T03.2025" dataDxfId="256" dataCellStyle="Normal 2"/>
    <tableColumn id="55" xr3:uid="{919B2868-E78D-4229-A429-BD6D6A48BE64}" name="T04.2025" dataDxfId="255" dataCellStyle="Normal 2"/>
    <tableColumn id="56" xr3:uid="{DAA084EE-88D6-4AEA-8AE2-621041ADFFB3}" name="T05.2025" dataDxfId="254" dataCellStyle="Normal 2"/>
    <tableColumn id="57" xr3:uid="{3455FDB7-A081-4AF3-9606-20130D43C0BF}" name="T06.2025" dataDxfId="253" dataCellStyle="Normal 2"/>
    <tableColumn id="58" xr3:uid="{C93F07C4-911E-4811-BA56-3A770AFE6F5A}" name="T07.2025" dataDxfId="252" dataCellStyle="Normal 2"/>
    <tableColumn id="59" xr3:uid="{2A1C5016-E1B1-4EF1-AE25-98187B2A7055}" name="T08.2025" dataDxfId="251" dataCellStyle="Normal 2"/>
    <tableColumn id="60" xr3:uid="{1FB114F5-ACE8-4379-88F2-1F287BF281CB}" name="T09.2025" dataDxfId="250" dataCellStyle="Normal 2"/>
    <tableColumn id="61" xr3:uid="{72068B1E-377A-4F41-BA1A-5CE9B9A0C872}" name="T10.2025" dataDxfId="249" dataCellStyle="Normal 2"/>
    <tableColumn id="62" xr3:uid="{FE2ADD2C-091C-467F-95BB-642DC6602AD6}" name="T11.2025" dataDxfId="248" dataCellStyle="Normal 2"/>
    <tableColumn id="63" xr3:uid="{D2D46047-1F75-4F75-A3CA-AE33276DCA2E}" name="T12.2025" dataDxfId="247" dataCellStyle="Normal 2"/>
    <tableColumn id="64" xr3:uid="{1FAC4D1F-5B30-4224-AE25-8474A644787E}" name="T01.2026" dataDxfId="246" dataCellStyle="Normal 2"/>
    <tableColumn id="65" xr3:uid="{E35FB438-9FD4-4741-B2BD-228E47BEB261}" name="T02.2026" dataDxfId="245" dataCellStyle="Normal 2"/>
    <tableColumn id="66" xr3:uid="{D4D0B6DF-10AC-43CC-9DD6-0D2378CB241C}" name="T03.2026" dataDxfId="244" dataCellStyle="Normal 2"/>
    <tableColumn id="67" xr3:uid="{D2C2605D-7E7E-4191-BC9B-07C176F6DA49}" name="T04.2026" dataDxfId="243" dataCellStyle="Normal 2"/>
    <tableColumn id="68" xr3:uid="{051AB179-6AC6-44F4-9B97-1E2C31FBAE10}" name="T05.2026" dataDxfId="242" dataCellStyle="Normal 2"/>
    <tableColumn id="69" xr3:uid="{72D2BF5D-B7B1-4951-B73C-E9E375789F9D}" name="T06.2026" dataDxfId="241" dataCellStyle="Normal 2"/>
    <tableColumn id="70" xr3:uid="{EDD1E68C-48FA-4730-B542-E82991688943}" name="T07.2026" dataDxfId="240" dataCellStyle="Normal 2"/>
    <tableColumn id="71" xr3:uid="{33A4A1AC-F1C7-4624-9218-89AC2767000F}" name="T08.2026" dataDxfId="239" dataCellStyle="Normal 2"/>
    <tableColumn id="72" xr3:uid="{E4E7FD63-419E-4A90-8298-7917164EBBF8}" name="T09.2026" dataDxfId="238" dataCellStyle="Normal 2"/>
    <tableColumn id="73" xr3:uid="{33788D51-B216-474C-9DFB-951DCCB9CE13}" name="T10.2026" dataDxfId="237" dataCellStyle="Normal 2"/>
    <tableColumn id="74" xr3:uid="{5670A762-2C4C-41F5-9661-8FB3C3A68749}" name="T11.2026" dataDxfId="236" dataCellStyle="Normal 2"/>
    <tableColumn id="75" xr3:uid="{8ED678DB-F781-4B94-B5E5-73E7C8D6A1D4}" name="T12.2026" dataDxfId="235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030F10-FA6E-4E5E-9899-AE7D4B276917}" name="Data_CF" displayName="Data_CF" ref="A3:BW44" totalsRowShown="0" headerRowDxfId="234" dataDxfId="233" tableBorderDxfId="232" headerRowCellStyle="Normal 2" dataCellStyle="Comma 5">
  <tableColumns count="75">
    <tableColumn id="1" xr3:uid="{152180A5-269C-43F0-AB5F-937D55FE030B}" name="Index CF" dataDxfId="231" dataCellStyle="Normal 2"/>
    <tableColumn id="2" xr3:uid="{B9900D71-8816-4CD1-B30C-B8648A9B68BE}" name="PHẦN III- LƯU CHUYỂN TIỀN TỆ" dataDxfId="230" dataCellStyle="Normal 2"/>
    <tableColumn id="3" xr3:uid="{0A071564-AACE-492C-9C0B-72662CD45432}" name="TenCongTyID" dataDxfId="229" dataCellStyle="Comma 5"/>
    <tableColumn id="4" xr3:uid="{0C5D3483-AC50-4B5F-8327-08E4015998BB}" name="T1.2021" dataDxfId="228" dataCellStyle="Comma 5"/>
    <tableColumn id="5" xr3:uid="{3B8A8914-E34B-400F-9FB9-D5A4BA7621E4}" name="T02.2021" dataDxfId="227" dataCellStyle="Comma 5"/>
    <tableColumn id="6" xr3:uid="{EA9C6C6D-CCC0-4D28-9E02-25E9A915D510}" name="T03.2021" dataDxfId="226" dataCellStyle="Comma 5"/>
    <tableColumn id="7" xr3:uid="{F0C96CF6-D340-4B05-B1EA-5614D995EE8D}" name="T04.2021" dataDxfId="225" dataCellStyle="Comma 5"/>
    <tableColumn id="8" xr3:uid="{C64AB6BB-B68F-41EC-8DA5-3DC4E18BA1BA}" name="T05.2021" dataDxfId="224" dataCellStyle="Comma 5"/>
    <tableColumn id="9" xr3:uid="{46D218E3-9144-45A5-AAF0-078C5EB49042}" name="T06.2021" dataDxfId="223" dataCellStyle="Comma 5"/>
    <tableColumn id="10" xr3:uid="{F3C50D00-6991-45A5-9F62-0256E999CFAB}" name="T07.2021" dataDxfId="222" dataCellStyle="Comma 5"/>
    <tableColumn id="11" xr3:uid="{71F6B9D4-850E-411B-8597-E30690302D8D}" name="T08.2021" dataDxfId="221" dataCellStyle="Comma 5"/>
    <tableColumn id="12" xr3:uid="{F6FDF97B-3CE8-4BCA-A9DE-EB9EBF72D8C7}" name="T09.2021" dataDxfId="220" dataCellStyle="Comma 5"/>
    <tableColumn id="13" xr3:uid="{174B5B8B-7900-436C-BAB1-E90BFE172B8B}" name="T10.2021" dataDxfId="219" dataCellStyle="Comma 5"/>
    <tableColumn id="14" xr3:uid="{F8D09DBE-102D-4078-A2A4-D33A669849B5}" name="T11.2021" dataDxfId="218" dataCellStyle="Comma 5"/>
    <tableColumn id="15" xr3:uid="{5CEFA0D4-141C-41FF-8DAF-2B01CB26E4A7}" name="T12.2021" dataDxfId="217" dataCellStyle="Comma 5"/>
    <tableColumn id="16" xr3:uid="{AE42F600-1914-465B-93C2-9B862A13E503}" name="T1.2022" dataDxfId="216" dataCellStyle="Comma 5"/>
    <tableColumn id="17" xr3:uid="{D8F8C661-D775-415E-992A-DF74A906A68B}" name="T02.2022" dataDxfId="215" dataCellStyle="Comma 5"/>
    <tableColumn id="18" xr3:uid="{D2D71E9C-36AB-4E17-94AF-9AEB059C9DC3}" name="T03.2022" dataDxfId="214" dataCellStyle="Comma 5"/>
    <tableColumn id="19" xr3:uid="{8BCB8C12-F5F2-4EA9-8762-D39F291CBD5A}" name="T04.2022" dataDxfId="213" dataCellStyle="Comma 5"/>
    <tableColumn id="20" xr3:uid="{33F46276-1831-439E-8E26-6397CDC37645}" name="T05.2022" dataDxfId="212" dataCellStyle="Comma 5"/>
    <tableColumn id="21" xr3:uid="{9E5F32D7-B9DC-47D6-AE8A-418BED817594}" name="T06.2022" dataDxfId="211" dataCellStyle="Comma 5"/>
    <tableColumn id="22" xr3:uid="{AFB80707-25B3-4A71-93BB-391CF79176CE}" name="T07.2022" dataDxfId="210" dataCellStyle="Comma 5"/>
    <tableColumn id="23" xr3:uid="{8D91B10A-8F00-41FA-9A57-4F6DC73F9301}" name="T08.2022" dataDxfId="209" dataCellStyle="Comma 5"/>
    <tableColumn id="24" xr3:uid="{22EFC852-E149-4881-9E59-77501F8F7B1F}" name="T09.2022" dataDxfId="208" dataCellStyle="Comma 5"/>
    <tableColumn id="25" xr3:uid="{249B8860-F878-48D1-8598-49C6F436D639}" name="T10.2022" dataDxfId="207" dataCellStyle="Comma 5"/>
    <tableColumn id="26" xr3:uid="{23DBE4E9-1626-485A-A3FC-84B683AF304F}" name="T11.2022" dataDxfId="206" dataCellStyle="Comma 5"/>
    <tableColumn id="27" xr3:uid="{503AF48F-25D2-4602-90DE-74A11B16B882}" name="T12.2022" dataDxfId="205" dataCellStyle="Comma 5"/>
    <tableColumn id="28" xr3:uid="{0F03A32D-7568-4A7D-AA0F-49E8FEFF300A}" name="T1.2023" dataDxfId="204" dataCellStyle="Comma 5"/>
    <tableColumn id="29" xr3:uid="{14D954B6-C998-45B3-8417-7E7CD73C004A}" name="T02.2023" dataDxfId="203" dataCellStyle="Comma 5"/>
    <tableColumn id="30" xr3:uid="{493997C7-9163-4CC9-A252-AFE28F74CFF4}" name="T03.2023" dataDxfId="202" dataCellStyle="Comma 5"/>
    <tableColumn id="31" xr3:uid="{ADF86CDE-FB8F-4A66-8C9E-BD80ECD95BA2}" name="T04.2023" dataDxfId="201" dataCellStyle="Comma 5"/>
    <tableColumn id="32" xr3:uid="{79CBF5B9-8AA9-435F-8FDE-FA9583164563}" name="T05.2023" dataDxfId="200" dataCellStyle="Comma 5"/>
    <tableColumn id="33" xr3:uid="{6D875C50-4AC3-4F5F-8D29-CEB53D61589C}" name="T06.2023" dataDxfId="199" dataCellStyle="Comma 5"/>
    <tableColumn id="34" xr3:uid="{656B75F9-D614-4A85-A80D-69072299F7B5}" name="T07.2023" dataDxfId="198" dataCellStyle="Comma 5"/>
    <tableColumn id="35" xr3:uid="{7BD2381C-5433-4794-99E5-F0A67B22CB3E}" name="T08.2023" dataDxfId="197" dataCellStyle="Comma 5"/>
    <tableColumn id="36" xr3:uid="{C3D96681-83F3-4363-AE1D-7413F9A65C33}" name="T09.2023" dataDxfId="196" dataCellStyle="Comma 5"/>
    <tableColumn id="37" xr3:uid="{F9F840E7-F666-4656-B9F5-E49BC4991073}" name="T10.2023" dataDxfId="195" dataCellStyle="Comma 5"/>
    <tableColumn id="38" xr3:uid="{35A43D1B-F373-4C31-8B5C-B0614643AE15}" name="T11.2023" dataDxfId="194" dataCellStyle="Comma 5"/>
    <tableColumn id="39" xr3:uid="{8FDC1DD5-335D-4856-8134-A58CD04D6643}" name="T12.2023" dataDxfId="193" dataCellStyle="Comma 5"/>
    <tableColumn id="40" xr3:uid="{69165328-F1FF-4520-B8CB-A29948440BED}" name="T01.2024" dataDxfId="192" dataCellStyle="Comma 5"/>
    <tableColumn id="41" xr3:uid="{171F3FE9-9D74-4E45-97A6-7EA9AD537618}" name="T02.2024" dataDxfId="191" dataCellStyle="Comma 5"/>
    <tableColumn id="42" xr3:uid="{F6EC0B1B-AC89-49E8-8B03-614E5CED5A28}" name="T03.2024" dataDxfId="190" dataCellStyle="Comma 5"/>
    <tableColumn id="43" xr3:uid="{4937F194-A031-424F-AFDF-0BCD61DF3205}" name="T04.2024" dataDxfId="189" dataCellStyle="Comma 5"/>
    <tableColumn id="44" xr3:uid="{256E694A-92F1-4956-9145-AA10FA2AC51A}" name="T05.2024" dataDxfId="188" dataCellStyle="Comma 5"/>
    <tableColumn id="45" xr3:uid="{986EEEE0-D32B-46F7-B386-C5741DBDB62A}" name="T06.2024" dataDxfId="187" dataCellStyle="Comma 5"/>
    <tableColumn id="46" xr3:uid="{C5D74BBB-C383-4BC8-B092-BE37E9CC9B9B}" name="T07.2024" dataDxfId="186" dataCellStyle="Comma 5"/>
    <tableColumn id="47" xr3:uid="{56A6D2C1-7CB6-4317-9AD1-8A0A87F834A9}" name="T08.2024" dataDxfId="185" dataCellStyle="Comma 5"/>
    <tableColumn id="48" xr3:uid="{A96ADE5F-F8E4-4389-84FD-CC34668C61C7}" name="T09.2024" dataDxfId="184" dataCellStyle="Comma 5"/>
    <tableColumn id="49" xr3:uid="{78EC4C08-57B2-4CC5-B4E0-F6D5914C177A}" name="T10.2024" dataDxfId="183" dataCellStyle="Comma 5"/>
    <tableColumn id="50" xr3:uid="{0956F0CF-A46A-45A6-A350-A6BCD27DAEEB}" name="T11.2024" dataDxfId="182" dataCellStyle="Comma 5"/>
    <tableColumn id="51" xr3:uid="{AB5C20AC-1F8D-4F81-B8DF-2BBEDA90B131}" name="T12.2024" dataDxfId="181" dataCellStyle="Comma 5"/>
    <tableColumn id="52" xr3:uid="{937E2652-A06F-4E72-8886-C1595A906469}" name="T01.2025" dataDxfId="180" dataCellStyle="Comma 5"/>
    <tableColumn id="53" xr3:uid="{909CF940-8FA1-4749-92E9-EFB71B3ECF5B}" name="T02.2025" dataDxfId="179" dataCellStyle="Comma 5"/>
    <tableColumn id="54" xr3:uid="{BE5F20D9-03EA-4235-96C4-5A19DDF78D22}" name="T03.2025" dataDxfId="178" dataCellStyle="Comma 5"/>
    <tableColumn id="55" xr3:uid="{CA2D42D1-C01B-44CB-9704-330A382B588E}" name="T04.2025" dataDxfId="177" dataCellStyle="Comma 5"/>
    <tableColumn id="56" xr3:uid="{7327A4F8-6904-4CA3-826C-AADEEDD2E052}" name="T05.2025" dataDxfId="176" dataCellStyle="Comma 5"/>
    <tableColumn id="57" xr3:uid="{B2AFDC75-A23B-4B46-815F-383787BBBEC3}" name="T06.2025" dataDxfId="175" dataCellStyle="Comma 5"/>
    <tableColumn id="58" xr3:uid="{C22467E8-1C11-474E-AF0B-AB11A5ADCFCE}" name="T07.2025" dataDxfId="174" dataCellStyle="Comma 5"/>
    <tableColumn id="59" xr3:uid="{D4053331-DF05-4398-8007-A9EA6ABC1C61}" name="T08.2025" dataDxfId="173" dataCellStyle="Comma 5"/>
    <tableColumn id="60" xr3:uid="{0A680FEE-BE77-467E-83CB-D5EA8942B331}" name="T09.2025" dataDxfId="172" dataCellStyle="Comma 5"/>
    <tableColumn id="61" xr3:uid="{51A83FB5-1CBF-49E2-9957-F2664689B47B}" name="T10.2025" dataDxfId="171" dataCellStyle="Comma 5"/>
    <tableColumn id="62" xr3:uid="{BDFCC9FF-2597-442F-9AFC-833624B9397C}" name="T11.2025" dataDxfId="170" dataCellStyle="Comma 5"/>
    <tableColumn id="63" xr3:uid="{3BE05993-10AC-40A6-84E0-A099FC690490}" name="T12.2025" dataDxfId="169" dataCellStyle="Comma 5"/>
    <tableColumn id="64" xr3:uid="{3A43C573-629E-49B1-A54D-E9000337ABA5}" name="T01.2026" dataDxfId="168" dataCellStyle="Comma 5"/>
    <tableColumn id="65" xr3:uid="{ADC718CF-3B15-4539-B671-7E7E944B734D}" name="T02.2026" dataDxfId="167" dataCellStyle="Comma 5"/>
    <tableColumn id="66" xr3:uid="{1D1E1BBA-3A28-4E5E-AB00-E438C360C7CD}" name="T03.2026" dataDxfId="166" dataCellStyle="Comma 5"/>
    <tableColumn id="67" xr3:uid="{58FC35D6-C45A-4ADB-A7E6-CB85F469BFEF}" name="T04.2026" dataDxfId="165" dataCellStyle="Comma 5"/>
    <tableColumn id="68" xr3:uid="{257A9100-041C-4D6E-BFDB-3EE3356C1FCF}" name="T05.2026" dataDxfId="164" dataCellStyle="Comma 5"/>
    <tableColumn id="69" xr3:uid="{1320AA19-1E85-40B5-A9E2-D51B22FDC87A}" name="T06.2026" dataDxfId="163" dataCellStyle="Comma 5"/>
    <tableColumn id="70" xr3:uid="{1E4EF4FE-590A-45AB-8DD7-28417FD39D95}" name="T07.2026" dataDxfId="162" dataCellStyle="Comma 5"/>
    <tableColumn id="71" xr3:uid="{4ED0DFAF-4BF7-44F2-9828-25283340B371}" name="T08.2026" dataDxfId="161" dataCellStyle="Comma 5"/>
    <tableColumn id="72" xr3:uid="{0059A639-6B65-4F1A-BBE4-91457946CF92}" name="T09.2026" dataDxfId="160" dataCellStyle="Comma 5"/>
    <tableColumn id="73" xr3:uid="{119FB850-9575-47C4-B4FA-84297DB317E6}" name="T10.2026" dataDxfId="159" dataCellStyle="Comma 5"/>
    <tableColumn id="74" xr3:uid="{D7ADFCDF-6545-450F-8A8E-F0E4F6C619C0}" name="T11.2026" dataDxfId="158" dataCellStyle="Comma 5"/>
    <tableColumn id="75" xr3:uid="{529E0E60-8580-44B8-B98D-BC2F70811F23}" name="T12.2026" dataDxfId="157" dataCellStyle="Comma 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B12149-5C68-4A2C-BC02-28142F6A1EA2}" name="Data_PL_Element" displayName="Data_PL_Element" ref="A3:BW57" totalsRowShown="0" headerRowDxfId="156" dataDxfId="154" headerRowBorderDxfId="155" tableBorderDxfId="153" totalsRowBorderDxfId="152" headerRowCellStyle="Normal 2">
  <tableColumns count="75">
    <tableColumn id="1" xr3:uid="{8ED1312E-28D0-44D9-9265-6A054720DC57}" name="Index PL Element" dataDxfId="151"/>
    <tableColumn id="2" xr3:uid="{1AF09CB1-EAC2-4B8D-83FB-AD75E89AE8C5}" name="PHẦN IV: CHI PHÍ THEO YẾU TỐ" dataDxfId="150"/>
    <tableColumn id="3" xr3:uid="{795D1CCB-1330-4CEB-81A4-4A1DAB914EB9}" name="TenCongTyID" dataDxfId="149" dataCellStyle="Normal 2"/>
    <tableColumn id="4" xr3:uid="{236D2B58-578E-49BD-8C52-F598D00E6967}" name="T1.2021" dataDxfId="148" dataCellStyle="Normal 2"/>
    <tableColumn id="5" xr3:uid="{51AD6431-12E3-4C60-994B-2CF44E4D7E3A}" name="T02.2021" dataDxfId="147" dataCellStyle="Normal 2"/>
    <tableColumn id="6" xr3:uid="{C6F44C41-AA1E-48F6-B189-89624ACF1A82}" name="T03.2021" dataDxfId="146" dataCellStyle="Normal 2"/>
    <tableColumn id="7" xr3:uid="{3E102F70-F559-4877-8A11-70C46A24EDDF}" name="T04.2021" dataDxfId="145" dataCellStyle="Normal 2"/>
    <tableColumn id="8" xr3:uid="{9170F1CE-1A33-412C-A4B8-95CE38EC1E2C}" name="T05.2021" dataDxfId="144" dataCellStyle="Normal 2"/>
    <tableColumn id="9" xr3:uid="{80254BE4-B020-4872-93CD-DB594BA10386}" name="T06.2021" dataDxfId="143" dataCellStyle="Normal 2"/>
    <tableColumn id="10" xr3:uid="{4A546E8E-3D48-4623-8F0A-0BC8E3C86442}" name="T07.2021" dataDxfId="142" dataCellStyle="Normal 2"/>
    <tableColumn id="11" xr3:uid="{3B49014A-DE57-4649-8667-47482E1EF2E0}" name="T08.2021" dataDxfId="141" dataCellStyle="Normal 2"/>
    <tableColumn id="12" xr3:uid="{54F86B13-95E8-49A3-9F98-9BB809EC85AA}" name="T09.2021" dataDxfId="140" dataCellStyle="Normal 2"/>
    <tableColumn id="13" xr3:uid="{9222B05A-B1CF-465D-AB9A-615533EF9100}" name="T10.2021" dataDxfId="139" dataCellStyle="Normal 2"/>
    <tableColumn id="14" xr3:uid="{DB7F9196-08E4-4A0E-A5B9-0FF6DEA1E6F9}" name="T11.2021" dataDxfId="138" dataCellStyle="Normal 2"/>
    <tableColumn id="15" xr3:uid="{9A9D5157-3FB7-4CBD-91FC-619875C05F68}" name="T12.2021" dataDxfId="137" dataCellStyle="Normal 2"/>
    <tableColumn id="16" xr3:uid="{FF9EE199-98F5-48C8-9EFE-FEB417EF82A2}" name="T1.2022" dataDxfId="136" dataCellStyle="Normal 2"/>
    <tableColumn id="17" xr3:uid="{18948D08-4975-4F5F-9892-6759DE683D41}" name="T02.2022" dataDxfId="135" dataCellStyle="Normal 2"/>
    <tableColumn id="18" xr3:uid="{CCE5E67D-DA38-400A-A463-781746163AB2}" name="T03.2022" dataDxfId="134" dataCellStyle="Normal 2"/>
    <tableColumn id="19" xr3:uid="{82B89AD8-5318-4AF1-88BB-4596E1F0C0A4}" name="T04.2022" dataDxfId="133" dataCellStyle="Normal 2"/>
    <tableColumn id="20" xr3:uid="{EEFC73F8-8D27-4FCD-82E0-491E0E9F8158}" name="T05.2022" dataDxfId="132" dataCellStyle="Normal 2"/>
    <tableColumn id="21" xr3:uid="{B6667A10-873E-44AA-8556-689F083F23D9}" name="T06.2022" dataDxfId="131" dataCellStyle="Normal 2"/>
    <tableColumn id="22" xr3:uid="{528A60D2-744D-4CAF-A2FA-889338777B08}" name="T07.2022" dataDxfId="130" dataCellStyle="Normal 2"/>
    <tableColumn id="23" xr3:uid="{F01B702E-E727-41CE-88DF-841FFD73A5FD}" name="T08.2022" dataDxfId="129" dataCellStyle="Normal 2"/>
    <tableColumn id="24" xr3:uid="{6AD3E0C4-E66D-4FF7-AA55-277441E0899F}" name="T09.2022" dataDxfId="128" dataCellStyle="Normal 2"/>
    <tableColumn id="25" xr3:uid="{B5312EF5-5862-4897-A5C4-B2DC02C5FD80}" name="T10.2022" dataDxfId="127" dataCellStyle="Normal 2"/>
    <tableColumn id="26" xr3:uid="{AA02A3BD-69CC-49E1-9200-A5A4D566F681}" name="T11.2022" dataDxfId="126" dataCellStyle="Normal 2"/>
    <tableColumn id="27" xr3:uid="{F6E48C4B-943C-4855-9C73-54F899CE9383}" name="T12.2022" dataDxfId="125" dataCellStyle="Normal 2"/>
    <tableColumn id="28" xr3:uid="{96C05F34-DB2B-4AF7-AB67-F7F91182C94E}" name="T1.2023" dataDxfId="124" dataCellStyle="Normal 2"/>
    <tableColumn id="29" xr3:uid="{004CD040-3033-46AF-A94C-109617E2A3D4}" name="T02.2023" dataDxfId="123" dataCellStyle="Normal 2"/>
    <tableColumn id="30" xr3:uid="{81FCF645-F06B-4CC6-88B5-F4E2F77EA10A}" name="T03.2023" dataDxfId="122" dataCellStyle="Normal 2"/>
    <tableColumn id="31" xr3:uid="{4E888D90-CA05-4E77-9FB8-7246733AAD2F}" name="T04.2023" dataDxfId="121" dataCellStyle="Normal 2"/>
    <tableColumn id="32" xr3:uid="{79C5A840-62C9-489F-8999-BE9DA68B490D}" name="T05.2023" dataDxfId="120" dataCellStyle="Normal 2"/>
    <tableColumn id="33" xr3:uid="{4660253B-C7AE-450A-B162-53E218C74F84}" name="T06.2023" dataDxfId="119" dataCellStyle="Normal 2"/>
    <tableColumn id="34" xr3:uid="{C50D7FA4-A715-4AC4-887D-87E4BE168B73}" name="T07.2023" dataDxfId="118" dataCellStyle="Normal 2"/>
    <tableColumn id="35" xr3:uid="{E0D362B8-9B03-4892-ACF1-164678F4A671}" name="T08.2023" dataDxfId="117" dataCellStyle="Normal 2"/>
    <tableColumn id="36" xr3:uid="{764FC098-3E3A-4F30-8BC5-A42C88989501}" name="T09.2023" dataDxfId="116" dataCellStyle="Normal 2"/>
    <tableColumn id="37" xr3:uid="{2B1ADF2C-9372-43EC-8606-6704A47579AB}" name="T10.2023" dataDxfId="115" dataCellStyle="Normal 2"/>
    <tableColumn id="38" xr3:uid="{7A213BAA-6344-4CEA-A130-03043EAE5D30}" name="T11.2023" dataDxfId="114" dataCellStyle="Normal 2"/>
    <tableColumn id="39" xr3:uid="{1A0BD67A-94B3-4E0C-B630-3D85724B5CFD}" name="T12.2023" dataDxfId="113" dataCellStyle="Normal 2"/>
    <tableColumn id="40" xr3:uid="{45795683-2FD9-40D9-BBAE-A51FC69BB248}" name="T01.2024" dataDxfId="112" dataCellStyle="Normal 2"/>
    <tableColumn id="41" xr3:uid="{1DA49AC5-4C82-462F-A99A-54082AADF6DB}" name="T02.2024" dataDxfId="111" dataCellStyle="Normal 2"/>
    <tableColumn id="42" xr3:uid="{C51C0378-CE9F-48CA-ADAE-4CA377F2D7BB}" name="T03.2024" dataDxfId="110" dataCellStyle="Normal 2"/>
    <tableColumn id="43" xr3:uid="{EDEFBDF9-C973-4653-B8B1-0EF9C88AC210}" name="T04.2024" dataDxfId="109" dataCellStyle="Normal 2"/>
    <tableColumn id="44" xr3:uid="{E7FF94A3-CBF2-4201-A94B-D98EBCB235EE}" name="T05.2024" dataDxfId="108" dataCellStyle="Normal 2"/>
    <tableColumn id="45" xr3:uid="{C5B35C9C-178A-4FE8-B878-B5A0D815B3DA}" name="T06.2024" dataDxfId="107" dataCellStyle="Normal 2"/>
    <tableColumn id="46" xr3:uid="{9C91D370-ED80-434C-913A-D73DAA760D0A}" name="T07.2024" dataDxfId="106" dataCellStyle="Normal 2"/>
    <tableColumn id="47" xr3:uid="{8EEEBD78-3511-4F39-B868-6992906B0639}" name="T08.2024" dataDxfId="105" dataCellStyle="Normal 2"/>
    <tableColumn id="48" xr3:uid="{927BE811-D4C3-477C-9314-56B4A6C742FA}" name="T09.2024" dataDxfId="104" dataCellStyle="Normal 2"/>
    <tableColumn id="49" xr3:uid="{CD5E05AE-80CF-43ED-A85A-C2E8C96E6DF1}" name="T10.2024" dataDxfId="103" dataCellStyle="Normal 2"/>
    <tableColumn id="50" xr3:uid="{C439DC2D-5E71-48A0-8466-E2ACB501B057}" name="T11.2024" dataDxfId="102" dataCellStyle="Normal 2"/>
    <tableColumn id="51" xr3:uid="{45CCC44D-9B92-46A6-97CA-BDEB69B5A954}" name="T12.2024" dataDxfId="101" dataCellStyle="Normal 2"/>
    <tableColumn id="52" xr3:uid="{50B7E4F0-861A-4317-8683-16F1D8461FE2}" name="T01.2025" dataDxfId="100" dataCellStyle="Normal 2"/>
    <tableColumn id="53" xr3:uid="{07783411-3239-4C2F-9FDC-6C5997A30019}" name="T02.2025" dataDxfId="99" dataCellStyle="Normal 2"/>
    <tableColumn id="54" xr3:uid="{5522B82A-3CC2-4CB5-A76E-650CA80D6AC9}" name="T03.2025" dataDxfId="98" dataCellStyle="Normal 2"/>
    <tableColumn id="55" xr3:uid="{C639BDB7-1FD2-416D-8AC1-9B0AC4384681}" name="T04.2025" dataDxfId="97" dataCellStyle="Normal 2"/>
    <tableColumn id="56" xr3:uid="{38BF1E87-63E1-4671-8942-B8274482A7B2}" name="T05.2025" dataDxfId="96" dataCellStyle="Normal 2"/>
    <tableColumn id="57" xr3:uid="{B3752A11-52AC-4FD9-90E7-F3F8E441807E}" name="T06.2025" dataDxfId="95" dataCellStyle="Normal 2"/>
    <tableColumn id="58" xr3:uid="{A1870A5F-38B7-473A-8905-C7FFB6F4F414}" name="T07.2025" dataDxfId="94" dataCellStyle="Normal 2"/>
    <tableColumn id="59" xr3:uid="{BDE520B9-F587-467C-9D19-95C0483BB5BD}" name="T08.2025" dataDxfId="93" dataCellStyle="Normal 2"/>
    <tableColumn id="60" xr3:uid="{7F09AFF6-5199-4611-8C7B-59FAB6CC0CB9}" name="T09.2025" dataDxfId="92" dataCellStyle="Normal 2"/>
    <tableColumn id="61" xr3:uid="{CAD79E9B-CDF8-4437-82E1-383048F30186}" name="T10.2025" dataDxfId="91" dataCellStyle="Normal 2"/>
    <tableColumn id="62" xr3:uid="{2C068344-F541-4CAD-96A2-D45F9D5D3A37}" name="T11.2025" dataDxfId="90" dataCellStyle="Normal 2"/>
    <tableColumn id="63" xr3:uid="{27B75D5C-056C-4A9D-9D7F-37AEA99078FC}" name="T12.2025" dataDxfId="89" dataCellStyle="Normal 2"/>
    <tableColumn id="64" xr3:uid="{F8E5D1E4-7371-4803-8E37-00AF664A0F41}" name="T01.2026" dataDxfId="88" dataCellStyle="Normal 2"/>
    <tableColumn id="65" xr3:uid="{E63D1E74-64BC-47EC-B26A-9369EDF1C317}" name="T02.2026" dataDxfId="87" dataCellStyle="Normal 2"/>
    <tableColumn id="66" xr3:uid="{63AA9E0A-2783-4BCA-AC44-91889DD893FF}" name="T03.2026" dataDxfId="86" dataCellStyle="Normal 2"/>
    <tableColumn id="67" xr3:uid="{8BD20F5C-FBFB-4CB6-80F0-D572C56B0056}" name="T04.2026" dataDxfId="85" dataCellStyle="Normal 2"/>
    <tableColumn id="68" xr3:uid="{5E58C6A2-021E-4F7C-8C48-73A60C52B3D1}" name="T05.2026" dataDxfId="84" dataCellStyle="Normal 2"/>
    <tableColumn id="69" xr3:uid="{F7EEA467-4915-4C3F-99DC-5D30387A9A07}" name="T06.2026" dataDxfId="83" dataCellStyle="Normal 2"/>
    <tableColumn id="70" xr3:uid="{39F0B4F0-0F8B-4FD8-A5DD-B19834C17C95}" name="T07.2026" dataDxfId="82" dataCellStyle="Normal 2"/>
    <tableColumn id="71" xr3:uid="{24716850-7C85-4D38-B947-9E05FBA09C55}" name="T08.2026" dataDxfId="81" dataCellStyle="Normal 2"/>
    <tableColumn id="72" xr3:uid="{B47B101A-EA76-48A7-806B-F2F775B033D2}" name="T09.2026" dataDxfId="80" dataCellStyle="Normal 2"/>
    <tableColumn id="73" xr3:uid="{4E907F87-0131-45B9-AF0F-616BEC689F66}" name="T10.2026" dataDxfId="79" dataCellStyle="Normal 2"/>
    <tableColumn id="74" xr3:uid="{AD1B8077-066A-4140-8879-FAB70A422B16}" name="T11.2026" dataDxfId="78" dataCellStyle="Normal 2"/>
    <tableColumn id="75" xr3:uid="{5E02205D-3DCC-4423-9FA4-6D6586A97398}" name="T12.2026" dataDxfId="77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6A2518-1065-4073-8855-CD8290761D8C}" name="Data_Loan" displayName="Data_Loan" ref="A3:BW74" totalsRowShown="0" headerRowDxfId="76" dataDxfId="75" headerRowCellStyle="Normal 2" dataCellStyle="Normal 2">
  <tableColumns count="75">
    <tableColumn id="1" xr3:uid="{CB850D93-94A0-40DD-BDE6-DB8DB35DC185}" name="Index Loan" dataDxfId="74" dataCellStyle="Normal 2"/>
    <tableColumn id="2" xr3:uid="{DE7479E9-673C-4B9F-B78E-83707B727FD5}" name="PHẦN V: CHI TIẾT NỢ VAY NGÂN HÀNG" dataDxfId="73" dataCellStyle="Normal 2"/>
    <tableColumn id="3" xr3:uid="{7A299076-6F9B-411F-A62D-66E409FF72DE}" name="TenCongTyID" dataDxfId="72" dataCellStyle="Normal 2"/>
    <tableColumn id="4" xr3:uid="{767998D8-5CB5-4789-A154-F2D0C9EAB581}" name="T1.2021" dataDxfId="71" dataCellStyle="Normal 2"/>
    <tableColumn id="5" xr3:uid="{5816DB5D-01B9-41FF-9B85-F215CF54124F}" name="T02.2021" dataDxfId="70" dataCellStyle="Normal 2"/>
    <tableColumn id="6" xr3:uid="{004E6981-AFB2-4B98-B4C9-FDB7D97DC20B}" name="T03.2021" dataDxfId="69" dataCellStyle="Normal 2"/>
    <tableColumn id="7" xr3:uid="{47221F01-E256-4E8F-B3DE-6F3153D39A05}" name="T04.2021" dataDxfId="68" dataCellStyle="Normal 2"/>
    <tableColumn id="8" xr3:uid="{D6638A7F-D9E1-4A55-A4D3-291FFD14EFCF}" name="T05.2021" dataDxfId="67" dataCellStyle="Normal 2"/>
    <tableColumn id="9" xr3:uid="{96F9EAB7-4CE1-4499-90C2-FB9B0CA4B5A6}" name="T06.2021" dataDxfId="66" dataCellStyle="Normal 2"/>
    <tableColumn id="10" xr3:uid="{D6C744C4-3454-4F20-9CAA-E1D5A2A012EA}" name="T07.2021" dataDxfId="65" dataCellStyle="Normal 2"/>
    <tableColumn id="11" xr3:uid="{1AFAD7D8-0F88-4B8B-B487-C1F92A54FBC8}" name="T08.2021" dataDxfId="64" dataCellStyle="Normal 2"/>
    <tableColumn id="12" xr3:uid="{3B67F611-929E-4F26-8763-EF4C700EB488}" name="T09.2021" dataDxfId="63" dataCellStyle="Normal 2"/>
    <tableColumn id="13" xr3:uid="{95C16C54-A69B-44F8-B586-FBFF16F05F53}" name="T10.2021" dataDxfId="62" dataCellStyle="Normal 2"/>
    <tableColumn id="14" xr3:uid="{1BC1E933-9B8D-48FF-8C0D-165D1ACC3D1F}" name="T11.2021" dataDxfId="61" dataCellStyle="Normal 2"/>
    <tableColumn id="15" xr3:uid="{1A94812C-5332-4C53-BCBD-171590BF88F2}" name="T12.2021" dataDxfId="60" dataCellStyle="Normal 2"/>
    <tableColumn id="16" xr3:uid="{5E6D6D6B-4A8A-4141-B54B-F3587FA82E07}" name="T1.2022" dataDxfId="59" dataCellStyle="Normal 2"/>
    <tableColumn id="17" xr3:uid="{2E610773-6AE8-4766-9292-CEFF9C1B39B9}" name="T02.2022" dataDxfId="58" dataCellStyle="Normal 2"/>
    <tableColumn id="18" xr3:uid="{C992DA52-8F6B-4214-87E2-D1766AE54A3D}" name="T03.2022" dataDxfId="57" dataCellStyle="Normal 2"/>
    <tableColumn id="19" xr3:uid="{116254CA-1157-4A00-BE6E-7605D08A95FA}" name="T04.2022" dataDxfId="56" dataCellStyle="Normal 2"/>
    <tableColumn id="20" xr3:uid="{C8F8CA0B-0CCF-42FB-BDC0-68933A20A6D3}" name="T05.2022" dataDxfId="55" dataCellStyle="Normal 2"/>
    <tableColumn id="21" xr3:uid="{D3AB7B9D-6FF1-49C2-8C1F-BA592B9E6EF5}" name="T06.2022" dataDxfId="54" dataCellStyle="Normal 2"/>
    <tableColumn id="22" xr3:uid="{A16C040A-904B-4FAC-ADC8-32E1FFDA9183}" name="T07.2022" dataDxfId="53" dataCellStyle="Normal 2"/>
    <tableColumn id="23" xr3:uid="{18BDCDB6-9029-4F32-88AD-8270E4DE3051}" name="T08.2022" dataDxfId="52" dataCellStyle="Normal 2"/>
    <tableColumn id="24" xr3:uid="{465E5E0F-E7B7-42B6-BE68-7EC34DFDFBAD}" name="T09.2022" dataDxfId="51" dataCellStyle="Normal 2"/>
    <tableColumn id="25" xr3:uid="{0CC04C31-F48F-49C3-9EAB-7E86F80F1C28}" name="T10.2022" dataDxfId="50" dataCellStyle="Normal 2"/>
    <tableColumn id="26" xr3:uid="{4B390DE7-8D16-4146-8F1E-6C5CC09F0FD1}" name="T11.2022" dataDxfId="49" dataCellStyle="Normal 2"/>
    <tableColumn id="27" xr3:uid="{17E178EA-7917-41DE-ABCA-B132D70B60AC}" name="T12.2022" dataDxfId="48" dataCellStyle="Normal 2"/>
    <tableColumn id="28" xr3:uid="{2E7B7B65-EE41-4790-BCFC-9ADD0F797473}" name="T1.2023" dataDxfId="47" dataCellStyle="Normal 2"/>
    <tableColumn id="29" xr3:uid="{001D9914-23CC-47E5-A264-F662AFA01989}" name="T02.2023" dataDxfId="46" dataCellStyle="Normal 2"/>
    <tableColumn id="30" xr3:uid="{5564D827-1E98-4C6A-8A3F-049594E8BA99}" name="T03.2023" dataDxfId="45" dataCellStyle="Normal 2"/>
    <tableColumn id="31" xr3:uid="{E3BBC626-90B4-4079-A3EB-23DA1FB0E4FE}" name="T04.2023" dataDxfId="44" dataCellStyle="Normal 2"/>
    <tableColumn id="32" xr3:uid="{0B683A6D-8C9E-4587-9F56-0F34BB0EB2A3}" name="T05.2023" dataDxfId="43" dataCellStyle="Normal 2"/>
    <tableColumn id="33" xr3:uid="{9060B830-DBD3-4D90-ABBB-1EF512A27779}" name="T06.2023" dataDxfId="42" dataCellStyle="Normal 2"/>
    <tableColumn id="34" xr3:uid="{8BAC83AC-43EA-405F-8AF8-CED522B5D388}" name="T07.2023" dataDxfId="41" dataCellStyle="Normal 2"/>
    <tableColumn id="35" xr3:uid="{5B319937-284C-46B7-A7EF-EC02CD52AED4}" name="T08.2023" dataDxfId="40" dataCellStyle="Normal 2"/>
    <tableColumn id="36" xr3:uid="{FA18F312-B5AE-49DD-BABF-0D82827BDCF7}" name="T09.2023" dataDxfId="39" dataCellStyle="Normal 2"/>
    <tableColumn id="37" xr3:uid="{6F6AAEB8-1DC2-4A72-B3F2-1F5AA5474288}" name="T10.2023" dataDxfId="38" dataCellStyle="Normal 2"/>
    <tableColumn id="38" xr3:uid="{853A5275-8792-48AE-8A5E-E68792AEA3CA}" name="T11.2023" dataDxfId="37" dataCellStyle="Normal 2"/>
    <tableColumn id="39" xr3:uid="{D0827DB6-36FF-4ECA-97CC-38C2F1899920}" name="T12.2023" dataDxfId="36" dataCellStyle="Normal 2"/>
    <tableColumn id="40" xr3:uid="{C4781926-86B3-4FBF-A9E5-A5C90D52E318}" name="T01.2024" dataDxfId="35" dataCellStyle="Normal 2"/>
    <tableColumn id="41" xr3:uid="{2DA6C329-DEC0-42DE-92C0-CE41A682BF53}" name="T02.2024" dataDxfId="34" dataCellStyle="Normal 2"/>
    <tableColumn id="42" xr3:uid="{7A84FBAA-4A30-4979-8688-71A33780B1F8}" name="T03.2024" dataDxfId="33" dataCellStyle="Normal 2"/>
    <tableColumn id="43" xr3:uid="{DE46645D-EB00-4CA3-BB32-16B97A15C4E4}" name="T04.2024" dataDxfId="32" dataCellStyle="Normal 2"/>
    <tableColumn id="44" xr3:uid="{AD20D5AB-D62C-4F3B-97EB-29E683700EC2}" name="T05.2024" dataDxfId="31" dataCellStyle="Normal 2"/>
    <tableColumn id="45" xr3:uid="{D5D5A9F4-D380-47EE-9F4C-C46F83A6AA1D}" name="T06.2024" dataDxfId="30" dataCellStyle="Normal 2"/>
    <tableColumn id="46" xr3:uid="{58C46039-CEFD-4C8A-8AA9-7051F6977082}" name="T07.2024" dataDxfId="29" dataCellStyle="Normal 2"/>
    <tableColumn id="47" xr3:uid="{1903512A-D1C2-4C04-9562-6ED96C23635C}" name="T08.2024" dataDxfId="28" dataCellStyle="Normal 2"/>
    <tableColumn id="48" xr3:uid="{EA2F8858-8C58-4D92-8558-CDA1B859EA74}" name="T09.2024" dataDxfId="27" dataCellStyle="Normal 2"/>
    <tableColumn id="49" xr3:uid="{4BAF26D0-1139-458F-A4B6-3C3105F78CFB}" name="T10.2024" dataDxfId="26" dataCellStyle="Normal 2"/>
    <tableColumn id="50" xr3:uid="{FAA7E747-452C-4F13-BFD1-C5B79A15FFAF}" name="T11.2024" dataDxfId="25" dataCellStyle="Normal 2"/>
    <tableColumn id="51" xr3:uid="{88247BD9-E98E-489B-9E63-73034C6D8D4F}" name="T12.2024" dataDxfId="24" dataCellStyle="Normal 2"/>
    <tableColumn id="52" xr3:uid="{A4768191-0C4E-4EB6-B6E7-8D8090ED5B2C}" name="T01.2025" dataDxfId="23" dataCellStyle="Normal 2">
      <calculatedColumnFormula>'KQKD theo yeu to'!AZ51/AZ$40</calculatedColumnFormula>
    </tableColumn>
    <tableColumn id="53" xr3:uid="{07CB03E1-051D-4970-8023-473F12F487E6}" name="T02.2025" dataDxfId="22" dataCellStyle="Normal 2">
      <calculatedColumnFormula>'KQKD theo yeu to'!BA51/BA$40</calculatedColumnFormula>
    </tableColumn>
    <tableColumn id="54" xr3:uid="{51EFBB30-3F66-4B60-8564-BC84ADFCD07D}" name="T03.2025" dataDxfId="21" dataCellStyle="Normal 2">
      <calculatedColumnFormula>'KQKD theo yeu to'!BB51/BB$40</calculatedColumnFormula>
    </tableColumn>
    <tableColumn id="55" xr3:uid="{CECE7AAA-CF94-4387-8613-16831EE609E5}" name="T04.2025" dataDxfId="20" dataCellStyle="Normal 2">
      <calculatedColumnFormula>'KQKD theo yeu to'!BC51/BC$40</calculatedColumnFormula>
    </tableColumn>
    <tableColumn id="56" xr3:uid="{E8DE9C7A-670B-46B5-B314-5DAAF9098296}" name="T05.2025" dataDxfId="19" dataCellStyle="Normal 2">
      <calculatedColumnFormula>'KQKD theo yeu to'!BD51/BD$40</calculatedColumnFormula>
    </tableColumn>
    <tableColumn id="57" xr3:uid="{B6936F29-FB9F-49E1-B2C3-0297AB41BC91}" name="T06.2025" dataDxfId="18" dataCellStyle="Normal 2">
      <calculatedColumnFormula>'KQKD theo yeu to'!BE51/BE$40</calculatedColumnFormula>
    </tableColumn>
    <tableColumn id="58" xr3:uid="{DF1BAC63-6BEE-49FD-9C6A-3F14F4734B54}" name="T07.2025" dataDxfId="17" dataCellStyle="Normal 2">
      <calculatedColumnFormula>'KQKD theo yeu to'!BF51/BF$40</calculatedColumnFormula>
    </tableColumn>
    <tableColumn id="59" xr3:uid="{2B829319-3E0D-4C78-B005-7DF9931C3BDB}" name="T08.2025" dataDxfId="16" dataCellStyle="Normal 2">
      <calculatedColumnFormula>'KQKD theo yeu to'!BG51/BG$40</calculatedColumnFormula>
    </tableColumn>
    <tableColumn id="60" xr3:uid="{8F75313B-DE2D-4D4F-AD25-E2C997C06CCF}" name="T09.2025" dataDxfId="15" dataCellStyle="Normal 2">
      <calculatedColumnFormula>'KQKD theo yeu to'!BH51/BH$40</calculatedColumnFormula>
    </tableColumn>
    <tableColumn id="61" xr3:uid="{CC008DEE-2C1D-41F5-B350-F47D1911351A}" name="T10.2025" dataDxfId="14" dataCellStyle="Normal 2"/>
    <tableColumn id="62" xr3:uid="{0D447DAA-DE0C-48BA-8BB2-661F96C8712F}" name="T11.2025" dataDxfId="13" dataCellStyle="Normal 2"/>
    <tableColumn id="63" xr3:uid="{9785EAB6-EBD4-4C57-BD96-E5C04EC62562}" name="T12.2025" dataDxfId="12" dataCellStyle="Normal 2"/>
    <tableColumn id="64" xr3:uid="{50B822AC-3D3A-4DFA-85DE-0B5AE345F418}" name="T01.2026" dataDxfId="11" dataCellStyle="Normal 2"/>
    <tableColumn id="65" xr3:uid="{0F79E89E-A066-4A34-A5CA-039B4DEEECA9}" name="T02.2026" dataDxfId="10" dataCellStyle="Normal 2"/>
    <tableColumn id="66" xr3:uid="{40AB1D8D-3BD5-440F-A2F2-36FD5EA68839}" name="T03.2026" dataDxfId="9" dataCellStyle="Normal 2"/>
    <tableColumn id="67" xr3:uid="{E6AD70F6-B38E-4A87-ADA6-2DBC995B771D}" name="T04.2026" dataDxfId="8" dataCellStyle="Normal 2"/>
    <tableColumn id="68" xr3:uid="{710DF88E-BB88-4E8F-A150-3EB82CF16E28}" name="T05.2026" dataDxfId="7" dataCellStyle="Normal 2"/>
    <tableColumn id="69" xr3:uid="{9FB42754-C5D1-4490-B8AE-B827EE315501}" name="T06.2026" dataDxfId="6" dataCellStyle="Normal 2"/>
    <tableColumn id="70" xr3:uid="{2736F25C-CBDB-4F6B-AA20-754F406CE042}" name="T07.2026" dataDxfId="5" dataCellStyle="Normal 2"/>
    <tableColumn id="71" xr3:uid="{221179AF-96FB-44A0-99DE-03537C207E65}" name="T08.2026" dataDxfId="4" dataCellStyle="Normal 2"/>
    <tableColumn id="72" xr3:uid="{9983F6B3-276E-4FF4-869E-A98BC3AB2D59}" name="T09.2026" dataDxfId="3" dataCellStyle="Normal 2"/>
    <tableColumn id="73" xr3:uid="{29485E18-5798-4607-8A12-B6E77606AE5E}" name="T10.2026" dataDxfId="2" dataCellStyle="Normal 2"/>
    <tableColumn id="74" xr3:uid="{A9460EB1-71DA-4315-B688-C69F4CCC5574}" name="T11.2026" dataDxfId="1" dataCellStyle="Normal 2"/>
    <tableColumn id="75" xr3:uid="{7942A990-7E86-47BF-9711-E693179816EE}" name="T12.2026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6682-461D-4A7D-B197-8EA7D8BD16A5}">
  <sheetPr>
    <tabColor theme="9" tint="0.59999389629810485"/>
  </sheetPr>
  <dimension ref="A1:J19"/>
  <sheetViews>
    <sheetView showGridLines="0" workbookViewId="0">
      <selection activeCell="C10" sqref="C10"/>
    </sheetView>
  </sheetViews>
  <sheetFormatPr defaultColWidth="9.33203125" defaultRowHeight="13.2"/>
  <cols>
    <col min="1" max="1" width="12.6640625" style="204" customWidth="1"/>
    <col min="2" max="2" width="19.5546875" style="204" bestFit="1" customWidth="1"/>
    <col min="3" max="3" width="11.33203125" style="204" customWidth="1"/>
    <col min="4" max="16384" width="9.33203125" style="204"/>
  </cols>
  <sheetData>
    <row r="1" spans="1:10" s="196" customFormat="1" ht="15.6">
      <c r="A1" s="194" t="s">
        <v>0</v>
      </c>
      <c r="B1" s="195"/>
      <c r="C1" s="195"/>
      <c r="D1" s="195"/>
      <c r="E1" s="195"/>
      <c r="J1" s="197"/>
    </row>
    <row r="2" spans="1:10" s="196" customFormat="1" ht="16.2" thickBot="1">
      <c r="A2" s="198" t="s">
        <v>637</v>
      </c>
      <c r="B2" s="198"/>
      <c r="C2" s="198"/>
      <c r="D2" s="198"/>
      <c r="E2" s="198"/>
      <c r="F2" s="199"/>
      <c r="G2" s="199"/>
      <c r="H2" s="199"/>
      <c r="I2" s="199"/>
      <c r="J2" s="200"/>
    </row>
    <row r="3" spans="1:10" s="196" customFormat="1" ht="15.6">
      <c r="A3" s="195" t="s">
        <v>1</v>
      </c>
      <c r="B3" s="201"/>
      <c r="J3" s="202"/>
    </row>
    <row r="4" spans="1:10">
      <c r="A4" s="203" t="s">
        <v>2</v>
      </c>
    </row>
    <row r="6" spans="1:10">
      <c r="B6" s="204" t="s">
        <v>3</v>
      </c>
      <c r="C6" s="205">
        <v>2026</v>
      </c>
    </row>
    <row r="7" spans="1:10">
      <c r="B7" s="204" t="s">
        <v>4</v>
      </c>
      <c r="C7" s="204">
        <f>C6-1</f>
        <v>2025</v>
      </c>
    </row>
    <row r="9" spans="1:10">
      <c r="B9" s="206" t="s">
        <v>5</v>
      </c>
      <c r="C9" s="207">
        <v>6</v>
      </c>
      <c r="F9" s="208"/>
    </row>
    <row r="10" spans="1:10">
      <c r="B10" s="206"/>
    </row>
    <row r="12" spans="1:10" ht="13.8">
      <c r="B12" s="209" t="s">
        <v>6</v>
      </c>
    </row>
    <row r="13" spans="1:10" ht="13.8">
      <c r="B13" s="210"/>
    </row>
    <row r="15" spans="1:10" ht="13.8">
      <c r="B15" s="209" t="s">
        <v>7</v>
      </c>
    </row>
    <row r="16" spans="1:10" ht="13.8">
      <c r="B16" s="210"/>
    </row>
    <row r="18" spans="2:2" ht="13.8">
      <c r="B18" s="209" t="s">
        <v>8</v>
      </c>
    </row>
    <row r="19" spans="2:2" ht="13.8">
      <c r="B19" s="2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5773-F1DA-4D69-B46F-6F89E515B8B5}">
  <sheetPr>
    <tabColor theme="9" tint="0.59999389629810485"/>
  </sheetPr>
  <dimension ref="A3:J50"/>
  <sheetViews>
    <sheetView showGridLines="0" showZeros="0" workbookViewId="0">
      <selection activeCell="L29" sqref="L29"/>
    </sheetView>
  </sheetViews>
  <sheetFormatPr defaultColWidth="9.33203125" defaultRowHeight="13.8"/>
  <cols>
    <col min="1" max="9" width="9.33203125" style="213"/>
    <col min="10" max="10" width="5.6640625" style="213" customWidth="1"/>
    <col min="11" max="11" width="11" style="213" customWidth="1"/>
    <col min="12" max="16384" width="9.33203125" style="213"/>
  </cols>
  <sheetData>
    <row r="3" spans="9:9">
      <c r="I3" s="212"/>
    </row>
    <row r="4" spans="9:9" ht="24" customHeight="1"/>
    <row r="5" spans="9:9" ht="31.5" customHeight="1"/>
    <row r="6" spans="9:9" ht="21.75" customHeight="1"/>
    <row r="26" spans="1:10" ht="24" customHeight="1">
      <c r="B26" s="214"/>
    </row>
    <row r="27" spans="1:10" ht="21">
      <c r="A27" s="607"/>
      <c r="B27" s="607"/>
      <c r="C27" s="607"/>
      <c r="D27" s="607"/>
      <c r="E27" s="607"/>
      <c r="F27" s="607"/>
      <c r="G27" s="607"/>
      <c r="H27" s="607"/>
      <c r="I27" s="607"/>
      <c r="J27" s="607"/>
    </row>
    <row r="28" spans="1:10" ht="6.75" customHeight="1"/>
    <row r="29" spans="1:10" ht="22.5" customHeight="1">
      <c r="A29" s="215"/>
      <c r="B29" s="608" t="s">
        <v>658</v>
      </c>
      <c r="C29" s="609"/>
      <c r="D29" s="608"/>
      <c r="E29" s="609"/>
      <c r="F29" s="609"/>
      <c r="G29" s="609"/>
      <c r="H29" s="609"/>
      <c r="I29" s="609"/>
      <c r="J29" s="609"/>
    </row>
    <row r="30" spans="1:10" ht="16.2" customHeight="1">
      <c r="A30" s="216"/>
      <c r="B30" s="217"/>
      <c r="C30" s="217"/>
      <c r="D30" s="217"/>
      <c r="E30" s="217"/>
      <c r="F30" s="217"/>
      <c r="G30" s="217"/>
      <c r="H30" s="217"/>
      <c r="I30" s="217"/>
      <c r="J30" s="217"/>
    </row>
    <row r="31" spans="1:10" ht="16.2" customHeight="1">
      <c r="A31" s="215"/>
      <c r="B31" s="217"/>
      <c r="C31" s="217"/>
      <c r="D31" s="217"/>
      <c r="E31" s="217"/>
      <c r="F31" s="217"/>
      <c r="G31" s="217"/>
      <c r="H31" s="217"/>
      <c r="I31" s="217"/>
      <c r="J31" s="217"/>
    </row>
    <row r="34" spans="1:10" ht="15" customHeight="1">
      <c r="B34" s="610"/>
      <c r="C34" s="610"/>
      <c r="D34" s="610"/>
      <c r="E34" s="610"/>
      <c r="F34" s="610"/>
      <c r="G34" s="610"/>
      <c r="H34" s="610"/>
      <c r="I34" s="610"/>
      <c r="J34" s="610"/>
    </row>
    <row r="45" spans="1:10" ht="3" customHeight="1"/>
    <row r="46" spans="1:10" ht="16.5" customHeight="1">
      <c r="A46" s="218"/>
    </row>
    <row r="47" spans="1:10" ht="22.5" customHeight="1">
      <c r="A47" s="219"/>
      <c r="B47" s="217"/>
      <c r="C47" s="217"/>
      <c r="D47" s="217"/>
      <c r="E47" s="217"/>
      <c r="F47" s="217"/>
      <c r="G47" s="217"/>
      <c r="H47" s="217"/>
      <c r="I47" s="217"/>
      <c r="J47" s="217"/>
    </row>
    <row r="48" spans="1:10">
      <c r="A48" s="219"/>
      <c r="B48" s="217"/>
      <c r="C48" s="217"/>
      <c r="D48" s="217"/>
      <c r="E48" s="217"/>
      <c r="F48" s="217"/>
      <c r="G48" s="217"/>
      <c r="H48" s="217"/>
      <c r="I48" s="217"/>
      <c r="J48" s="217"/>
    </row>
    <row r="49" spans="1:10">
      <c r="A49" s="219"/>
      <c r="B49" s="217"/>
      <c r="C49" s="217"/>
      <c r="D49" s="217"/>
      <c r="E49" s="217"/>
      <c r="F49" s="217"/>
      <c r="G49" s="217"/>
      <c r="H49" s="217"/>
      <c r="I49" s="217"/>
      <c r="J49" s="217"/>
    </row>
    <row r="50" spans="1:10" ht="15" customHeight="1">
      <c r="B50" s="611" t="s">
        <v>657</v>
      </c>
      <c r="C50" s="611"/>
      <c r="D50" s="611"/>
      <c r="E50" s="611"/>
      <c r="F50" s="611"/>
      <c r="G50" s="611"/>
      <c r="H50" s="611"/>
      <c r="I50" s="611"/>
      <c r="J50" s="611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6B71-84C3-4257-BB24-70803C8F9771}">
  <sheetPr>
    <tabColor theme="8" tint="0.59999389629810485"/>
  </sheetPr>
  <dimension ref="A1:I31"/>
  <sheetViews>
    <sheetView showGridLines="0" showZeros="0" zoomScaleNormal="100" workbookViewId="0">
      <selection activeCell="A10" sqref="A10"/>
    </sheetView>
  </sheetViews>
  <sheetFormatPr defaultColWidth="9.33203125" defaultRowHeight="15.6"/>
  <cols>
    <col min="1" max="5" width="9.33203125" style="222"/>
    <col min="6" max="6" width="12.33203125" style="222" customWidth="1"/>
    <col min="7" max="8" width="9.33203125" style="222"/>
    <col min="9" max="9" width="26.33203125" style="222" customWidth="1"/>
    <col min="10" max="16384" width="9.33203125" style="222"/>
  </cols>
  <sheetData>
    <row r="1" spans="1:9" s="196" customFormat="1">
      <c r="A1" s="220" t="str">
        <f>'Thong tin'!A1</f>
        <v>CÔNG TY CP NHỰA TÁI CHẾ DUY TÂN</v>
      </c>
      <c r="I1" s="197" t="s">
        <v>9</v>
      </c>
    </row>
    <row r="2" spans="1:9" s="196" customFormat="1" ht="16.2" thickBot="1">
      <c r="A2" s="199" t="str">
        <f>'Thong tin'!A2</f>
        <v>Địa chỉ: Lô D2, Cụm CN Nhựa Đức Hòa, Xã Đức Hòa, Tỉnh Tây Ninh</v>
      </c>
      <c r="B2" s="199"/>
      <c r="C2" s="199"/>
      <c r="D2" s="199"/>
      <c r="E2" s="199"/>
      <c r="F2" s="199"/>
      <c r="G2" s="199"/>
      <c r="H2" s="199"/>
      <c r="I2" s="200"/>
    </row>
    <row r="5" spans="1:9">
      <c r="A5" s="221"/>
    </row>
    <row r="10" spans="1:9" ht="20.399999999999999">
      <c r="A10" s="223" t="str">
        <f>"BÁO CÁO TÀI CHÍNH THÁNG "&amp;'Thong tin'!C9&amp;" NĂM 2026"</f>
        <v>BÁO CÁO TÀI CHÍNH THÁNG 6 NĂM 2026</v>
      </c>
      <c r="I10" s="224" t="s">
        <v>10</v>
      </c>
    </row>
    <row r="11" spans="1:9" ht="20.399999999999999">
      <c r="A11" s="223"/>
    </row>
    <row r="12" spans="1:9" s="225" customFormat="1" ht="25.2" hidden="1" customHeight="1">
      <c r="A12" s="225" t="s">
        <v>11</v>
      </c>
      <c r="I12" s="226" t="s">
        <v>12</v>
      </c>
    </row>
    <row r="13" spans="1:9" s="225" customFormat="1" ht="25.2" hidden="1" customHeight="1">
      <c r="A13" s="225" t="s">
        <v>13</v>
      </c>
      <c r="I13" s="226" t="s">
        <v>14</v>
      </c>
    </row>
    <row r="14" spans="1:9" s="228" customFormat="1" ht="27" customHeight="1">
      <c r="A14" s="227" t="s">
        <v>15</v>
      </c>
      <c r="I14" s="229" t="s">
        <v>16</v>
      </c>
    </row>
    <row r="15" spans="1:9" s="231" customFormat="1" ht="25.5" customHeight="1">
      <c r="A15" s="230" t="s">
        <v>17</v>
      </c>
      <c r="I15" s="232" t="s">
        <v>18</v>
      </c>
    </row>
    <row r="16" spans="1:9" s="234" customFormat="1" ht="27.75" customHeight="1">
      <c r="A16" s="233" t="s">
        <v>19</v>
      </c>
      <c r="I16" s="235" t="s">
        <v>20</v>
      </c>
    </row>
    <row r="17" spans="1:9" ht="27" hidden="1" customHeight="1">
      <c r="A17" s="236" t="s">
        <v>21</v>
      </c>
      <c r="I17" s="237" t="s">
        <v>22</v>
      </c>
    </row>
    <row r="30" spans="1:9" s="225" customFormat="1">
      <c r="A30" s="612" t="s">
        <v>23</v>
      </c>
      <c r="B30" s="612"/>
      <c r="C30" s="612"/>
      <c r="D30" s="612"/>
      <c r="E30" s="612"/>
      <c r="F30" s="612"/>
      <c r="G30" s="612"/>
      <c r="H30" s="612"/>
      <c r="I30" s="612"/>
    </row>
    <row r="31" spans="1:9" s="225" customFormat="1">
      <c r="A31" s="612" t="s">
        <v>24</v>
      </c>
      <c r="B31" s="612"/>
      <c r="C31" s="612"/>
      <c r="D31" s="612"/>
      <c r="E31" s="612"/>
      <c r="F31" s="612"/>
      <c r="G31" s="612"/>
      <c r="H31" s="612"/>
      <c r="I31" s="612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21EC-EF07-473C-BBB5-D5668FAEF996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146" activePane="bottomRight" state="frozen"/>
      <selection pane="topRight" activeCell="P9" sqref="P9"/>
      <selection pane="bottomLeft" activeCell="P9" sqref="P9"/>
      <selection pane="bottomRight" activeCell="E144" sqref="E144"/>
    </sheetView>
  </sheetViews>
  <sheetFormatPr defaultColWidth="9.33203125" defaultRowHeight="13.8"/>
  <cols>
    <col min="1" max="1" width="57.5546875" style="243" customWidth="1"/>
    <col min="2" max="2" width="20" style="278" customWidth="1"/>
    <col min="3" max="3" width="20" style="278" bestFit="1" customWidth="1"/>
    <col min="4" max="4" width="6.5546875" style="243" hidden="1" customWidth="1"/>
    <col min="5" max="5" width="16.33203125" style="243" bestFit="1" customWidth="1"/>
    <col min="6" max="16384" width="9.33203125" style="243"/>
  </cols>
  <sheetData>
    <row r="1" spans="1:10" s="240" customFormat="1" ht="15.6">
      <c r="A1" s="238" t="str">
        <f>'Thong tin'!$A$1</f>
        <v>CÔNG TY CP NHỰA TÁI CHẾ DUY TÂN</v>
      </c>
      <c r="B1" s="239"/>
      <c r="C1" s="197"/>
    </row>
    <row r="2" spans="1:10" s="240" customFormat="1" ht="16.2" thickBot="1">
      <c r="A2" s="241" t="str">
        <f>'Thong tin'!$A$2</f>
        <v>Địa chỉ: Lô D2, Cụm CN Nhựa Đức Hòa, Xã Đức Hòa, Tỉnh Tây Ninh</v>
      </c>
      <c r="B2" s="242"/>
      <c r="C2" s="200"/>
    </row>
    <row r="3" spans="1:10" s="240" customFormat="1" ht="15.6">
      <c r="A3" s="243"/>
      <c r="B3" s="239"/>
      <c r="C3" s="202"/>
    </row>
    <row r="4" spans="1:10" ht="20.399999999999999">
      <c r="A4" s="613" t="s">
        <v>25</v>
      </c>
      <c r="B4" s="613"/>
      <c r="C4" s="613"/>
    </row>
    <row r="5" spans="1:10" ht="15.6">
      <c r="A5" s="614" t="str">
        <f>"Năm " &amp; 'Thong tin'!$C$6</f>
        <v>Năm 2026</v>
      </c>
      <c r="B5" s="614"/>
      <c r="C5" s="614"/>
    </row>
    <row r="6" spans="1:10">
      <c r="A6" s="244"/>
      <c r="B6" s="245"/>
      <c r="C6" s="246" t="str">
        <f>'KQKD in'!G6</f>
        <v>ĐVT: VNĐ</v>
      </c>
    </row>
    <row r="7" spans="1:10" s="251" customFormat="1" ht="30" customHeight="1">
      <c r="A7" s="247" t="s">
        <v>26</v>
      </c>
      <c r="B7" s="248" t="str">
        <f>"Số cuối tháng"&amp;" "&amp;$D$7</f>
        <v>Số cuối tháng 6</v>
      </c>
      <c r="C7" s="249" t="str">
        <f>"Số dư đầu năm " &amp; 'Thong tin'!$C$6</f>
        <v>Số dư đầu năm 2026</v>
      </c>
      <c r="D7" s="250">
        <f>'Thong tin'!C9</f>
        <v>6</v>
      </c>
    </row>
    <row r="8" spans="1:10" s="255" customFormat="1">
      <c r="A8" s="252" t="s">
        <v>27</v>
      </c>
      <c r="B8" s="253">
        <f ca="1">B10+B14+B22+B31+B40</f>
        <v>820219773119</v>
      </c>
      <c r="C8" s="253">
        <f>C10+C14+C22+C31+C40</f>
        <v>945217150933</v>
      </c>
      <c r="D8" s="254"/>
      <c r="E8" s="254"/>
    </row>
    <row r="9" spans="1:10">
      <c r="A9" s="256"/>
      <c r="B9" s="257"/>
      <c r="C9" s="257"/>
    </row>
    <row r="10" spans="1:10" s="240" customFormat="1">
      <c r="A10" s="258" t="s">
        <v>28</v>
      </c>
      <c r="B10" s="259">
        <f t="shared" ref="B10:C10" ca="1" si="0">SUM(B11:B12)</f>
        <v>41687049619</v>
      </c>
      <c r="C10" s="259">
        <f t="shared" si="0"/>
        <v>36834893155</v>
      </c>
    </row>
    <row r="11" spans="1:10">
      <c r="A11" s="256" t="s">
        <v>29</v>
      </c>
      <c r="B11" s="257">
        <f ca="1">OFFSET('Tinh hinh tai chinh'!$BL6,0,'THTC in'!$D$7 - 1)</f>
        <v>26931785662</v>
      </c>
      <c r="C11" s="257">
        <f>'Tinh hinh tai chinh'!BK6</f>
        <v>36834893155</v>
      </c>
    </row>
    <row r="12" spans="1:10">
      <c r="A12" s="256" t="s">
        <v>30</v>
      </c>
      <c r="B12" s="257">
        <f ca="1">OFFSET('Tinh hinh tai chinh'!$BL7,0,'THTC in'!$D$7 - 1)</f>
        <v>14755263957</v>
      </c>
      <c r="C12" s="257">
        <f>'Tinh hinh tai chinh'!BK7</f>
        <v>0</v>
      </c>
    </row>
    <row r="13" spans="1:10">
      <c r="A13" s="256"/>
      <c r="B13" s="257"/>
      <c r="C13" s="257"/>
      <c r="J13" s="260"/>
    </row>
    <row r="14" spans="1:10" s="240" customFormat="1">
      <c r="A14" s="258" t="s">
        <v>31</v>
      </c>
      <c r="B14" s="259">
        <f ca="1">SUM(B15:B20)</f>
        <v>34340000000</v>
      </c>
      <c r="C14" s="259">
        <f>SUM(C15:C20)</f>
        <v>32840000000</v>
      </c>
    </row>
    <row r="15" spans="1:10">
      <c r="A15" s="256" t="s">
        <v>32</v>
      </c>
      <c r="B15" s="257">
        <f ca="1">OFFSET('Tinh hinh tai chinh'!$BL9,0,'THTC in'!$D$7 - 1)</f>
        <v>0</v>
      </c>
      <c r="C15" s="257">
        <f>'Tinh hinh tai chinh'!BK9</f>
        <v>0</v>
      </c>
      <c r="J15" s="260"/>
    </row>
    <row r="16" spans="1:10" ht="17.25" customHeight="1">
      <c r="A16" s="261" t="s">
        <v>33</v>
      </c>
      <c r="B16" s="257">
        <f ca="1">OFFSET('Tinh hinh tai chinh'!$BL10,0,'THTC in'!$D$7 - 1)</f>
        <v>0</v>
      </c>
      <c r="C16" s="257">
        <f>'Tinh hinh tai chinh'!BK10</f>
        <v>0</v>
      </c>
    </row>
    <row r="17" spans="1:6" ht="18" customHeight="1">
      <c r="A17" s="262" t="s">
        <v>34</v>
      </c>
      <c r="B17" s="257">
        <f ca="1">OFFSET('Tinh hinh tai chinh'!$BL11,0,'THTC in'!$D$7 - 1)</f>
        <v>34340000000</v>
      </c>
      <c r="C17" s="257">
        <f>'Tinh hinh tai chinh'!BK11</f>
        <v>32840000000</v>
      </c>
    </row>
    <row r="18" spans="1:6" ht="18" customHeight="1">
      <c r="A18" s="262" t="s">
        <v>35</v>
      </c>
      <c r="B18" s="257">
        <f ca="1">OFFSET('Tinh hinh tai chinh'!$BL12,0,'THTC in'!$D$7 - 1)</f>
        <v>0</v>
      </c>
      <c r="C18" s="257">
        <f>'Tinh hinh tai chinh'!BK12</f>
        <v>0</v>
      </c>
    </row>
    <row r="19" spans="1:6" ht="18" customHeight="1">
      <c r="A19" s="262" t="s">
        <v>36</v>
      </c>
      <c r="B19" s="257">
        <f ca="1">OFFSET('Tinh hinh tai chinh'!$BL13,0,'THTC in'!$D$7 - 1)</f>
        <v>0</v>
      </c>
      <c r="C19" s="257">
        <f>'Tinh hinh tai chinh'!BK13</f>
        <v>0</v>
      </c>
    </row>
    <row r="20" spans="1:6" ht="18" customHeight="1">
      <c r="A20" s="262" t="s">
        <v>37</v>
      </c>
      <c r="B20" s="257">
        <f ca="1">OFFSET('Tinh hinh tai chinh'!$BL14,0,'THTC in'!$D$7 - 1)</f>
        <v>0</v>
      </c>
      <c r="C20" s="257">
        <f>'Tinh hinh tai chinh'!BK14</f>
        <v>0</v>
      </c>
    </row>
    <row r="21" spans="1:6" ht="15" customHeight="1">
      <c r="A21" s="262"/>
      <c r="B21" s="257"/>
      <c r="C21" s="257"/>
    </row>
    <row r="22" spans="1:6" s="240" customFormat="1">
      <c r="A22" s="258" t="s">
        <v>38</v>
      </c>
      <c r="B22" s="259">
        <f ca="1">SUM(B23:B29)</f>
        <v>310082966155</v>
      </c>
      <c r="C22" s="259">
        <f>SUM(C23:C29)</f>
        <v>293560124180</v>
      </c>
    </row>
    <row r="23" spans="1:6">
      <c r="A23" s="256" t="s">
        <v>39</v>
      </c>
      <c r="B23" s="257">
        <f ca="1">OFFSET('Tinh hinh tai chinh'!$BL16,0,'THTC in'!$D$7 - 1)</f>
        <v>169259122091</v>
      </c>
      <c r="C23" s="257">
        <f>'Tinh hinh tai chinh'!BK16</f>
        <v>154342206132</v>
      </c>
      <c r="D23" s="263"/>
      <c r="F23" s="263"/>
    </row>
    <row r="24" spans="1:6">
      <c r="A24" s="256" t="s">
        <v>40</v>
      </c>
      <c r="B24" s="257">
        <f ca="1">OFFSET('Tinh hinh tai chinh'!$BL17,0,'THTC in'!$D$7 - 1)</f>
        <v>49662085677</v>
      </c>
      <c r="C24" s="257">
        <f>'Tinh hinh tai chinh'!BK17</f>
        <v>67613421375</v>
      </c>
    </row>
    <row r="25" spans="1:6">
      <c r="A25" s="256" t="s">
        <v>41</v>
      </c>
      <c r="B25" s="257">
        <f ca="1">OFFSET('Tinh hinh tai chinh'!$BL18,0,'THTC in'!$D$7 - 1)</f>
        <v>0</v>
      </c>
      <c r="C25" s="257">
        <f>'Tinh hinh tai chinh'!BK18</f>
        <v>0</v>
      </c>
    </row>
    <row r="26" spans="1:6" ht="16.5" customHeight="1">
      <c r="A26" s="261" t="s">
        <v>42</v>
      </c>
      <c r="B26" s="257">
        <f ca="1">OFFSET('Tinh hinh tai chinh'!$BL19,0,'THTC in'!$D$7 - 1)</f>
        <v>0</v>
      </c>
      <c r="C26" s="257">
        <f>'Tinh hinh tai chinh'!BK19</f>
        <v>0</v>
      </c>
    </row>
    <row r="27" spans="1:6">
      <c r="A27" s="256" t="s">
        <v>43</v>
      </c>
      <c r="B27" s="257">
        <f ca="1">OFFSET('Tinh hinh tai chinh'!$BL20,0,'THTC in'!$D$7 - 1)</f>
        <v>91770854087</v>
      </c>
      <c r="C27" s="257">
        <f>'Tinh hinh tai chinh'!BK20</f>
        <v>72213592373</v>
      </c>
    </row>
    <row r="28" spans="1:6">
      <c r="A28" s="256" t="s">
        <v>44</v>
      </c>
      <c r="B28" s="257">
        <f ca="1">OFFSET('Tinh hinh tai chinh'!$BL21,0,'THTC in'!$D$7 - 1)</f>
        <v>-609095700</v>
      </c>
      <c r="C28" s="257">
        <f>'Tinh hinh tai chinh'!BK21</f>
        <v>-609095700</v>
      </c>
    </row>
    <row r="29" spans="1:6">
      <c r="A29" s="262" t="s">
        <v>45</v>
      </c>
      <c r="B29" s="257">
        <f ca="1">OFFSET('Tinh hinh tai chinh'!$BL22,0,'THTC in'!$D$7 - 1)</f>
        <v>0</v>
      </c>
      <c r="C29" s="257">
        <f>'Tinh hinh tai chinh'!BK22</f>
        <v>0</v>
      </c>
    </row>
    <row r="30" spans="1:6" ht="15" customHeight="1">
      <c r="A30" s="262"/>
      <c r="B30" s="257"/>
      <c r="C30" s="257"/>
    </row>
    <row r="31" spans="1:6" s="240" customFormat="1">
      <c r="A31" s="258" t="s">
        <v>46</v>
      </c>
      <c r="B31" s="259">
        <f t="shared" ref="B31:C31" ca="1" si="1">SUM(B32:B33)</f>
        <v>388348343836</v>
      </c>
      <c r="C31" s="259">
        <f t="shared" si="1"/>
        <v>562435021579</v>
      </c>
    </row>
    <row r="32" spans="1:6">
      <c r="A32" s="256" t="s">
        <v>47</v>
      </c>
      <c r="B32" s="264">
        <f ca="1">OFFSET('Tinh hinh tai chinh'!$BL24,0,'THTC in'!$D$7 - 1)</f>
        <v>388348343836</v>
      </c>
      <c r="C32" s="257">
        <f>'Tinh hinh tai chinh'!BK24</f>
        <v>562435021579</v>
      </c>
    </row>
    <row r="33" spans="1:3">
      <c r="A33" s="256" t="s">
        <v>48</v>
      </c>
      <c r="B33" s="264">
        <f ca="1">OFFSET('Tinh hinh tai chinh'!$BL25,0,'THTC in'!$D$7 - 1)</f>
        <v>0</v>
      </c>
      <c r="C33" s="257">
        <f>'Tinh hinh tai chinh'!BK25</f>
        <v>0</v>
      </c>
    </row>
    <row r="34" spans="1:3">
      <c r="A34" s="256"/>
      <c r="B34" s="264"/>
      <c r="C34" s="257"/>
    </row>
    <row r="35" spans="1:3">
      <c r="A35" s="258" t="s">
        <v>49</v>
      </c>
      <c r="B35" s="264">
        <f ca="1">SUM(B36:B38)</f>
        <v>0</v>
      </c>
      <c r="C35" s="257">
        <f>SUM(C36:C38)</f>
        <v>0</v>
      </c>
    </row>
    <row r="36" spans="1:3">
      <c r="A36" s="256" t="s">
        <v>50</v>
      </c>
      <c r="B36" s="264">
        <f ca="1">OFFSET('Tinh hinh tai chinh'!$BL27,0,'THTC in'!$D$7 - 1)</f>
        <v>0</v>
      </c>
      <c r="C36" s="257">
        <f>'Tinh hinh tai chinh'!BK27</f>
        <v>0</v>
      </c>
    </row>
    <row r="37" spans="1:3">
      <c r="A37" s="256" t="s">
        <v>51</v>
      </c>
      <c r="B37" s="264">
        <f ca="1">OFFSET('Tinh hinh tai chinh'!$BL28,0,'THTC in'!$D$7 - 1)</f>
        <v>0</v>
      </c>
      <c r="C37" s="257">
        <f>'Tinh hinh tai chinh'!BK28</f>
        <v>0</v>
      </c>
    </row>
    <row r="38" spans="1:3">
      <c r="A38" s="256" t="s">
        <v>52</v>
      </c>
      <c r="B38" s="264">
        <f ca="1">OFFSET('Tinh hinh tai chinh'!$BL29,0,'THTC in'!$D$7 - 1)</f>
        <v>0</v>
      </c>
      <c r="C38" s="257">
        <f>'Tinh hinh tai chinh'!BK29</f>
        <v>0</v>
      </c>
    </row>
    <row r="39" spans="1:3">
      <c r="A39" s="256"/>
      <c r="B39" s="257"/>
      <c r="C39" s="257"/>
    </row>
    <row r="40" spans="1:3" s="240" customFormat="1">
      <c r="A40" s="258" t="s">
        <v>53</v>
      </c>
      <c r="B40" s="259">
        <f t="shared" ref="B40:C40" ca="1" si="2">SUM(B41:B45)</f>
        <v>45761413509</v>
      </c>
      <c r="C40" s="259">
        <f t="shared" si="2"/>
        <v>19547112019</v>
      </c>
    </row>
    <row r="41" spans="1:3">
      <c r="A41" s="256" t="s">
        <v>54</v>
      </c>
      <c r="B41" s="257">
        <f ca="1">OFFSET('Tinh hinh tai chinh'!$BL31,0,'THTC in'!$D$7 - 1)</f>
        <v>7520241462</v>
      </c>
      <c r="C41" s="257">
        <f>'Tinh hinh tai chinh'!BK31</f>
        <v>6855293515</v>
      </c>
    </row>
    <row r="42" spans="1:3">
      <c r="A42" s="256" t="s">
        <v>55</v>
      </c>
      <c r="B42" s="257">
        <f ca="1">OFFSET('Tinh hinh tai chinh'!$BL32,0,'THTC in'!$D$7 - 1)</f>
        <v>38241172047</v>
      </c>
      <c r="C42" s="257">
        <f>'Tinh hinh tai chinh'!BK32</f>
        <v>12691818504</v>
      </c>
    </row>
    <row r="43" spans="1:3">
      <c r="A43" s="256" t="s">
        <v>56</v>
      </c>
      <c r="B43" s="257">
        <f ca="1">OFFSET('Tinh hinh tai chinh'!$BL33,0,'THTC in'!$D$7 - 1)</f>
        <v>0</v>
      </c>
      <c r="C43" s="257">
        <f>'Tinh hinh tai chinh'!BK33</f>
        <v>0</v>
      </c>
    </row>
    <row r="44" spans="1:3">
      <c r="A44" s="262" t="s">
        <v>57</v>
      </c>
      <c r="B44" s="257">
        <f ca="1">OFFSET('Tinh hinh tai chinh'!$BL34,0,'THTC in'!$D$7 - 1)</f>
        <v>0</v>
      </c>
      <c r="C44" s="257">
        <f>'Tinh hinh tai chinh'!BK34</f>
        <v>0</v>
      </c>
    </row>
    <row r="45" spans="1:3">
      <c r="A45" s="256" t="s">
        <v>58</v>
      </c>
      <c r="B45" s="257">
        <f ca="1">OFFSET('Tinh hinh tai chinh'!$BL35,0,'THTC in'!$D$7 - 1)</f>
        <v>0</v>
      </c>
      <c r="C45" s="257">
        <f>'Tinh hinh tai chinh'!BK35</f>
        <v>0</v>
      </c>
    </row>
    <row r="46" spans="1:3" ht="15" customHeight="1">
      <c r="A46" s="256"/>
      <c r="B46" s="257"/>
      <c r="C46" s="257"/>
    </row>
    <row r="47" spans="1:3" s="255" customFormat="1">
      <c r="A47" s="265" t="s">
        <v>59</v>
      </c>
      <c r="B47" s="266">
        <f ca="1">B48+B58+B79+B87+B95+B83</f>
        <v>495399222088</v>
      </c>
      <c r="C47" s="266">
        <f>C48+C58+C79+C87+C95+C83</f>
        <v>320800563599</v>
      </c>
    </row>
    <row r="48" spans="1:3" s="240" customFormat="1">
      <c r="A48" s="258" t="s">
        <v>60</v>
      </c>
      <c r="B48" s="267">
        <f ca="1">SUM(B49:B54)</f>
        <v>5315314210</v>
      </c>
      <c r="C48" s="267">
        <f>SUM(C49:C54)</f>
        <v>5600000000</v>
      </c>
    </row>
    <row r="49" spans="1:4">
      <c r="A49" s="256" t="s">
        <v>61</v>
      </c>
      <c r="B49" s="257">
        <f ca="1">OFFSET('Tinh hinh tai chinh'!$BL38,0,'THTC in'!$D$7 - 1)</f>
        <v>0</v>
      </c>
      <c r="C49" s="257">
        <f>'Tinh hinh tai chinh'!BK38</f>
        <v>0</v>
      </c>
    </row>
    <row r="50" spans="1:4">
      <c r="A50" s="256" t="s">
        <v>62</v>
      </c>
      <c r="B50" s="257">
        <f ca="1">OFFSET('Tinh hinh tai chinh'!$BL39,0,'THTC in'!$D$7 - 1)</f>
        <v>0</v>
      </c>
      <c r="C50" s="257">
        <f>'Tinh hinh tai chinh'!BK39</f>
        <v>0</v>
      </c>
    </row>
    <row r="51" spans="1:4">
      <c r="A51" s="256" t="s">
        <v>63</v>
      </c>
      <c r="B51" s="257">
        <f ca="1">OFFSET('Tinh hinh tai chinh'!$BL40,0,'THTC in'!$D$7 - 1)</f>
        <v>0</v>
      </c>
      <c r="C51" s="257">
        <f>'Tinh hinh tai chinh'!BK40</f>
        <v>0</v>
      </c>
    </row>
    <row r="52" spans="1:4">
      <c r="A52" s="256" t="s">
        <v>64</v>
      </c>
      <c r="B52" s="257">
        <f ca="1">OFFSET('Tinh hinh tai chinh'!$BL41,0,'THTC in'!$D$7 - 1)</f>
        <v>0</v>
      </c>
      <c r="C52" s="257">
        <f>'Tinh hinh tai chinh'!BK41</f>
        <v>0</v>
      </c>
    </row>
    <row r="53" spans="1:4">
      <c r="A53" s="256" t="s">
        <v>65</v>
      </c>
      <c r="B53" s="257">
        <f ca="1">OFFSET('Tinh hinh tai chinh'!$BL42,0,'THTC in'!$D$7 - 1)</f>
        <v>5315314210</v>
      </c>
      <c r="C53" s="257">
        <f>'Tinh hinh tai chinh'!BK42</f>
        <v>5600000000</v>
      </c>
    </row>
    <row r="54" spans="1:4">
      <c r="A54" s="268" t="s">
        <v>66</v>
      </c>
      <c r="B54" s="269">
        <f ca="1">OFFSET('Tinh hinh tai chinh'!$BL43,0,'THTC in'!$D$7 - 1)</f>
        <v>0</v>
      </c>
      <c r="C54" s="269">
        <f>'Tinh hinh tai chinh'!BK43</f>
        <v>0</v>
      </c>
    </row>
    <row r="55" spans="1:4">
      <c r="A55" s="270"/>
      <c r="B55" s="271"/>
      <c r="C55" s="271"/>
    </row>
    <row r="56" spans="1:4" s="273" customFormat="1" ht="32.25" customHeight="1">
      <c r="A56" s="247" t="s">
        <v>26</v>
      </c>
      <c r="B56" s="272" t="str">
        <f>B7</f>
        <v>Số cuối tháng 6</v>
      </c>
      <c r="C56" s="272" t="str">
        <f>C7</f>
        <v>Số dư đầu năm 2026</v>
      </c>
    </row>
    <row r="57" spans="1:4">
      <c r="A57" s="274"/>
      <c r="B57" s="275"/>
      <c r="C57" s="275"/>
    </row>
    <row r="58" spans="1:4" s="240" customFormat="1">
      <c r="A58" s="258" t="s">
        <v>67</v>
      </c>
      <c r="B58" s="267">
        <f t="shared" ref="B58:C58" ca="1" si="3">B59+B62+B65</f>
        <v>274374041696</v>
      </c>
      <c r="C58" s="267">
        <f t="shared" si="3"/>
        <v>243859258508</v>
      </c>
    </row>
    <row r="59" spans="1:4">
      <c r="A59" s="256" t="s">
        <v>68</v>
      </c>
      <c r="B59" s="276">
        <f t="shared" ref="B59:C59" ca="1" si="4">SUM(B60:B61)</f>
        <v>254084951096</v>
      </c>
      <c r="C59" s="276">
        <f t="shared" si="4"/>
        <v>221765917329</v>
      </c>
    </row>
    <row r="60" spans="1:4" s="240" customFormat="1">
      <c r="A60" s="256" t="s">
        <v>69</v>
      </c>
      <c r="B60" s="276">
        <f ca="1">OFFSET('Tinh hinh tai chinh'!$BL46,0,'THTC in'!$D$7 - 1)</f>
        <v>388140591783</v>
      </c>
      <c r="C60" s="276">
        <f>'Tinh hinh tai chinh'!BK46</f>
        <v>343037991979</v>
      </c>
      <c r="D60" s="239"/>
    </row>
    <row r="61" spans="1:4">
      <c r="A61" s="256" t="s">
        <v>70</v>
      </c>
      <c r="B61" s="277">
        <f ca="1">OFFSET('Tinh hinh tai chinh'!$BL47,0,'THTC in'!$D$7 - 1)</f>
        <v>-134055640687</v>
      </c>
      <c r="C61" s="277">
        <f>'Tinh hinh tai chinh'!BK47</f>
        <v>-121272074650</v>
      </c>
      <c r="D61" s="278"/>
    </row>
    <row r="62" spans="1:4">
      <c r="A62" s="256" t="s">
        <v>71</v>
      </c>
      <c r="B62" s="276">
        <f ca="1">SUM(B63:B64)</f>
        <v>17012459573</v>
      </c>
      <c r="C62" s="276">
        <f>SUM(C63:C64)</f>
        <v>18517028601</v>
      </c>
    </row>
    <row r="63" spans="1:4">
      <c r="A63" s="256" t="s">
        <v>69</v>
      </c>
      <c r="B63" s="277">
        <f ca="1">OFFSET('Tinh hinh tai chinh'!$BL49,0,'THTC in'!$D$7 - 1)</f>
        <v>24160519140</v>
      </c>
      <c r="C63" s="276">
        <f>'Tinh hinh tai chinh'!BK49</f>
        <v>25454545455</v>
      </c>
    </row>
    <row r="64" spans="1:4">
      <c r="A64" s="256" t="s">
        <v>70</v>
      </c>
      <c r="B64" s="277">
        <f ca="1">OFFSET('Tinh hinh tai chinh'!$BL50,0,'THTC in'!$D$7 - 1)</f>
        <v>-7148059567</v>
      </c>
      <c r="C64" s="277">
        <f>'Tinh hinh tai chinh'!BK50</f>
        <v>-6937516854</v>
      </c>
    </row>
    <row r="65" spans="1:4">
      <c r="A65" s="256" t="s">
        <v>72</v>
      </c>
      <c r="B65" s="276">
        <f t="shared" ref="B65" ca="1" si="5">SUM(B66:B67)</f>
        <v>3276631027</v>
      </c>
      <c r="C65" s="276">
        <f>SUM(C66:C67)</f>
        <v>3576312578</v>
      </c>
    </row>
    <row r="66" spans="1:4">
      <c r="A66" s="256" t="s">
        <v>69</v>
      </c>
      <c r="B66" s="277">
        <f ca="1">OFFSET('Tinh hinh tai chinh'!$BL52,0,'THTC in'!$D$7 - 1)</f>
        <v>6032562739</v>
      </c>
      <c r="C66" s="276">
        <f>'Tinh hinh tai chinh'!BK52</f>
        <v>6032562739</v>
      </c>
      <c r="D66" s="278"/>
    </row>
    <row r="67" spans="1:4">
      <c r="A67" s="256" t="s">
        <v>70</v>
      </c>
      <c r="B67" s="277">
        <f ca="1">OFFSET('Tinh hinh tai chinh'!$BL53,0,'THTC in'!$D$7 - 1)</f>
        <v>-2755931712</v>
      </c>
      <c r="C67" s="277">
        <f>'Tinh hinh tai chinh'!BK53</f>
        <v>-2456250161</v>
      </c>
    </row>
    <row r="68" spans="1:4">
      <c r="A68" s="256"/>
      <c r="B68" s="257"/>
      <c r="C68" s="257"/>
    </row>
    <row r="69" spans="1:4">
      <c r="A69" s="258" t="s">
        <v>73</v>
      </c>
      <c r="B69" s="257"/>
      <c r="C69" s="257">
        <f>SUM(C70,C75:C77)</f>
        <v>0</v>
      </c>
    </row>
    <row r="70" spans="1:4">
      <c r="A70" s="256" t="s">
        <v>74</v>
      </c>
      <c r="B70" s="257">
        <f ca="1">OFFSET('Tinh hinh tai chinh'!$BL55,0,'THTC in'!$D$7 - 1)</f>
        <v>0</v>
      </c>
      <c r="C70" s="257">
        <f>'Tinh hinh tai chinh'!BK55</f>
        <v>0</v>
      </c>
    </row>
    <row r="71" spans="1:4">
      <c r="A71" s="279" t="s">
        <v>75</v>
      </c>
      <c r="B71" s="257">
        <f ca="1">OFFSET('Tinh hinh tai chinh'!$BL56,0,'THTC in'!$D$7 - 1)</f>
        <v>0</v>
      </c>
      <c r="C71" s="257">
        <f>'Tinh hinh tai chinh'!BK56</f>
        <v>0</v>
      </c>
    </row>
    <row r="72" spans="1:4">
      <c r="A72" s="279" t="s">
        <v>76</v>
      </c>
      <c r="B72" s="257">
        <f ca="1">OFFSET('Tinh hinh tai chinh'!$BL57,0,'THTC in'!$D$7 - 1)</f>
        <v>0</v>
      </c>
      <c r="C72" s="257">
        <f>'Tinh hinh tai chinh'!BK57</f>
        <v>0</v>
      </c>
    </row>
    <row r="73" spans="1:4">
      <c r="A73" s="280" t="s">
        <v>77</v>
      </c>
      <c r="B73" s="257">
        <f ca="1">OFFSET('Tinh hinh tai chinh'!$BL58,0,'THTC in'!$D$7 - 1)</f>
        <v>0</v>
      </c>
      <c r="C73" s="257">
        <f>'Tinh hinh tai chinh'!BK58</f>
        <v>0</v>
      </c>
    </row>
    <row r="74" spans="1:4">
      <c r="A74" s="280" t="s">
        <v>78</v>
      </c>
      <c r="B74" s="257">
        <f ca="1">OFFSET('Tinh hinh tai chinh'!$BL59,0,'THTC in'!$D$7 - 1)</f>
        <v>0</v>
      </c>
      <c r="C74" s="257">
        <f>'Tinh hinh tai chinh'!BK59</f>
        <v>0</v>
      </c>
    </row>
    <row r="75" spans="1:4">
      <c r="A75" s="256" t="s">
        <v>79</v>
      </c>
      <c r="B75" s="257">
        <f ca="1">OFFSET('Tinh hinh tai chinh'!$BL60,0,'THTC in'!$D$7 - 1)</f>
        <v>0</v>
      </c>
      <c r="C75" s="257">
        <f>'Tinh hinh tai chinh'!BK60</f>
        <v>0</v>
      </c>
    </row>
    <row r="76" spans="1:4">
      <c r="A76" s="256" t="s">
        <v>80</v>
      </c>
      <c r="B76" s="257">
        <f ca="1">OFFSET('Tinh hinh tai chinh'!$BL61,0,'THTC in'!$D$7 - 1)</f>
        <v>0</v>
      </c>
      <c r="C76" s="257">
        <f>'Tinh hinh tai chinh'!BK61</f>
        <v>0</v>
      </c>
    </row>
    <row r="77" spans="1:4">
      <c r="A77" s="256" t="s">
        <v>81</v>
      </c>
      <c r="B77" s="257">
        <f ca="1">OFFSET('Tinh hinh tai chinh'!$BL62,0,'THTC in'!$D$7 - 1)</f>
        <v>0</v>
      </c>
      <c r="C77" s="257">
        <f>'Tinh hinh tai chinh'!BK62</f>
        <v>0</v>
      </c>
    </row>
    <row r="78" spans="1:4">
      <c r="A78" s="256"/>
      <c r="B78" s="257"/>
      <c r="C78" s="257"/>
    </row>
    <row r="79" spans="1:4">
      <c r="A79" s="258" t="s">
        <v>82</v>
      </c>
      <c r="B79" s="259">
        <f ca="1">SUM(B80:B81)</f>
        <v>0</v>
      </c>
      <c r="C79" s="259">
        <f>SUM(C80:C81)</f>
        <v>0</v>
      </c>
    </row>
    <row r="80" spans="1:4" ht="18" customHeight="1">
      <c r="A80" s="281" t="s">
        <v>77</v>
      </c>
      <c r="B80" s="276">
        <f ca="1">OFFSET('Tinh hinh tai chinh'!$BL64,0,'THTC in'!$D$7 - 1)</f>
        <v>0</v>
      </c>
      <c r="C80" s="257">
        <f>'Tinh hinh tai chinh'!BK64</f>
        <v>0</v>
      </c>
    </row>
    <row r="81" spans="1:4" s="240" customFormat="1" ht="18" customHeight="1">
      <c r="A81" s="256" t="s">
        <v>83</v>
      </c>
      <c r="B81" s="276">
        <f ca="1">OFFSET('Tinh hinh tai chinh'!$BL65,0,'THTC in'!$D$7 - 1)</f>
        <v>0</v>
      </c>
      <c r="C81" s="257">
        <f>'Tinh hinh tai chinh'!BK65</f>
        <v>0</v>
      </c>
    </row>
    <row r="82" spans="1:4" s="240" customFormat="1">
      <c r="A82" s="256"/>
      <c r="B82" s="257"/>
      <c r="C82" s="257"/>
    </row>
    <row r="83" spans="1:4" s="240" customFormat="1">
      <c r="A83" s="258" t="s">
        <v>84</v>
      </c>
      <c r="B83" s="267">
        <f t="shared" ref="B83:C83" ca="1" si="6">SUM(B84:B85)</f>
        <v>210450570441</v>
      </c>
      <c r="C83" s="267">
        <f t="shared" si="6"/>
        <v>63080533813</v>
      </c>
    </row>
    <row r="84" spans="1:4" s="240" customFormat="1" ht="18" customHeight="1">
      <c r="A84" s="281" t="s">
        <v>85</v>
      </c>
      <c r="B84" s="257">
        <f ca="1">OFFSET('Tinh hinh tai chinh'!$BL67,0,'THTC in'!$D$7 - 1)</f>
        <v>0</v>
      </c>
      <c r="C84" s="257">
        <f>'Tinh hinh tai chinh'!BK67</f>
        <v>0</v>
      </c>
    </row>
    <row r="85" spans="1:4" s="240" customFormat="1" ht="18" customHeight="1">
      <c r="A85" s="256" t="s">
        <v>86</v>
      </c>
      <c r="B85" s="257">
        <f ca="1">OFFSET('Tinh hinh tai chinh'!$BL68,0,'THTC in'!$D$7 - 1)</f>
        <v>210450570441</v>
      </c>
      <c r="C85" s="257">
        <f>'Tinh hinh tai chinh'!BK68</f>
        <v>63080533813</v>
      </c>
      <c r="D85" s="239"/>
    </row>
    <row r="86" spans="1:4">
      <c r="A86" s="256"/>
      <c r="B86" s="257"/>
      <c r="C86" s="257"/>
    </row>
    <row r="87" spans="1:4">
      <c r="A87" s="258" t="s">
        <v>87</v>
      </c>
      <c r="B87" s="259">
        <f t="shared" ref="B87" ca="1" si="7">SUM(B88:B92)</f>
        <v>0</v>
      </c>
      <c r="C87" s="259">
        <f>SUM(C88:C93)</f>
        <v>0</v>
      </c>
    </row>
    <row r="88" spans="1:4" ht="18" customHeight="1">
      <c r="A88" s="256" t="s">
        <v>88</v>
      </c>
      <c r="B88" s="257">
        <f ca="1">OFFSET('Tinh hinh tai chinh'!$BL70,0,'THTC in'!$D$7 - 1)</f>
        <v>0</v>
      </c>
      <c r="C88" s="257">
        <f>'Tinh hinh tai chinh'!BK70</f>
        <v>0</v>
      </c>
    </row>
    <row r="89" spans="1:4" s="240" customFormat="1" ht="18" customHeight="1">
      <c r="A89" s="256" t="s">
        <v>89</v>
      </c>
      <c r="B89" s="257">
        <f ca="1">OFFSET('Tinh hinh tai chinh'!$BL71,0,'THTC in'!$D$7 - 1)</f>
        <v>0</v>
      </c>
      <c r="C89" s="257">
        <f>'Tinh hinh tai chinh'!BK71</f>
        <v>0</v>
      </c>
    </row>
    <row r="90" spans="1:4" ht="18" customHeight="1">
      <c r="A90" s="256" t="s">
        <v>90</v>
      </c>
      <c r="B90" s="257">
        <f ca="1">OFFSET('Tinh hinh tai chinh'!$BL72,0,'THTC in'!$D$7 - 1)</f>
        <v>0</v>
      </c>
      <c r="C90" s="257">
        <f>'Tinh hinh tai chinh'!BK72</f>
        <v>0</v>
      </c>
    </row>
    <row r="91" spans="1:4" ht="18" customHeight="1">
      <c r="A91" s="261" t="s">
        <v>91</v>
      </c>
      <c r="B91" s="257">
        <f ca="1">OFFSET('Tinh hinh tai chinh'!$BL73,0,'THTC in'!$D$7 - 1)</f>
        <v>0</v>
      </c>
      <c r="C91" s="257">
        <f>'Tinh hinh tai chinh'!BK73</f>
        <v>0</v>
      </c>
    </row>
    <row r="92" spans="1:4" ht="18" customHeight="1">
      <c r="A92" s="261" t="s">
        <v>92</v>
      </c>
      <c r="B92" s="257">
        <f ca="1">OFFSET('Tinh hinh tai chinh'!$BL74,0,'THTC in'!$D$7 - 1)</f>
        <v>0</v>
      </c>
      <c r="C92" s="257">
        <f>'Tinh hinh tai chinh'!BK74</f>
        <v>0</v>
      </c>
    </row>
    <row r="93" spans="1:4" ht="18" customHeight="1">
      <c r="A93" s="261" t="s">
        <v>93</v>
      </c>
      <c r="B93" s="257">
        <f ca="1">OFFSET('Tinh hinh tai chinh'!$BL75,0,'THTC in'!$D$7 - 1)</f>
        <v>0</v>
      </c>
      <c r="C93" s="257">
        <f>'Tinh hinh tai chinh'!BK75</f>
        <v>0</v>
      </c>
    </row>
    <row r="94" spans="1:4">
      <c r="A94" s="261"/>
      <c r="B94" s="257"/>
      <c r="C94" s="257"/>
    </row>
    <row r="95" spans="1:4">
      <c r="A95" s="258" t="s">
        <v>94</v>
      </c>
      <c r="B95" s="259">
        <f t="shared" ref="B95:C95" ca="1" si="8">SUM(B96:B99)</f>
        <v>5259295741</v>
      </c>
      <c r="C95" s="259">
        <f t="shared" si="8"/>
        <v>8260771278</v>
      </c>
    </row>
    <row r="96" spans="1:4" ht="18" customHeight="1">
      <c r="A96" s="256" t="s">
        <v>95</v>
      </c>
      <c r="B96" s="257">
        <f ca="1">OFFSET('Tinh hinh tai chinh'!$BL77,0,'THTC in'!$D$7 - 1)</f>
        <v>5259295741</v>
      </c>
      <c r="C96" s="257">
        <f>'Tinh hinh tai chinh'!BK77</f>
        <v>8260771278</v>
      </c>
    </row>
    <row r="97" spans="1:5" s="240" customFormat="1" ht="18" customHeight="1">
      <c r="A97" s="256" t="s">
        <v>96</v>
      </c>
      <c r="B97" s="257">
        <f ca="1">OFFSET('Tinh hinh tai chinh'!$BL78,0,'THTC in'!$D$7 - 1)</f>
        <v>0</v>
      </c>
      <c r="C97" s="257">
        <f>'Tinh hinh tai chinh'!BK78</f>
        <v>0</v>
      </c>
    </row>
    <row r="98" spans="1:5" ht="18" customHeight="1">
      <c r="A98" s="256" t="s">
        <v>97</v>
      </c>
      <c r="B98" s="257">
        <f ca="1">OFFSET('Tinh hinh tai chinh'!$BL79,0,'THTC in'!$D$7 - 1)</f>
        <v>0</v>
      </c>
      <c r="C98" s="257">
        <f>'Tinh hinh tai chinh'!BK79</f>
        <v>0</v>
      </c>
    </row>
    <row r="99" spans="1:5" ht="18" customHeight="1">
      <c r="A99" s="282" t="s">
        <v>98</v>
      </c>
      <c r="B99" s="257">
        <f ca="1">OFFSET('Tinh hinh tai chinh'!$BL80,0,'THTC in'!$D$7 - 1)</f>
        <v>0</v>
      </c>
      <c r="C99" s="257">
        <f>'Tinh hinh tai chinh'!BK80</f>
        <v>0</v>
      </c>
    </row>
    <row r="100" spans="1:5" ht="21.75" customHeight="1">
      <c r="A100" s="283" t="s">
        <v>99</v>
      </c>
      <c r="B100" s="284">
        <f ca="1">B8+B47</f>
        <v>1315618995207</v>
      </c>
      <c r="C100" s="284">
        <f>C8+C47</f>
        <v>1266017714532</v>
      </c>
      <c r="E100" s="278"/>
    </row>
    <row r="101" spans="1:5" ht="16.5" customHeight="1">
      <c r="B101" s="285"/>
      <c r="C101" s="285"/>
    </row>
    <row r="102" spans="1:5" s="240" customFormat="1" ht="30" customHeight="1">
      <c r="A102" s="247" t="s">
        <v>100</v>
      </c>
      <c r="B102" s="272" t="str">
        <f>B7</f>
        <v>Số cuối tháng 6</v>
      </c>
      <c r="C102" s="272" t="str">
        <f>C7</f>
        <v>Số dư đầu năm 2026</v>
      </c>
    </row>
    <row r="103" spans="1:5" s="255" customFormat="1">
      <c r="A103" s="286" t="s">
        <v>101</v>
      </c>
      <c r="B103" s="287">
        <f t="shared" ref="B103:C103" ca="1" si="9">B104+B121</f>
        <v>431216915015</v>
      </c>
      <c r="C103" s="287">
        <f t="shared" si="9"/>
        <v>385521303731</v>
      </c>
    </row>
    <row r="104" spans="1:5" s="240" customFormat="1" ht="18" customHeight="1">
      <c r="A104" s="258" t="s">
        <v>102</v>
      </c>
      <c r="B104" s="259">
        <f t="shared" ref="B104:C104" ca="1" si="10">SUM(B105:B119)</f>
        <v>276283678600</v>
      </c>
      <c r="C104" s="259">
        <f t="shared" si="10"/>
        <v>335139049377</v>
      </c>
    </row>
    <row r="105" spans="1:5" ht="18" customHeight="1">
      <c r="A105" s="256" t="s">
        <v>103</v>
      </c>
      <c r="B105" s="257">
        <f ca="1">OFFSET('Tinh hinh tai chinh'!$BL84,0,'THTC in'!$D$7 - 1)</f>
        <v>61275711917</v>
      </c>
      <c r="C105" s="257">
        <f>'Tinh hinh tai chinh'!BK84</f>
        <v>15762773405</v>
      </c>
      <c r="D105" s="263"/>
    </row>
    <row r="106" spans="1:5" ht="18" customHeight="1">
      <c r="A106" s="256" t="s">
        <v>104</v>
      </c>
      <c r="B106" s="257">
        <f ca="1">OFFSET('Tinh hinh tai chinh'!$BL85,0,'THTC in'!$D$7 - 1)</f>
        <v>34213188294</v>
      </c>
      <c r="C106" s="257">
        <f>'Tinh hinh tai chinh'!BK85</f>
        <v>17509392514</v>
      </c>
    </row>
    <row r="107" spans="1:5" ht="18" customHeight="1">
      <c r="A107" s="256" t="s">
        <v>105</v>
      </c>
      <c r="B107" s="257">
        <f ca="1">OFFSET('Tinh hinh tai chinh'!$BL86,0,'THTC in'!$D$7 - 1)</f>
        <v>0</v>
      </c>
      <c r="C107" s="257">
        <f>'Tinh hinh tai chinh'!BK86</f>
        <v>0</v>
      </c>
    </row>
    <row r="108" spans="1:5" ht="18" customHeight="1">
      <c r="A108" s="256" t="s">
        <v>106</v>
      </c>
      <c r="B108" s="257">
        <f ca="1">OFFSET('Tinh hinh tai chinh'!$BL87,0,'THTC in'!$D$7 - 1)</f>
        <v>1683178383</v>
      </c>
      <c r="C108" s="257">
        <f>'Tinh hinh tai chinh'!BK87</f>
        <v>6575593057</v>
      </c>
    </row>
    <row r="109" spans="1:5" ht="18" customHeight="1">
      <c r="A109" s="256" t="s">
        <v>107</v>
      </c>
      <c r="B109" s="257">
        <f ca="1">OFFSET('Tinh hinh tai chinh'!$BL88,0,'THTC in'!$D$7 - 1)</f>
        <v>9489882545</v>
      </c>
      <c r="C109" s="257">
        <f>'Tinh hinh tai chinh'!BK88</f>
        <v>9289786517</v>
      </c>
    </row>
    <row r="110" spans="1:5" ht="18" customHeight="1">
      <c r="A110" s="256" t="s">
        <v>108</v>
      </c>
      <c r="B110" s="257">
        <f ca="1">OFFSET('Tinh hinh tai chinh'!$BL89,0,'THTC in'!$D$7 - 1)</f>
        <v>22511017257</v>
      </c>
      <c r="C110" s="257">
        <f>'Tinh hinh tai chinh'!BK89</f>
        <v>18860860041</v>
      </c>
    </row>
    <row r="111" spans="1:5" ht="18" customHeight="1">
      <c r="A111" s="256" t="s">
        <v>109</v>
      </c>
      <c r="B111" s="257">
        <f ca="1">OFFSET('Tinh hinh tai chinh'!$BL90,0,'THTC in'!$D$7 - 1)</f>
        <v>0</v>
      </c>
      <c r="C111" s="257">
        <f>'Tinh hinh tai chinh'!BK90</f>
        <v>0</v>
      </c>
    </row>
    <row r="112" spans="1:5" ht="18" customHeight="1">
      <c r="A112" s="256" t="s">
        <v>110</v>
      </c>
      <c r="B112" s="257">
        <f ca="1">OFFSET('Tinh hinh tai chinh'!$BL91,0,'THTC in'!$D$7 - 1)</f>
        <v>0</v>
      </c>
      <c r="C112" s="257">
        <f>'Tinh hinh tai chinh'!BK91</f>
        <v>0</v>
      </c>
    </row>
    <row r="113" spans="1:3" ht="18" customHeight="1">
      <c r="A113" s="261" t="s">
        <v>111</v>
      </c>
      <c r="B113" s="257">
        <f ca="1">OFFSET('Tinh hinh tai chinh'!$BL92,0,'THTC in'!$D$7 - 1)</f>
        <v>0</v>
      </c>
      <c r="C113" s="257">
        <f>'Tinh hinh tai chinh'!BK92</f>
        <v>0</v>
      </c>
    </row>
    <row r="114" spans="1:3" ht="18" customHeight="1">
      <c r="A114" s="256" t="s">
        <v>112</v>
      </c>
      <c r="B114" s="257">
        <f ca="1">OFFSET('Tinh hinh tai chinh'!$BL93,0,'THTC in'!$D$7 - 1)</f>
        <v>5089506387</v>
      </c>
      <c r="C114" s="257">
        <f>'Tinh hinh tai chinh'!BK93</f>
        <v>3480132139</v>
      </c>
    </row>
    <row r="115" spans="1:3" ht="18" customHeight="1">
      <c r="A115" s="256" t="s">
        <v>113</v>
      </c>
      <c r="B115" s="257">
        <f ca="1">OFFSET('Tinh hinh tai chinh'!$BL94,0,'THTC in'!$D$7 - 1)</f>
        <v>139893015842</v>
      </c>
      <c r="C115" s="257">
        <f>'Tinh hinh tai chinh'!BK94</f>
        <v>262225979238</v>
      </c>
    </row>
    <row r="116" spans="1:3" ht="18" customHeight="1">
      <c r="A116" s="256" t="s">
        <v>114</v>
      </c>
      <c r="B116" s="257">
        <f ca="1">OFFSET('Tinh hinh tai chinh'!$BL95,0,'THTC in'!$D$7 - 1)</f>
        <v>0</v>
      </c>
      <c r="C116" s="257">
        <f>'Tinh hinh tai chinh'!BK95</f>
        <v>0</v>
      </c>
    </row>
    <row r="117" spans="1:3" ht="18" customHeight="1">
      <c r="A117" s="256" t="s">
        <v>115</v>
      </c>
      <c r="B117" s="257">
        <f ca="1">OFFSET('Tinh hinh tai chinh'!$BL96,0,'THTC in'!$D$7 - 1)</f>
        <v>2128177975</v>
      </c>
      <c r="C117" s="257">
        <f>'Tinh hinh tai chinh'!BK96</f>
        <v>1434532466</v>
      </c>
    </row>
    <row r="118" spans="1:3" ht="18" customHeight="1">
      <c r="A118" s="256" t="s">
        <v>116</v>
      </c>
      <c r="B118" s="257">
        <f ca="1">OFFSET('Tinh hinh tai chinh'!$BL97,0,'THTC in'!$D$7 - 1)</f>
        <v>0</v>
      </c>
      <c r="C118" s="257">
        <f>'Tinh hinh tai chinh'!BK97</f>
        <v>0</v>
      </c>
    </row>
    <row r="119" spans="1:3" ht="18" customHeight="1">
      <c r="A119" s="256" t="s">
        <v>117</v>
      </c>
      <c r="B119" s="257">
        <f ca="1">OFFSET('Tinh hinh tai chinh'!$BL98,0,'THTC in'!$D$7 - 1)</f>
        <v>0</v>
      </c>
      <c r="C119" s="257">
        <f>'Tinh hinh tai chinh'!BK98</f>
        <v>0</v>
      </c>
    </row>
    <row r="120" spans="1:3" ht="9.75" customHeight="1">
      <c r="A120" s="256"/>
      <c r="B120" s="257"/>
      <c r="C120" s="257"/>
    </row>
    <row r="121" spans="1:3" s="240" customFormat="1" ht="14.25" customHeight="1">
      <c r="A121" s="258" t="s">
        <v>118</v>
      </c>
      <c r="B121" s="259">
        <f t="shared" ref="B121:C121" ca="1" si="11">SUM(B122:B135)</f>
        <v>154933236415</v>
      </c>
      <c r="C121" s="259">
        <f t="shared" si="11"/>
        <v>50382254354</v>
      </c>
    </row>
    <row r="122" spans="1:3" ht="18.75" customHeight="1">
      <c r="A122" s="256" t="s">
        <v>119</v>
      </c>
      <c r="B122" s="257">
        <f ca="1">OFFSET('Tinh hinh tai chinh'!$BL100,0,'THTC in'!$D$7 - 1)</f>
        <v>0</v>
      </c>
      <c r="C122" s="257">
        <f>'Tinh hinh tai chinh'!BK100</f>
        <v>0</v>
      </c>
    </row>
    <row r="123" spans="1:3" ht="18" customHeight="1">
      <c r="A123" s="256" t="s">
        <v>120</v>
      </c>
      <c r="B123" s="257">
        <f ca="1">OFFSET('Tinh hinh tai chinh'!$BL101,0,'THTC in'!$D$7 - 1)</f>
        <v>0</v>
      </c>
      <c r="C123" s="257">
        <f>'Tinh hinh tai chinh'!BK101</f>
        <v>0</v>
      </c>
    </row>
    <row r="124" spans="1:3" ht="18" customHeight="1">
      <c r="A124" s="256" t="s">
        <v>121</v>
      </c>
      <c r="B124" s="257">
        <f ca="1">OFFSET('Tinh hinh tai chinh'!$BL102,0,'THTC in'!$D$7 - 1)</f>
        <v>0</v>
      </c>
      <c r="C124" s="257">
        <f>'Tinh hinh tai chinh'!BK102</f>
        <v>0</v>
      </c>
    </row>
    <row r="125" spans="1:3" ht="18" customHeight="1">
      <c r="A125" s="256" t="s">
        <v>122</v>
      </c>
      <c r="B125" s="257">
        <f ca="1">OFFSET('Tinh hinh tai chinh'!$BL103,0,'THTC in'!$D$7 - 1)</f>
        <v>0</v>
      </c>
      <c r="C125" s="257">
        <f>'Tinh hinh tai chinh'!BK103</f>
        <v>0</v>
      </c>
    </row>
    <row r="126" spans="1:3" ht="18" customHeight="1">
      <c r="A126" s="256" t="s">
        <v>123</v>
      </c>
      <c r="B126" s="257">
        <f ca="1">OFFSET('Tinh hinh tai chinh'!$BL104,0,'THTC in'!$D$7 - 1)</f>
        <v>0</v>
      </c>
      <c r="C126" s="257">
        <f>'Tinh hinh tai chinh'!BK104</f>
        <v>0</v>
      </c>
    </row>
    <row r="127" spans="1:3" ht="18" customHeight="1">
      <c r="A127" s="256" t="s">
        <v>124</v>
      </c>
      <c r="B127" s="257">
        <f ca="1">OFFSET('Tinh hinh tai chinh'!$BL105,0,'THTC in'!$D$7 - 1)</f>
        <v>0</v>
      </c>
      <c r="C127" s="257">
        <f>'Tinh hinh tai chinh'!BK105</f>
        <v>0</v>
      </c>
    </row>
    <row r="128" spans="1:3" ht="18" customHeight="1">
      <c r="A128" s="256" t="s">
        <v>125</v>
      </c>
      <c r="B128" s="257">
        <f ca="1">OFFSET('Tinh hinh tai chinh'!$BL106,0,'THTC in'!$D$7 - 1)</f>
        <v>0</v>
      </c>
      <c r="C128" s="257">
        <f>'Tinh hinh tai chinh'!BK106</f>
        <v>0</v>
      </c>
    </row>
    <row r="129" spans="1:3" ht="18" customHeight="1">
      <c r="A129" s="256" t="s">
        <v>126</v>
      </c>
      <c r="B129" s="257">
        <f ca="1">OFFSET('Tinh hinh tai chinh'!$BL107,0,'THTC in'!$D$7 - 1)</f>
        <v>0</v>
      </c>
      <c r="C129" s="257">
        <f>'Tinh hinh tai chinh'!BK107</f>
        <v>0</v>
      </c>
    </row>
    <row r="130" spans="1:3" ht="18" customHeight="1">
      <c r="A130" s="256" t="s">
        <v>127</v>
      </c>
      <c r="B130" s="257">
        <f ca="1">OFFSET('Tinh hinh tai chinh'!$BL108,0,'THTC in'!$D$7 - 1)</f>
        <v>154933236415</v>
      </c>
      <c r="C130" s="257">
        <f>'Tinh hinh tai chinh'!BK108</f>
        <v>50382254354</v>
      </c>
    </row>
    <row r="131" spans="1:3" ht="18" customHeight="1">
      <c r="A131" s="256" t="s">
        <v>128</v>
      </c>
      <c r="B131" s="257">
        <f ca="1">OFFSET('Tinh hinh tai chinh'!$BL109,0,'THTC in'!$D$7 - 1)</f>
        <v>0</v>
      </c>
      <c r="C131" s="257">
        <f>'Tinh hinh tai chinh'!BK109</f>
        <v>0</v>
      </c>
    </row>
    <row r="132" spans="1:3" ht="18" customHeight="1">
      <c r="A132" s="256" t="s">
        <v>129</v>
      </c>
      <c r="B132" s="257">
        <f ca="1">OFFSET('Tinh hinh tai chinh'!$BL110,0,'THTC in'!$D$7 - 1)</f>
        <v>0</v>
      </c>
      <c r="C132" s="257">
        <f>'Tinh hinh tai chinh'!BK110</f>
        <v>0</v>
      </c>
    </row>
    <row r="133" spans="1:3" ht="18" customHeight="1">
      <c r="A133" s="256" t="s">
        <v>130</v>
      </c>
      <c r="B133" s="257">
        <f ca="1">OFFSET('Tinh hinh tai chinh'!$BL111,0,'THTC in'!$D$7 - 1)</f>
        <v>0</v>
      </c>
      <c r="C133" s="257">
        <f>'Tinh hinh tai chinh'!BK111</f>
        <v>0</v>
      </c>
    </row>
    <row r="134" spans="1:3" ht="18" customHeight="1">
      <c r="A134" s="256" t="s">
        <v>131</v>
      </c>
      <c r="B134" s="257">
        <f ca="1">OFFSET('Tinh hinh tai chinh'!$BL112,0,'THTC in'!$D$7 - 1)</f>
        <v>0</v>
      </c>
      <c r="C134" s="257">
        <f>'Tinh hinh tai chinh'!BK112</f>
        <v>0</v>
      </c>
    </row>
    <row r="135" spans="1:3" ht="18" customHeight="1">
      <c r="A135" s="282" t="s">
        <v>132</v>
      </c>
      <c r="B135" s="269">
        <f ca="1">OFFSET('Tinh hinh tai chinh'!$BL113,0,'THTC in'!$D$7 - 1)</f>
        <v>0</v>
      </c>
      <c r="C135" s="269">
        <f>'Tinh hinh tai chinh'!BK113</f>
        <v>0</v>
      </c>
    </row>
    <row r="136" spans="1:3">
      <c r="A136" s="270"/>
      <c r="B136" s="288"/>
      <c r="C136" s="289"/>
    </row>
    <row r="137" spans="1:3" s="240" customFormat="1" ht="30" customHeight="1">
      <c r="A137" s="247" t="s">
        <v>100</v>
      </c>
      <c r="B137" s="272" t="str">
        <f>B7</f>
        <v>Số cuối tháng 6</v>
      </c>
      <c r="C137" s="272" t="str">
        <f>C7</f>
        <v>Số dư đầu năm 2026</v>
      </c>
    </row>
    <row r="138" spans="1:3" s="255" customFormat="1">
      <c r="A138" s="286" t="s">
        <v>133</v>
      </c>
      <c r="B138" s="287">
        <f ca="1">B139+SUM(B142:B150)</f>
        <v>884402080192</v>
      </c>
      <c r="C138" s="287">
        <f>C139+SUM(C142:C150)</f>
        <v>880496410801</v>
      </c>
    </row>
    <row r="139" spans="1:3" ht="18" customHeight="1">
      <c r="A139" s="256" t="s">
        <v>134</v>
      </c>
      <c r="B139" s="290">
        <f ca="1">B140</f>
        <v>650000000000</v>
      </c>
      <c r="C139" s="290">
        <f>SUM(C140:C141)</f>
        <v>650000000000</v>
      </c>
    </row>
    <row r="140" spans="1:3" ht="18" customHeight="1">
      <c r="A140" s="256" t="s">
        <v>135</v>
      </c>
      <c r="B140" s="290">
        <f ca="1">OFFSET('Tinh hinh tai chinh'!$BL116,0,'THTC in'!$D$7 - 1)</f>
        <v>650000000000</v>
      </c>
      <c r="C140" s="290">
        <f>'Tinh hinh tai chinh'!BK116</f>
        <v>650000000000</v>
      </c>
    </row>
    <row r="141" spans="1:3" ht="18" customHeight="1">
      <c r="A141" s="256" t="s">
        <v>136</v>
      </c>
      <c r="B141" s="290">
        <f ca="1">OFFSET('Tinh hinh tai chinh'!$BL117,0,'THTC in'!$D$7 - 1)</f>
        <v>0</v>
      </c>
      <c r="C141" s="290">
        <f>'Tinh hinh tai chinh'!BK117</f>
        <v>0</v>
      </c>
    </row>
    <row r="142" spans="1:3" ht="18" customHeight="1">
      <c r="A142" s="256" t="s">
        <v>137</v>
      </c>
      <c r="B142" s="290">
        <f ca="1">OFFSET('Tinh hinh tai chinh'!$BL118,0,'THTC in'!$D$7 - 1)</f>
        <v>0</v>
      </c>
      <c r="C142" s="290">
        <f>'Tinh hinh tai chinh'!BK118</f>
        <v>0</v>
      </c>
    </row>
    <row r="143" spans="1:3" ht="18" customHeight="1">
      <c r="A143" s="256" t="s">
        <v>138</v>
      </c>
      <c r="B143" s="290">
        <f ca="1">OFFSET('Tinh hinh tai chinh'!$BL119,0,'THTC in'!$D$7 - 1)</f>
        <v>0</v>
      </c>
      <c r="C143" s="290">
        <f>'Tinh hinh tai chinh'!BK119</f>
        <v>0</v>
      </c>
    </row>
    <row r="144" spans="1:3" ht="18" customHeight="1">
      <c r="A144" s="256" t="s">
        <v>139</v>
      </c>
      <c r="B144" s="290">
        <f ca="1">OFFSET('Tinh hinh tai chinh'!$BL120,0,'THTC in'!$D$7 - 1)</f>
        <v>0</v>
      </c>
      <c r="C144" s="290">
        <f>'Tinh hinh tai chinh'!BK120</f>
        <v>0</v>
      </c>
    </row>
    <row r="145" spans="1:5" ht="18" customHeight="1">
      <c r="A145" s="256" t="s">
        <v>140</v>
      </c>
      <c r="B145" s="290">
        <f ca="1">OFFSET('Tinh hinh tai chinh'!$BL121,0,'THTC in'!$D$7 - 1)</f>
        <v>0</v>
      </c>
      <c r="C145" s="290">
        <f>'Tinh hinh tai chinh'!BK121</f>
        <v>0</v>
      </c>
    </row>
    <row r="146" spans="1:5" ht="18" customHeight="1">
      <c r="A146" s="256" t="s">
        <v>141</v>
      </c>
      <c r="B146" s="290">
        <f ca="1">OFFSET('Tinh hinh tai chinh'!$BL122,0,'THTC in'!$D$7 - 1)</f>
        <v>0</v>
      </c>
      <c r="C146" s="290">
        <f>'Tinh hinh tai chinh'!BK122</f>
        <v>0</v>
      </c>
    </row>
    <row r="147" spans="1:5" ht="18" customHeight="1">
      <c r="A147" s="256" t="s">
        <v>142</v>
      </c>
      <c r="B147" s="290">
        <f ca="1">OFFSET('Tinh hinh tai chinh'!$BL123,0,'THTC in'!$D$7 - 1)</f>
        <v>0</v>
      </c>
      <c r="C147" s="290">
        <f>'Tinh hinh tai chinh'!BK123</f>
        <v>0</v>
      </c>
    </row>
    <row r="148" spans="1:5" ht="18" customHeight="1">
      <c r="A148" s="256" t="s">
        <v>143</v>
      </c>
      <c r="B148" s="290">
        <f ca="1">OFFSET('Tinh hinh tai chinh'!$BL124,0,'THTC in'!$D$7 - 1)</f>
        <v>0</v>
      </c>
      <c r="C148" s="290">
        <f>'Tinh hinh tai chinh'!BK124</f>
        <v>0</v>
      </c>
    </row>
    <row r="149" spans="1:5" ht="18" customHeight="1">
      <c r="A149" s="256" t="s">
        <v>144</v>
      </c>
      <c r="B149" s="290">
        <f ca="1">OFFSET('Tinh hinh tai chinh'!$BL125,0,'THTC in'!$D$7 - 1)</f>
        <v>0</v>
      </c>
      <c r="C149" s="290">
        <f>'Tinh hinh tai chinh'!BK125</f>
        <v>0</v>
      </c>
    </row>
    <row r="150" spans="1:5" ht="18" customHeight="1">
      <c r="A150" s="256" t="s">
        <v>145</v>
      </c>
      <c r="B150" s="291">
        <f t="shared" ref="B150" ca="1" si="12">B151+B152</f>
        <v>234402080192</v>
      </c>
      <c r="C150" s="291">
        <f>C151+C152</f>
        <v>230496410801</v>
      </c>
      <c r="D150" s="292"/>
      <c r="E150" s="278"/>
    </row>
    <row r="151" spans="1:5" ht="18" customHeight="1">
      <c r="A151" s="293" t="s">
        <v>146</v>
      </c>
      <c r="B151" s="294">
        <f ca="1">OFFSET('Tinh hinh tai chinh'!$BL127,0,'THTC in'!$D$7 - 1)</f>
        <v>227649509332</v>
      </c>
      <c r="C151" s="294">
        <f>'Tinh hinh tai chinh'!AZ127</f>
        <v>204759655867</v>
      </c>
      <c r="D151" s="292"/>
    </row>
    <row r="152" spans="1:5" ht="18" customHeight="1">
      <c r="A152" s="293" t="s">
        <v>147</v>
      </c>
      <c r="B152" s="294">
        <f ca="1">OFFSET('Tinh hinh tai chinh'!$BL128,0,'THTC in'!$D$7 - 1)</f>
        <v>6752570860</v>
      </c>
      <c r="C152" s="294">
        <f>SUM('Tinh hinh tai chinh'!AZ128:BK128)</f>
        <v>25736754934</v>
      </c>
      <c r="D152" s="292"/>
    </row>
    <row r="153" spans="1:5">
      <c r="A153" s="295"/>
      <c r="B153" s="275"/>
      <c r="C153" s="275"/>
    </row>
    <row r="154" spans="1:5" ht="22.5" customHeight="1">
      <c r="A154" s="283" t="s">
        <v>148</v>
      </c>
      <c r="B154" s="284">
        <f ca="1">B138+B103</f>
        <v>1315618995207</v>
      </c>
      <c r="C154" s="284">
        <f>C103+C138</f>
        <v>1266017714532</v>
      </c>
      <c r="E154" s="278"/>
    </row>
    <row r="155" spans="1:5">
      <c r="B155" s="540">
        <f ca="1">+B154-B100</f>
        <v>0</v>
      </c>
      <c r="C155" s="540">
        <f>+C154-C100</f>
        <v>0</v>
      </c>
    </row>
    <row r="156" spans="1:5">
      <c r="B156" s="296">
        <v>0</v>
      </c>
      <c r="C156" s="296"/>
    </row>
    <row r="157" spans="1:5">
      <c r="B157" s="615" t="str">
        <f>'KQKD in'!F32</f>
        <v>Lập, ngày 04 tháng 07 năm 2026</v>
      </c>
      <c r="C157" s="615"/>
    </row>
    <row r="158" spans="1:5" ht="6.75" customHeight="1">
      <c r="B158" s="297"/>
      <c r="C158" s="297"/>
    </row>
    <row r="159" spans="1:5">
      <c r="A159" s="298" t="s">
        <v>7</v>
      </c>
      <c r="B159" s="616" t="str">
        <f>'Thong tin'!B18</f>
        <v>GIÁM ĐỐC TÀI CHÍNH</v>
      </c>
      <c r="C159" s="616"/>
    </row>
    <row r="160" spans="1:5">
      <c r="A160" s="297"/>
      <c r="B160" s="243"/>
      <c r="C160" s="243"/>
    </row>
    <row r="161" spans="1:3">
      <c r="A161" s="297"/>
      <c r="B161" s="292"/>
      <c r="C161" s="243"/>
    </row>
    <row r="162" spans="1:3">
      <c r="A162" s="297"/>
      <c r="B162" s="243"/>
      <c r="C162" s="243"/>
    </row>
    <row r="163" spans="1:3">
      <c r="A163" s="297"/>
      <c r="B163" s="243"/>
      <c r="C163" s="243"/>
    </row>
    <row r="164" spans="1:3">
      <c r="A164" s="297"/>
      <c r="B164" s="243"/>
      <c r="C164" s="243"/>
    </row>
    <row r="165" spans="1:3" ht="15.6">
      <c r="A165" s="299"/>
      <c r="B165" s="243"/>
      <c r="C165" s="243"/>
    </row>
    <row r="166" spans="1:3">
      <c r="A166" s="297">
        <f>'Thong tin'!B13</f>
        <v>0</v>
      </c>
      <c r="B166" s="615" t="s">
        <v>149</v>
      </c>
      <c r="C166" s="615"/>
    </row>
    <row r="167" spans="1:3">
      <c r="B167" s="243"/>
      <c r="C167" s="243"/>
    </row>
    <row r="168" spans="1:3">
      <c r="B168" s="243"/>
      <c r="C168" s="243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E650-BF98-49D2-B511-537F41B37F2A}">
  <sheetPr>
    <tabColor theme="8" tint="0.59999389629810485"/>
  </sheetPr>
  <dimension ref="A1:G48"/>
  <sheetViews>
    <sheetView showGridLines="0" showZeros="0" zoomScaleNormal="100" workbookViewId="0">
      <pane xSplit="3" ySplit="9" topLeftCell="D28" activePane="bottomRight" state="frozen"/>
      <selection pane="topRight" activeCell="P9" sqref="P9"/>
      <selection pane="bottomLeft" activeCell="P9" sqref="P9"/>
      <selection pane="bottomRight" activeCell="F33" sqref="F33"/>
    </sheetView>
  </sheetViews>
  <sheetFormatPr defaultColWidth="9.33203125" defaultRowHeight="13.8"/>
  <cols>
    <col min="1" max="1" width="3.5546875" style="243" customWidth="1"/>
    <col min="2" max="2" width="21.6640625" style="243" customWidth="1"/>
    <col min="3" max="3" width="18.44140625" style="243" customWidth="1"/>
    <col min="4" max="4" width="14.33203125" style="278" customWidth="1"/>
    <col min="5" max="5" width="14.33203125" style="243" customWidth="1"/>
    <col min="6" max="6" width="15.33203125" style="278" customWidth="1"/>
    <col min="7" max="7" width="15.33203125" style="243" customWidth="1"/>
    <col min="8" max="8" width="5.6640625" style="243" customWidth="1"/>
    <col min="9" max="16384" width="9.33203125" style="243"/>
  </cols>
  <sheetData>
    <row r="1" spans="1:7" ht="15.6">
      <c r="A1" s="300" t="str">
        <f>'Thong tin'!$A$1</f>
        <v>CÔNG TY CP NHỰA TÁI CHẾ DUY TÂN</v>
      </c>
      <c r="B1" s="301"/>
      <c r="D1" s="243"/>
      <c r="E1" s="197"/>
      <c r="F1" s="243"/>
      <c r="G1" s="197"/>
    </row>
    <row r="2" spans="1:7" ht="16.2" thickBot="1">
      <c r="A2" s="241" t="str">
        <f>'Thong tin'!$A$2</f>
        <v>Địa chỉ: Lô D2, Cụm CN Nhựa Đức Hòa, Xã Đức Hòa, Tỉnh Tây Ninh</v>
      </c>
      <c r="B2" s="302"/>
      <c r="C2" s="302"/>
      <c r="D2" s="302"/>
      <c r="E2" s="200"/>
      <c r="F2" s="302"/>
      <c r="G2" s="200"/>
    </row>
    <row r="3" spans="1:7" ht="15.6">
      <c r="D3" s="243"/>
      <c r="E3" s="202"/>
      <c r="F3" s="243"/>
      <c r="G3" s="202"/>
    </row>
    <row r="4" spans="1:7" ht="18.75" customHeight="1">
      <c r="A4" s="618" t="s">
        <v>150</v>
      </c>
      <c r="B4" s="618"/>
      <c r="C4" s="618"/>
      <c r="D4" s="618"/>
      <c r="E4" s="618"/>
      <c r="F4" s="618"/>
      <c r="G4" s="618"/>
    </row>
    <row r="5" spans="1:7" ht="15.6">
      <c r="A5" s="619" t="str">
        <f>"Năm " &amp; 'Thong tin'!$C$6</f>
        <v>Năm 2026</v>
      </c>
      <c r="B5" s="619"/>
      <c r="C5" s="619"/>
      <c r="D5" s="619"/>
      <c r="E5" s="619"/>
      <c r="F5" s="619"/>
      <c r="G5" s="619"/>
    </row>
    <row r="6" spans="1:7">
      <c r="E6" s="303"/>
      <c r="G6" s="304" t="s">
        <v>151</v>
      </c>
    </row>
    <row r="7" spans="1:7" ht="5.0999999999999996" customHeight="1"/>
    <row r="8" spans="1:7" ht="18.75" customHeight="1">
      <c r="A8" s="620" t="s">
        <v>152</v>
      </c>
      <c r="B8" s="621"/>
      <c r="C8" s="622"/>
      <c r="D8" s="626" t="str">
        <f>"Tháng "&amp;'Thong tin'!$C$9</f>
        <v>Tháng 6</v>
      </c>
      <c r="E8" s="627"/>
      <c r="F8" s="628" t="str">
        <f>"Lũy kế"&amp;" "&amp;'Thong tin'!$C$9 &amp;" "&amp;"tháng"</f>
        <v>Lũy kế 6 tháng</v>
      </c>
      <c r="G8" s="629"/>
    </row>
    <row r="9" spans="1:7" ht="18.75" customHeight="1">
      <c r="A9" s="623"/>
      <c r="B9" s="624"/>
      <c r="C9" s="625"/>
      <c r="D9" s="305" t="str">
        <f>"Năm " &amp; 'Thong tin'!$C$6</f>
        <v>Năm 2026</v>
      </c>
      <c r="E9" s="305" t="str">
        <f>"Năm " &amp; 'Thong tin'!$C$7</f>
        <v>Năm 2025</v>
      </c>
      <c r="F9" s="305" t="str">
        <f>"Năm " &amp; 'Thong tin'!$C$6</f>
        <v>Năm 2026</v>
      </c>
      <c r="G9" s="305" t="str">
        <f>"Năm " &amp; 'Thong tin'!$C$7</f>
        <v>Năm 2025</v>
      </c>
    </row>
    <row r="10" spans="1:7" ht="28.5" customHeight="1">
      <c r="A10" s="306" t="s">
        <v>153</v>
      </c>
      <c r="B10" s="630" t="s">
        <v>154</v>
      </c>
      <c r="C10" s="631"/>
      <c r="D10" s="307">
        <f ca="1">OFFSET('Ket qua kinh doanh'!$BL5,0,'Thong tin'!$C$9 - 1)</f>
        <v>123233804019</v>
      </c>
      <c r="E10" s="307">
        <f ca="1">OFFSET('Ket qua kinh doanh'!$AZ5,0,'Thong tin'!$C$9 - 1)</f>
        <v>119843310993</v>
      </c>
      <c r="F10" s="307">
        <f ca="1">SUM(OFFSET('Ket qua kinh doanh'!$BL5,0,0,1,'Thong tin'!$C$9))</f>
        <v>841013479508</v>
      </c>
      <c r="G10" s="307">
        <f ca="1">SUM(OFFSET('Ket qua kinh doanh'!$AZ5,0,0,1,'Thong tin'!$C$9))</f>
        <v>853436276724</v>
      </c>
    </row>
    <row r="11" spans="1:7" ht="18" customHeight="1">
      <c r="A11" s="308" t="s">
        <v>155</v>
      </c>
      <c r="B11" s="309" t="s">
        <v>156</v>
      </c>
      <c r="C11" s="310"/>
      <c r="D11" s="311">
        <f ca="1">OFFSET('Ket qua kinh doanh'!$BL6,0,'Thong tin'!$C$9 - 1)</f>
        <v>249465491</v>
      </c>
      <c r="E11" s="311">
        <f ca="1">OFFSET('Ket qua kinh doanh'!$AZ6,0,'Thong tin'!$C$9 - 1)</f>
        <v>708638196</v>
      </c>
      <c r="F11" s="311">
        <f ca="1">SUM(OFFSET('Ket qua kinh doanh'!$BL6,0,0,1,'Thong tin'!$C$9))</f>
        <v>3235312302</v>
      </c>
      <c r="G11" s="311">
        <f ca="1">SUM(OFFSET('Ket qua kinh doanh'!$AZ6,0,0,1,'Thong tin'!$C$9))</f>
        <v>4089507079</v>
      </c>
    </row>
    <row r="12" spans="1:7" s="314" customFormat="1" ht="29.25" customHeight="1">
      <c r="A12" s="312" t="s">
        <v>157</v>
      </c>
      <c r="B12" s="632" t="s">
        <v>158</v>
      </c>
      <c r="C12" s="633"/>
      <c r="D12" s="313">
        <f ca="1">OFFSET('Ket qua kinh doanh'!$BL7,0,'Thong tin'!$C$9 - 1)</f>
        <v>122984338528</v>
      </c>
      <c r="E12" s="313">
        <f ca="1">OFFSET('Ket qua kinh doanh'!$AZ7,0,'Thong tin'!$C$9 - 1)</f>
        <v>119134672797</v>
      </c>
      <c r="F12" s="313">
        <f ca="1">SUM(OFFSET('Ket qua kinh doanh'!$BL7,0,0,1,'Thong tin'!$C$9))</f>
        <v>837778167206</v>
      </c>
      <c r="G12" s="313">
        <f ca="1">SUM(OFFSET('Ket qua kinh doanh'!$AZ7,0,0,1,'Thong tin'!$C$9))</f>
        <v>849346769645</v>
      </c>
    </row>
    <row r="13" spans="1:7" ht="18" customHeight="1">
      <c r="A13" s="315" t="s">
        <v>159</v>
      </c>
      <c r="B13" s="316" t="s">
        <v>160</v>
      </c>
      <c r="C13" s="317"/>
      <c r="D13" s="318">
        <f ca="1">OFFSET('Ket qua kinh doanh'!$BL8,0,'Thong tin'!$C$9 - 1)</f>
        <v>103435583559</v>
      </c>
      <c r="E13" s="318">
        <f ca="1">OFFSET('Ket qua kinh doanh'!$AZ8,0,'Thong tin'!$C$9 - 1)</f>
        <v>105463649620</v>
      </c>
      <c r="F13" s="318">
        <f ca="1">SUM(OFFSET('Ket qua kinh doanh'!$BL8,0,0,1,'Thong tin'!$C$9))</f>
        <v>753437942033</v>
      </c>
      <c r="G13" s="307">
        <f ca="1">SUM(OFFSET('Ket qua kinh doanh'!$AZ8,0,0,1,'Thong tin'!$C$9))</f>
        <v>725390931143</v>
      </c>
    </row>
    <row r="14" spans="1:7" s="314" customFormat="1" ht="28.5" customHeight="1">
      <c r="A14" s="312" t="s">
        <v>161</v>
      </c>
      <c r="B14" s="632" t="s">
        <v>162</v>
      </c>
      <c r="C14" s="633"/>
      <c r="D14" s="319">
        <f ca="1">OFFSET('Ket qua kinh doanh'!$BL9,0,'Thong tin'!$C$9 - 1)</f>
        <v>19548754969</v>
      </c>
      <c r="E14" s="319">
        <f ca="1">OFFSET('Ket qua kinh doanh'!$AZ9,0,'Thong tin'!$C$9 - 1)</f>
        <v>13671023177</v>
      </c>
      <c r="F14" s="319">
        <f ca="1">SUM(OFFSET('Ket qua kinh doanh'!$BL9,0,0,1,'Thong tin'!$C$9))</f>
        <v>84340225173</v>
      </c>
      <c r="G14" s="319">
        <f ca="1">SUM(OFFSET('Ket qua kinh doanh'!$AZ9,0,0,1,'Thong tin'!$C$9))</f>
        <v>123955838502</v>
      </c>
    </row>
    <row r="15" spans="1:7" s="314" customFormat="1" ht="28.5" customHeight="1">
      <c r="A15" s="312" t="s">
        <v>163</v>
      </c>
      <c r="B15" s="632" t="s">
        <v>164</v>
      </c>
      <c r="C15" s="633"/>
      <c r="D15" s="319">
        <f ca="1">OFFSET('Ket qua kinh doanh'!$BL10,0,'Thong tin'!$C$9 - 1)</f>
        <v>0</v>
      </c>
      <c r="E15" s="319">
        <f ca="1">OFFSET('Ket qua kinh doanh'!$AZ10,0,'Thong tin'!$C$9 - 1)</f>
        <v>0</v>
      </c>
      <c r="F15" s="319">
        <f ca="1">SUM(OFFSET('Ket qua kinh doanh'!$BL10,0,0,1,'Thong tin'!$C$9))</f>
        <v>0</v>
      </c>
      <c r="G15" s="319">
        <f ca="1">SUM(OFFSET('Ket qua kinh doanh'!$AZ10,0,0,1,'Thong tin'!$C$9))</f>
        <v>0</v>
      </c>
    </row>
    <row r="16" spans="1:7" ht="18" customHeight="1">
      <c r="A16" s="308" t="s">
        <v>165</v>
      </c>
      <c r="B16" s="309" t="s">
        <v>166</v>
      </c>
      <c r="C16" s="310"/>
      <c r="D16" s="320">
        <f ca="1">OFFSET('Ket qua kinh doanh'!$BL11,0,'Thong tin'!$C$9 - 1)</f>
        <v>1466681763</v>
      </c>
      <c r="E16" s="320">
        <f ca="1">OFFSET('Ket qua kinh doanh'!$AZ11,0,'Thong tin'!$C$9 - 1)</f>
        <v>1641453607</v>
      </c>
      <c r="F16" s="311">
        <f ca="1">SUM(OFFSET('Ket qua kinh doanh'!$BL11,0,0,1,'Thong tin'!$C$9))</f>
        <v>6696557363</v>
      </c>
      <c r="G16" s="311">
        <f ca="1">SUM(OFFSET('Ket qua kinh doanh'!$AZ11,0,0,1,'Thong tin'!$C$9))</f>
        <v>8872280946</v>
      </c>
    </row>
    <row r="17" spans="1:7" ht="18" customHeight="1">
      <c r="A17" s="308" t="s">
        <v>167</v>
      </c>
      <c r="B17" s="309" t="s">
        <v>168</v>
      </c>
      <c r="C17" s="310"/>
      <c r="D17" s="320">
        <f ca="1">OFFSET('Ket qua kinh doanh'!$BL12,0,'Thong tin'!$C$9 - 1)</f>
        <v>1214330425</v>
      </c>
      <c r="E17" s="311">
        <f ca="1">OFFSET('Ket qua kinh doanh'!$AZ12,0,'Thong tin'!$C$9 - 1)</f>
        <v>1483876982</v>
      </c>
      <c r="F17" s="311">
        <f ca="1">SUM(OFFSET('Ket qua kinh doanh'!$BL12,0,0,1,'Thong tin'!$C$9))</f>
        <v>9034656808</v>
      </c>
      <c r="G17" s="311">
        <f ca="1">SUM(OFFSET('Ket qua kinh doanh'!$AZ12,0,0,1,'Thong tin'!$C$9))</f>
        <v>7574104186</v>
      </c>
    </row>
    <row r="18" spans="1:7" s="324" customFormat="1" ht="18" customHeight="1">
      <c r="A18" s="321"/>
      <c r="B18" s="322" t="s">
        <v>169</v>
      </c>
      <c r="C18" s="323"/>
      <c r="D18" s="311">
        <f ca="1">OFFSET('Ket qua kinh doanh'!$BL13,0,'Thong tin'!$C$9 - 1)</f>
        <v>856841656</v>
      </c>
      <c r="E18" s="311">
        <f ca="1">OFFSET('Ket qua kinh doanh'!$AZ13,0,'Thong tin'!$C$9 - 1)</f>
        <v>1448899822</v>
      </c>
      <c r="F18" s="311">
        <f ca="1">SUM(OFFSET('Ket qua kinh doanh'!$BL13,0,0,1,'Thong tin'!$C$9))</f>
        <v>6113875969</v>
      </c>
      <c r="G18" s="311">
        <f ca="1">SUM(OFFSET('Ket qua kinh doanh'!$AZ13,0,0,1,'Thong tin'!$C$9))</f>
        <v>6241052349</v>
      </c>
    </row>
    <row r="19" spans="1:7" ht="18" customHeight="1">
      <c r="A19" s="308" t="s">
        <v>170</v>
      </c>
      <c r="B19" s="309" t="s">
        <v>171</v>
      </c>
      <c r="C19" s="310"/>
      <c r="D19" s="320">
        <f ca="1">OFFSET('Ket qua kinh doanh'!$BL14,0,'Thong tin'!$C$9 - 1)</f>
        <v>3803640296</v>
      </c>
      <c r="E19" s="320">
        <f ca="1">OFFSET('Ket qua kinh doanh'!$AZ14,0,'Thong tin'!$C$9 - 1)</f>
        <v>4796729528</v>
      </c>
      <c r="F19" s="311">
        <f ca="1">SUM(OFFSET('Ket qua kinh doanh'!$BL14,0,0,1,'Thong tin'!$C$9))</f>
        <v>28720893640</v>
      </c>
      <c r="G19" s="311">
        <f ca="1">SUM(OFFSET('Ket qua kinh doanh'!$AZ14,0,0,1,'Thong tin'!$C$9))</f>
        <v>28972044720</v>
      </c>
    </row>
    <row r="20" spans="1:7" ht="18" customHeight="1">
      <c r="A20" s="308" t="s">
        <v>172</v>
      </c>
      <c r="B20" s="309" t="s">
        <v>173</v>
      </c>
      <c r="C20" s="310"/>
      <c r="D20" s="311">
        <f ca="1">OFFSET('Ket qua kinh doanh'!$BL15,0,'Thong tin'!$C$9 - 1)</f>
        <v>8218560670</v>
      </c>
      <c r="E20" s="311">
        <f ca="1">OFFSET('Ket qua kinh doanh'!$AZ15,0,'Thong tin'!$C$9 - 1)</f>
        <v>7721648228</v>
      </c>
      <c r="F20" s="311">
        <f ca="1">SUM(OFFSET('Ket qua kinh doanh'!$BL15,0,0,1,'Thong tin'!$C$9))</f>
        <v>48061650846</v>
      </c>
      <c r="G20" s="311">
        <f ca="1">SUM(OFFSET('Ket qua kinh doanh'!$AZ15,0,0,1,'Thong tin'!$C$9))</f>
        <v>44811234469</v>
      </c>
    </row>
    <row r="21" spans="1:7" s="314" customFormat="1" ht="18" customHeight="1">
      <c r="A21" s="325" t="s">
        <v>174</v>
      </c>
      <c r="B21" s="632" t="s">
        <v>175</v>
      </c>
      <c r="C21" s="633"/>
      <c r="D21" s="319">
        <f ca="1">OFFSET('Ket qua kinh doanh'!$BL16,0,'Thong tin'!$C$9 - 1)</f>
        <v>7778905341</v>
      </c>
      <c r="E21" s="319">
        <f ca="1">OFFSET('Ket qua kinh doanh'!$AZ16,0,'Thong tin'!$C$9 - 1)</f>
        <v>1310222046</v>
      </c>
      <c r="F21" s="319">
        <f ca="1">SUM(OFFSET('Ket qua kinh doanh'!$BL16,0,0,1,'Thong tin'!$C$9))</f>
        <v>5219581242</v>
      </c>
      <c r="G21" s="319">
        <f ca="1">SUM(OFFSET('Ket qua kinh doanh'!$AZ16,0,0,1,'Thong tin'!$C$9))</f>
        <v>51470736073</v>
      </c>
    </row>
    <row r="22" spans="1:7" ht="18" customHeight="1">
      <c r="A22" s="308" t="s">
        <v>176</v>
      </c>
      <c r="B22" s="309" t="s">
        <v>177</v>
      </c>
      <c r="C22" s="310"/>
      <c r="D22" s="311">
        <f ca="1">OFFSET('Ket qua kinh doanh'!$BL17,0,'Thong tin'!$C$9 - 1)</f>
        <v>371201</v>
      </c>
      <c r="E22" s="311">
        <f ca="1">OFFSET('Ket qua kinh doanh'!$AZ17,0,'Thong tin'!$C$9 - 1)</f>
        <v>2020926</v>
      </c>
      <c r="F22" s="311">
        <f ca="1">SUM(OFFSET('Ket qua kinh doanh'!$BL17,0,0,1,'Thong tin'!$C$9))</f>
        <v>12074316</v>
      </c>
      <c r="G22" s="311">
        <f ca="1">SUM(OFFSET('Ket qua kinh doanh'!$AZ17,0,0,1,'Thong tin'!$C$9))</f>
        <v>156532135</v>
      </c>
    </row>
    <row r="23" spans="1:7" ht="18" customHeight="1">
      <c r="A23" s="308" t="s">
        <v>178</v>
      </c>
      <c r="B23" s="309" t="s">
        <v>179</v>
      </c>
      <c r="C23" s="310"/>
      <c r="D23" s="311">
        <f ca="1">OFFSET('Ket qua kinh doanh'!$BL18,0,'Thong tin'!$C$9 - 1)</f>
        <v>100013926</v>
      </c>
      <c r="E23" s="311">
        <f ca="1">OFFSET('Ket qua kinh doanh'!$AZ18,0,'Thong tin'!$C$9 - 1)</f>
        <v>50477376</v>
      </c>
      <c r="F23" s="311">
        <f ca="1">SUM(OFFSET('Ket qua kinh doanh'!$BL18,0,0,1,'Thong tin'!$C$9))</f>
        <v>598196777</v>
      </c>
      <c r="G23" s="311">
        <f ca="1">SUM(OFFSET('Ket qua kinh doanh'!$AZ18,0,0,1,'Thong tin'!$C$9))</f>
        <v>199571583</v>
      </c>
    </row>
    <row r="24" spans="1:7" ht="18" customHeight="1">
      <c r="A24" s="315" t="s">
        <v>180</v>
      </c>
      <c r="B24" s="316" t="s">
        <v>181</v>
      </c>
      <c r="C24" s="317"/>
      <c r="D24" s="326">
        <f ca="1">OFFSET('Ket qua kinh doanh'!$BL19,0,'Thong tin'!$C$9 - 1)</f>
        <v>-99642725</v>
      </c>
      <c r="E24" s="326">
        <f ca="1">OFFSET('Ket qua kinh doanh'!$AZ19,0,'Thong tin'!$C$9 - 1)</f>
        <v>-48456450</v>
      </c>
      <c r="F24" s="326">
        <f ca="1">SUM(OFFSET('Ket qua kinh doanh'!$BL19,0,0,1,'Thong tin'!$C$9))</f>
        <v>-586122461</v>
      </c>
      <c r="G24" s="326">
        <f ca="1">SUM(OFFSET('Ket qua kinh doanh'!$AZ19,0,0,1,'Thong tin'!$C$9))</f>
        <v>-43039448</v>
      </c>
    </row>
    <row r="25" spans="1:7" s="314" customFormat="1" ht="18" customHeight="1">
      <c r="A25" s="312" t="s">
        <v>182</v>
      </c>
      <c r="B25" s="327" t="s">
        <v>183</v>
      </c>
      <c r="C25" s="328"/>
      <c r="D25" s="329">
        <f ca="1">OFFSET('Ket qua kinh doanh'!$BL20,0,'Thong tin'!$C$9 - 1)</f>
        <v>7679262616</v>
      </c>
      <c r="E25" s="329">
        <f ca="1">OFFSET('Ket qua kinh doanh'!$AZ20,0,'Thong tin'!$C$9 - 1)</f>
        <v>1261765596</v>
      </c>
      <c r="F25" s="329">
        <f ca="1">SUM(OFFSET('Ket qua kinh doanh'!$BL20,0,0,1,'Thong tin'!$C$9))</f>
        <v>4633458781</v>
      </c>
      <c r="G25" s="329">
        <f ca="1">SUM(OFFSET('Ket qua kinh doanh'!$AZ20,0,0,1,'Thong tin'!$C$9))</f>
        <v>51427696625</v>
      </c>
    </row>
    <row r="26" spans="1:7" ht="18" customHeight="1">
      <c r="A26" s="308" t="s">
        <v>184</v>
      </c>
      <c r="B26" s="309" t="s">
        <v>185</v>
      </c>
      <c r="C26" s="310"/>
      <c r="D26" s="330">
        <f ca="1">OFFSET('Ket qua kinh doanh'!$BL21,0,'Thong tin'!$C$9 - 1)</f>
        <v>926691756</v>
      </c>
      <c r="E26" s="320">
        <f ca="1">OFFSET('Ket qua kinh doanh'!$AZ21,0,'Thong tin'!$C$9 - 1)</f>
        <v>189264839</v>
      </c>
      <c r="F26" s="311">
        <f ca="1">SUM(OFFSET('Ket qua kinh doanh'!$BL21,0,0,1,'Thong tin'!$C$9))</f>
        <v>727789390</v>
      </c>
      <c r="G26" s="311">
        <f ca="1">SUM(OFFSET('Ket qua kinh doanh'!$AZ21,0,0,1,'Thong tin'!$C$9))</f>
        <v>7685924739</v>
      </c>
    </row>
    <row r="27" spans="1:7" ht="18" customHeight="1">
      <c r="A27" s="308" t="s">
        <v>186</v>
      </c>
      <c r="B27" s="309" t="s">
        <v>187</v>
      </c>
      <c r="C27" s="310"/>
      <c r="D27" s="330">
        <f ca="1">OFFSET('Ket qua kinh doanh'!BL22,0,'Thong tin'!$C$9 - 1)</f>
        <v>0</v>
      </c>
      <c r="E27" s="320">
        <f ca="1">OFFSET('Ket qua kinh doanh'!$AZ22,0,'Thong tin'!$C$9 - 1)</f>
        <v>0</v>
      </c>
      <c r="F27" s="330">
        <f ca="1">SUM(OFFSET('Ket qua kinh doanh'!BL22,0,0,1,'Thong tin'!$C$9))</f>
        <v>0</v>
      </c>
      <c r="G27" s="311">
        <f ca="1">SUM(OFFSET('Ket qua kinh doanh'!$AZ22,0,0,1,'Thong tin'!$C$9))</f>
        <v>-8043000</v>
      </c>
    </row>
    <row r="28" spans="1:7" s="314" customFormat="1" ht="18" customHeight="1">
      <c r="A28" s="331" t="s">
        <v>188</v>
      </c>
      <c r="B28" s="332" t="s">
        <v>189</v>
      </c>
      <c r="C28" s="333"/>
      <c r="D28" s="334">
        <f ca="1">OFFSET('Ket qua kinh doanh'!$BL23,0,'Thong tin'!$C$9 - 1)</f>
        <v>6752570860</v>
      </c>
      <c r="E28" s="334">
        <f ca="1">OFFSET('Ket qua kinh doanh'!$AZ23,0,'Thong tin'!$C$9 - 1)</f>
        <v>1072500757</v>
      </c>
      <c r="F28" s="334">
        <f ca="1">SUM(OFFSET('Ket qua kinh doanh'!$BL23,0,0,1,'Thong tin'!$C$9))</f>
        <v>3905669391</v>
      </c>
      <c r="G28" s="334">
        <f ca="1">SUM(OFFSET('Ket qua kinh doanh'!$AZ23,0,0,1,'Thong tin'!$C$9))</f>
        <v>43749814886</v>
      </c>
    </row>
    <row r="29" spans="1:7" hidden="1">
      <c r="A29" s="335" t="s">
        <v>190</v>
      </c>
      <c r="B29" s="301" t="s">
        <v>191</v>
      </c>
      <c r="C29" s="336"/>
      <c r="D29" s="337"/>
      <c r="E29" s="338"/>
      <c r="F29" s="339" t="e">
        <f>#REF!+#REF!+#REF!+#REF!+#REF!+#REF!+#REF!+#REF!+#REF!+#REF!+#REF!+D29</f>
        <v>#REF!</v>
      </c>
      <c r="G29" s="339" t="e">
        <f>#REF!+#REF!+#REF!+#REF!+#REF!+#REF!+#REF!+#REF!+#REF!+#REF!+#REF!+E29</f>
        <v>#REF!</v>
      </c>
    </row>
    <row r="30" spans="1:7" ht="6" customHeight="1">
      <c r="A30" s="340"/>
      <c r="B30" s="341"/>
      <c r="C30" s="342"/>
      <c r="D30" s="343"/>
      <c r="E30" s="344"/>
      <c r="F30" s="343"/>
      <c r="G30" s="344"/>
    </row>
    <row r="31" spans="1:7" ht="11.25" customHeight="1">
      <c r="D31" s="296">
        <v>0</v>
      </c>
      <c r="E31" s="296">
        <v>0</v>
      </c>
      <c r="F31" s="296">
        <v>0</v>
      </c>
      <c r="G31" s="296">
        <v>0</v>
      </c>
    </row>
    <row r="32" spans="1:7">
      <c r="D32" s="634"/>
      <c r="E32" s="634"/>
      <c r="F32" s="617" t="s">
        <v>659</v>
      </c>
      <c r="G32" s="617"/>
    </row>
    <row r="33" spans="2:7">
      <c r="D33" s="345"/>
      <c r="E33" s="345"/>
      <c r="F33" s="345"/>
      <c r="G33" s="345"/>
    </row>
    <row r="34" spans="2:7">
      <c r="B34" s="635" t="s">
        <v>7</v>
      </c>
      <c r="C34" s="635"/>
      <c r="D34" s="635"/>
      <c r="E34" s="635"/>
      <c r="F34" s="616" t="str">
        <f>'Thong tin'!B18</f>
        <v>GIÁM ĐỐC TÀI CHÍNH</v>
      </c>
      <c r="G34" s="616"/>
    </row>
    <row r="35" spans="2:7" ht="15" customHeight="1">
      <c r="B35" s="346"/>
      <c r="D35" s="347"/>
    </row>
    <row r="36" spans="2:7" ht="15" customHeight="1">
      <c r="B36" s="346"/>
      <c r="D36" s="347"/>
    </row>
    <row r="37" spans="2:7" ht="15" customHeight="1">
      <c r="B37" s="346"/>
      <c r="D37" s="347"/>
    </row>
    <row r="38" spans="2:7" ht="15" customHeight="1">
      <c r="B38" s="346"/>
      <c r="D38" s="347"/>
    </row>
    <row r="39" spans="2:7" ht="15" customHeight="1">
      <c r="B39" s="346"/>
      <c r="D39" s="347"/>
    </row>
    <row r="40" spans="2:7" ht="15" customHeight="1">
      <c r="B40" s="346"/>
      <c r="D40" s="347"/>
    </row>
    <row r="41" spans="2:7" ht="15" customHeight="1">
      <c r="B41" s="636">
        <f>'Thong tin'!B13</f>
        <v>0</v>
      </c>
      <c r="C41" s="636"/>
      <c r="D41" s="636"/>
      <c r="E41" s="636"/>
      <c r="F41" s="615" t="s">
        <v>149</v>
      </c>
      <c r="G41" s="615"/>
    </row>
    <row r="42" spans="2:7" ht="15" customHeight="1"/>
    <row r="43" spans="2:7" ht="15" customHeight="1"/>
    <row r="44" spans="2:7" ht="15" customHeight="1"/>
    <row r="45" spans="2:7" ht="15" customHeight="1"/>
    <row r="46" spans="2:7" ht="15" customHeight="1"/>
    <row r="48" spans="2:7" ht="15" customHeight="1"/>
  </sheetData>
  <mergeCells count="18">
    <mergeCell ref="B34:C34"/>
    <mergeCell ref="D34:E34"/>
    <mergeCell ref="F34:G34"/>
    <mergeCell ref="B41:C41"/>
    <mergeCell ref="D41:E41"/>
    <mergeCell ref="F41:G41"/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97F5-E69A-40C6-BCA9-2FCD6D3FE136}">
  <sheetPr>
    <tabColor theme="8" tint="0.59999389629810485"/>
  </sheetPr>
  <dimension ref="A1:G59"/>
  <sheetViews>
    <sheetView showGridLines="0" showZeros="0" zoomScaleNormal="100" workbookViewId="0">
      <pane xSplit="1" ySplit="9" topLeftCell="B10" activePane="bottomRight" state="frozen"/>
      <selection pane="topRight" activeCell="P9" sqref="P9"/>
      <selection pane="bottomLeft" activeCell="P9" sqref="P9"/>
      <selection pane="bottomRight" activeCell="B52" sqref="B52:C52"/>
    </sheetView>
  </sheetViews>
  <sheetFormatPr defaultColWidth="9.33203125" defaultRowHeight="13.8"/>
  <cols>
    <col min="1" max="1" width="37.33203125" style="348" customWidth="1"/>
    <col min="2" max="2" width="16.33203125" style="348" customWidth="1"/>
    <col min="3" max="3" width="17.33203125" style="375" customWidth="1"/>
    <col min="4" max="4" width="16.44140625" style="348" customWidth="1"/>
    <col min="5" max="5" width="17.33203125" style="375" customWidth="1"/>
    <col min="6" max="6" width="12" style="348" bestFit="1" customWidth="1"/>
    <col min="7" max="7" width="17.6640625" style="348" bestFit="1" customWidth="1"/>
    <col min="8" max="16384" width="9.33203125" style="348"/>
  </cols>
  <sheetData>
    <row r="1" spans="1:7" ht="15.6">
      <c r="A1" s="300" t="str">
        <f>'Thong tin'!$A$1</f>
        <v>CÔNG TY CP NHỰA TÁI CHẾ DUY TÂN</v>
      </c>
      <c r="B1" s="243"/>
      <c r="C1" s="197"/>
      <c r="D1" s="243"/>
      <c r="E1" s="197"/>
    </row>
    <row r="2" spans="1:7" ht="16.2" thickBot="1">
      <c r="A2" s="241" t="str">
        <f>'Thong tin'!$A$2</f>
        <v>Địa chỉ: Lô D2, Cụm CN Nhựa Đức Hòa, Xã Đức Hòa, Tỉnh Tây Ninh</v>
      </c>
      <c r="B2" s="302"/>
      <c r="C2" s="200"/>
      <c r="D2" s="302"/>
      <c r="E2" s="200"/>
    </row>
    <row r="3" spans="1:7" ht="27" customHeight="1">
      <c r="A3" s="243"/>
      <c r="B3" s="243"/>
      <c r="C3" s="202"/>
      <c r="D3" s="243"/>
      <c r="E3" s="202"/>
    </row>
    <row r="4" spans="1:7" ht="20.399999999999999">
      <c r="A4" s="618" t="s">
        <v>192</v>
      </c>
      <c r="B4" s="618"/>
      <c r="C4" s="618"/>
      <c r="D4" s="618"/>
      <c r="E4" s="618"/>
    </row>
    <row r="5" spans="1:7" ht="12" customHeight="1">
      <c r="A5" s="637" t="s">
        <v>193</v>
      </c>
      <c r="B5" s="637"/>
      <c r="C5" s="637"/>
      <c r="D5" s="637"/>
      <c r="E5" s="637"/>
    </row>
    <row r="6" spans="1:7" ht="12.75" customHeight="1">
      <c r="A6" s="638" t="str">
        <f>"Năm " &amp; 'Thong tin'!$C$6</f>
        <v>Năm 2026</v>
      </c>
      <c r="B6" s="638"/>
      <c r="C6" s="638"/>
      <c r="D6" s="638"/>
      <c r="E6" s="638"/>
    </row>
    <row r="7" spans="1:7" ht="12" customHeight="1">
      <c r="B7" s="349"/>
      <c r="C7" s="303"/>
      <c r="D7" s="349"/>
      <c r="E7" s="350" t="str">
        <f>'KQKD in'!G6</f>
        <v>ĐVT: VNĐ</v>
      </c>
    </row>
    <row r="8" spans="1:7" s="351" customFormat="1" ht="14.25" customHeight="1">
      <c r="A8" s="639" t="s">
        <v>152</v>
      </c>
      <c r="B8" s="626" t="str">
        <f>"Tháng " &amp; 'Thong tin'!$C$9</f>
        <v>Tháng 6</v>
      </c>
      <c r="C8" s="627"/>
      <c r="D8" s="628" t="str">
        <f>"Lũy kế"&amp;" "&amp; 'Thong tin'!$C$9 &amp;" "&amp;"tháng"</f>
        <v>Lũy kế 6 tháng</v>
      </c>
      <c r="E8" s="629"/>
    </row>
    <row r="9" spans="1:7">
      <c r="A9" s="640"/>
      <c r="B9" s="352" t="str">
        <f>"Năm " &amp; 'Thong tin'!$C$6</f>
        <v>Năm 2026</v>
      </c>
      <c r="C9" s="352" t="str">
        <f>"Năm " &amp; 'Thong tin'!$C$7</f>
        <v>Năm 2025</v>
      </c>
      <c r="D9" s="352" t="str">
        <f>"Năm " &amp; 'Thong tin'!$C$6</f>
        <v>Năm 2026</v>
      </c>
      <c r="E9" s="352" t="str">
        <f>"Năm " &amp; 'Thong tin'!$C$7</f>
        <v>Năm 2025</v>
      </c>
    </row>
    <row r="10" spans="1:7" ht="18" customHeight="1">
      <c r="A10" s="353" t="s">
        <v>194</v>
      </c>
      <c r="B10" s="354"/>
      <c r="C10" s="354"/>
      <c r="D10" s="354"/>
      <c r="E10" s="354"/>
    </row>
    <row r="11" spans="1:7" s="356" customFormat="1" ht="17.100000000000001" customHeight="1">
      <c r="A11" s="355" t="s">
        <v>195</v>
      </c>
      <c r="B11" s="506">
        <f ca="1">OFFSET('Luu chuyen tien te'!$BL5,0,'Thong tin'!$C$9 - 1)</f>
        <v>7679262616</v>
      </c>
      <c r="C11" s="506">
        <f ca="1">OFFSET('Luu chuyen tien te'!$AZ5,0,'Thong tin'!$C$9 - 1)</f>
        <v>1261765596</v>
      </c>
      <c r="D11" s="506">
        <f ca="1">SUM(OFFSET('Luu chuyen tien te'!$BL5,0,0,1,'Thong tin'!$C$9))</f>
        <v>4633458781</v>
      </c>
      <c r="E11" s="506">
        <f ca="1">SUM(OFFSET('Luu chuyen tien te'!$AZ5,0,0,1,'Thong tin'!$C$9))</f>
        <v>51427696625</v>
      </c>
    </row>
    <row r="12" spans="1:7" s="356" customFormat="1" ht="17.100000000000001" customHeight="1">
      <c r="A12" s="355" t="s">
        <v>196</v>
      </c>
      <c r="B12" s="506"/>
      <c r="C12" s="506"/>
      <c r="D12" s="506"/>
      <c r="E12" s="506"/>
    </row>
    <row r="13" spans="1:7">
      <c r="A13" s="357" t="s">
        <v>197</v>
      </c>
      <c r="B13" s="507">
        <f ca="1">OFFSET('Luu chuyen tien te'!$BL7,0,'Thong tin'!$C$9 - 1)</f>
        <v>2329762280</v>
      </c>
      <c r="C13" s="507">
        <f ca="1">OFFSET('Luu chuyen tien te'!$AZ7,0,'Thong tin'!$C$9 - 1)</f>
        <v>4087468338</v>
      </c>
      <c r="D13" s="507">
        <f ca="1">SUM(OFFSET('Luu chuyen tien te'!$BL7,0,0,1,'Thong tin'!$C$9))</f>
        <v>13293790301</v>
      </c>
      <c r="E13" s="507">
        <f ca="1">SUM(OFFSET('Luu chuyen tien te'!$AZ7,0,0,1,'Thong tin'!$C$9))</f>
        <v>23695006009</v>
      </c>
    </row>
    <row r="14" spans="1:7">
      <c r="A14" s="357" t="s">
        <v>198</v>
      </c>
      <c r="B14" s="507">
        <f ca="1">OFFSET('Luu chuyen tien te'!$BL8,0,'Thong tin'!$C$9 - 1)</f>
        <v>0</v>
      </c>
      <c r="C14" s="507">
        <f ca="1">OFFSET('Luu chuyen tien te'!$AZ8,0,'Thong tin'!$C$9 - 1)</f>
        <v>0</v>
      </c>
      <c r="D14" s="507">
        <f ca="1">SUM(OFFSET('Luu chuyen tien te'!$BL8,0,0,1,'Thong tin'!$C$9))</f>
        <v>0</v>
      </c>
      <c r="E14" s="507">
        <f ca="1">SUM(OFFSET('Luu chuyen tien te'!$AZ8,0,0,1,'Thong tin'!$C$9))</f>
        <v>0</v>
      </c>
      <c r="G14" s="358"/>
    </row>
    <row r="15" spans="1:7" ht="29.25" customHeight="1">
      <c r="A15" s="359" t="s">
        <v>199</v>
      </c>
      <c r="B15" s="507">
        <f ca="1">OFFSET('Luu chuyen tien te'!$BL9,0,'Thong tin'!$C$9 - 1)</f>
        <v>-301467078</v>
      </c>
      <c r="C15" s="507">
        <f ca="1">OFFSET('Luu chuyen tien te'!$AZ9,0,'Thong tin'!$C$9 - 1)</f>
        <v>-645043805</v>
      </c>
      <c r="D15" s="507">
        <f ca="1">SUM(OFFSET('Luu chuyen tien te'!$BL9,0,0,1,'Thong tin'!$C$9))</f>
        <v>-2187950730</v>
      </c>
      <c r="E15" s="507">
        <f ca="1">SUM(OFFSET('Luu chuyen tien te'!$AZ9,0,0,1,'Thong tin'!$C$9))</f>
        <v>-5189834305</v>
      </c>
    </row>
    <row r="16" spans="1:7">
      <c r="A16" s="357" t="s">
        <v>200</v>
      </c>
      <c r="B16" s="507">
        <f ca="1">OFFSET('Luu chuyen tien te'!$BL10,0,'Thong tin'!$C$9 - 1)</f>
        <v>-42752896</v>
      </c>
      <c r="C16" s="507">
        <f ca="1">OFFSET('Luu chuyen tien te'!$AZ10,0,'Thong tin'!$C$9 - 1)</f>
        <v>-989334</v>
      </c>
      <c r="D16" s="507">
        <f ca="1">SUM(OFFSET('Luu chuyen tien te'!$BL10,0,0,1,'Thong tin'!$C$9))</f>
        <v>-2923290610</v>
      </c>
      <c r="E16" s="507">
        <f ca="1">SUM(OFFSET('Luu chuyen tien te'!$AZ10,0,0,1,'Thong tin'!$C$9))</f>
        <v>-1680691614</v>
      </c>
    </row>
    <row r="17" spans="1:5">
      <c r="A17" s="357" t="s">
        <v>201</v>
      </c>
      <c r="B17" s="507">
        <f ca="1">OFFSET('Luu chuyen tien te'!$BL11,0,'Thong tin'!$C$9 - 1)</f>
        <v>856841656</v>
      </c>
      <c r="C17" s="507">
        <f ca="1">OFFSET('Luu chuyen tien te'!$AZ11,0,'Thong tin'!$C$9 - 1)</f>
        <v>1448899822</v>
      </c>
      <c r="D17" s="507">
        <f ca="1">SUM(OFFSET('Luu chuyen tien te'!$BL11,0,0,1,'Thong tin'!$C$9))</f>
        <v>6113875969</v>
      </c>
      <c r="E17" s="507">
        <f ca="1">SUM(OFFSET('Luu chuyen tien te'!$AZ11,0,0,1,'Thong tin'!$C$9))</f>
        <v>6241052349</v>
      </c>
    </row>
    <row r="18" spans="1:5">
      <c r="A18" s="357" t="s">
        <v>202</v>
      </c>
      <c r="B18" s="507">
        <f ca="1">OFFSET('Luu chuyen tien te'!$BL12,0,'Thong tin'!$C$9 - 1)</f>
        <v>0</v>
      </c>
      <c r="C18" s="507">
        <f ca="1">OFFSET('Luu chuyen tien te'!$AZ12,0,'Thong tin'!$C$9 - 1)</f>
        <v>0</v>
      </c>
      <c r="D18" s="507">
        <f ca="1">SUM(OFFSET('Luu chuyen tien te'!$BL12,0,0,1,'Thong tin'!$C$9))</f>
        <v>0</v>
      </c>
      <c r="E18" s="507">
        <f ca="1">SUM(OFFSET('Luu chuyen tien te'!$AZ12,0,0,1,'Thong tin'!$C$9))</f>
        <v>0</v>
      </c>
    </row>
    <row r="19" spans="1:5" s="361" customFormat="1" ht="32.25" customHeight="1">
      <c r="A19" s="360" t="s">
        <v>203</v>
      </c>
      <c r="B19" s="508">
        <f ca="1">SUM(B11:B18)</f>
        <v>10521646578</v>
      </c>
      <c r="C19" s="508">
        <f t="shared" ref="C19" ca="1" si="0">SUM(C11:C18)</f>
        <v>6152100617</v>
      </c>
      <c r="D19" s="508">
        <f t="shared" ref="D19" ca="1" si="1">SUM(D11:D18)</f>
        <v>18929883711</v>
      </c>
      <c r="E19" s="508">
        <f t="shared" ref="E19" ca="1" si="2">SUM(E11:E18)</f>
        <v>74493229064</v>
      </c>
    </row>
    <row r="20" spans="1:5" s="361" customFormat="1">
      <c r="A20" s="362" t="s">
        <v>204</v>
      </c>
      <c r="B20" s="507">
        <f ca="1">OFFSET('Luu chuyen tien te'!$BL14,0,'Thong tin'!$C$9 - 1)</f>
        <v>-11814070908</v>
      </c>
      <c r="C20" s="507">
        <f ca="1">OFFSET('Luu chuyen tien te'!$AZ14,0,'Thong tin'!$C$9 - 1)</f>
        <v>720428098</v>
      </c>
      <c r="D20" s="507">
        <f ca="1">SUM(OFFSET('Luu chuyen tien te'!$BL14,0,0,1,'Thong tin'!$C$9))</f>
        <v>-18056360448</v>
      </c>
      <c r="E20" s="507">
        <f ca="1">SUM(OFFSET('Luu chuyen tien te'!$AZ14,0,0,1,'Thong tin'!$C$9))</f>
        <v>-59885757236</v>
      </c>
    </row>
    <row r="21" spans="1:5" s="361" customFormat="1">
      <c r="A21" s="362" t="s">
        <v>205</v>
      </c>
      <c r="B21" s="507">
        <f ca="1">OFFSET('Luu chuyen tien te'!$BL15,0,'Thong tin'!$C$9 - 1)</f>
        <v>-26467578285</v>
      </c>
      <c r="C21" s="507">
        <f ca="1">OFFSET('Luu chuyen tien te'!$AZ15,0,'Thong tin'!$C$9 - 1)</f>
        <v>-17092818286</v>
      </c>
      <c r="D21" s="507">
        <f ca="1">SUM(OFFSET('Luu chuyen tien te'!$BL15,0,0,1,'Thong tin'!$C$9))</f>
        <v>174467761523</v>
      </c>
      <c r="E21" s="507">
        <f ca="1">SUM(OFFSET('Luu chuyen tien te'!$AZ15,0,0,1,'Thong tin'!$C$9))</f>
        <v>62229306094</v>
      </c>
    </row>
    <row r="22" spans="1:5" s="361" customFormat="1" ht="30" customHeight="1">
      <c r="A22" s="363" t="s">
        <v>206</v>
      </c>
      <c r="B22" s="507">
        <f ca="1">OFFSET('Luu chuyen tien te'!$BL16,0,'Thong tin'!$C$9 - 1)</f>
        <v>32739939658</v>
      </c>
      <c r="C22" s="507">
        <f ca="1">OFFSET('Luu chuyen tien te'!$AZ16,0,'Thong tin'!$C$9 - 1)</f>
        <v>14884971711</v>
      </c>
      <c r="D22" s="507">
        <f ca="1">SUM(OFFSET('Luu chuyen tien te'!$BL16,0,0,1,'Thong tin'!$C$9))</f>
        <v>63154333036</v>
      </c>
      <c r="E22" s="507">
        <f ca="1">SUM(OFFSET('Luu chuyen tien te'!$AZ16,0,0,1,'Thong tin'!$C$9))</f>
        <v>-11977662415</v>
      </c>
    </row>
    <row r="23" spans="1:5" s="361" customFormat="1">
      <c r="A23" s="362" t="s">
        <v>207</v>
      </c>
      <c r="B23" s="507">
        <f ca="1">OFFSET('Luu chuyen tien te'!$BL17,0,'Thong tin'!$C$9 - 1)</f>
        <v>903849225</v>
      </c>
      <c r="C23" s="507">
        <f ca="1">OFFSET('Luu chuyen tien te'!$AZ17,0,'Thong tin'!$C$9 - 1)</f>
        <v>-5497715935</v>
      </c>
      <c r="D23" s="507">
        <f ca="1">SUM(OFFSET('Luu chuyen tien te'!$BL17,0,0,1,'Thong tin'!$C$9))</f>
        <v>2336527590</v>
      </c>
      <c r="E23" s="507">
        <f ca="1">SUM(OFFSET('Luu chuyen tien te'!$AZ17,0,0,1,'Thong tin'!$C$9))</f>
        <v>-5798221991</v>
      </c>
    </row>
    <row r="24" spans="1:5" s="361" customFormat="1">
      <c r="A24" s="362" t="s">
        <v>208</v>
      </c>
      <c r="B24" s="507">
        <f ca="1">OFFSET('Luu chuyen tien te'!$BL18,0,'Thong tin'!$C$9 - 1)</f>
        <v>0</v>
      </c>
      <c r="C24" s="507">
        <f ca="1">OFFSET('Luu chuyen tien te'!$AZ18,0,'Thong tin'!$C$9 - 1)</f>
        <v>0</v>
      </c>
      <c r="D24" s="507">
        <f ca="1">SUM(OFFSET('Luu chuyen tien te'!$BL18,0,0,1,'Thong tin'!$C$9))</f>
        <v>0</v>
      </c>
      <c r="E24" s="507">
        <f ca="1">SUM(OFFSET('Luu chuyen tien te'!$AZ18,0,0,1,'Thong tin'!$C$9))</f>
        <v>0</v>
      </c>
    </row>
    <row r="25" spans="1:5" s="361" customFormat="1">
      <c r="A25" s="362" t="s">
        <v>209</v>
      </c>
      <c r="B25" s="507">
        <f ca="1">OFFSET('Luu chuyen tien te'!$BL19,0,'Thong tin'!$C$9 - 1)</f>
        <v>-856841656</v>
      </c>
      <c r="C25" s="507">
        <f ca="1">OFFSET('Luu chuyen tien te'!$AZ19,0,'Thong tin'!$C$9 - 1)</f>
        <v>-1448899822</v>
      </c>
      <c r="D25" s="507">
        <f ca="1">SUM(OFFSET('Luu chuyen tien te'!$BL19,0,0,1,'Thong tin'!$C$9))</f>
        <v>-6113875969</v>
      </c>
      <c r="E25" s="507">
        <f ca="1">SUM(OFFSET('Luu chuyen tien te'!$AZ19,0,0,1,'Thong tin'!$C$9))</f>
        <v>-6241052349</v>
      </c>
    </row>
    <row r="26" spans="1:5" s="361" customFormat="1">
      <c r="A26" s="362" t="s">
        <v>210</v>
      </c>
      <c r="B26" s="507">
        <f ca="1">OFFSET('Luu chuyen tien te'!$BL20,0,'Thong tin'!$C$9 - 1)</f>
        <v>0</v>
      </c>
      <c r="C26" s="507">
        <f ca="1">OFFSET('Luu chuyen tien te'!$AZ20,0,'Thong tin'!$C$9 - 1)</f>
        <v>0</v>
      </c>
      <c r="D26" s="507">
        <f ca="1">SUM(OFFSET('Luu chuyen tien te'!$BL20,0,0,1,'Thong tin'!$C$9))</f>
        <v>0</v>
      </c>
      <c r="E26" s="507">
        <f ca="1">SUM(OFFSET('Luu chuyen tien te'!$AZ20,0,0,1,'Thong tin'!$C$9))</f>
        <v>0</v>
      </c>
    </row>
    <row r="27" spans="1:5" s="361" customFormat="1">
      <c r="A27" s="362" t="s">
        <v>211</v>
      </c>
      <c r="B27" s="507">
        <f ca="1">OFFSET('Luu chuyen tien te'!$BL21,0,'Thong tin'!$C$9 - 1)</f>
        <v>0</v>
      </c>
      <c r="C27" s="507">
        <f ca="1">OFFSET('Luu chuyen tien te'!$AZ21,0,'Thong tin'!$C$9 - 1)</f>
        <v>0</v>
      </c>
      <c r="D27" s="507">
        <f ca="1">SUM(OFFSET('Luu chuyen tien te'!$BL21,0,0,1,'Thong tin'!$C$9))</f>
        <v>0</v>
      </c>
      <c r="E27" s="507">
        <f ca="1">SUM(OFFSET('Luu chuyen tien te'!$AZ21,0,0,1,'Thong tin'!$C$9))</f>
        <v>0</v>
      </c>
    </row>
    <row r="28" spans="1:5" s="361" customFormat="1">
      <c r="A28" s="362" t="s">
        <v>212</v>
      </c>
      <c r="B28" s="507">
        <f ca="1">OFFSET('Luu chuyen tien te'!$BL22,0,'Thong tin'!$C$9 - 1)</f>
        <v>0</v>
      </c>
      <c r="C28" s="507">
        <f ca="1">OFFSET('Luu chuyen tien te'!$AZ22,0,'Thong tin'!$C$9 - 1)</f>
        <v>0</v>
      </c>
      <c r="D28" s="507">
        <f ca="1">SUM(OFFSET('Luu chuyen tien te'!$BL22,0,0,1,'Thong tin'!$C$9))</f>
        <v>0</v>
      </c>
      <c r="E28" s="507">
        <f ca="1">SUM(OFFSET('Luu chuyen tien te'!$AZ22,0,0,1,'Thong tin'!$C$9))</f>
        <v>0</v>
      </c>
    </row>
    <row r="29" spans="1:5" s="361" customFormat="1" ht="29.25" customHeight="1">
      <c r="A29" s="360" t="s">
        <v>213</v>
      </c>
      <c r="B29" s="506">
        <f ca="1">SUM(B19:B28)</f>
        <v>5026944612</v>
      </c>
      <c r="C29" s="506">
        <f t="shared" ref="C29:E29" ca="1" si="3">SUM(C19:C28)</f>
        <v>-2281933617</v>
      </c>
      <c r="D29" s="506">
        <f t="shared" ca="1" si="3"/>
        <v>234718269443</v>
      </c>
      <c r="E29" s="506">
        <f t="shared" ca="1" si="3"/>
        <v>52819841167</v>
      </c>
    </row>
    <row r="30" spans="1:5" ht="18.75" customHeight="1">
      <c r="A30" s="364" t="s">
        <v>214</v>
      </c>
      <c r="B30" s="509"/>
      <c r="C30" s="509"/>
      <c r="D30" s="509"/>
      <c r="E30" s="509"/>
    </row>
    <row r="31" spans="1:5" s="366" customFormat="1" ht="30" customHeight="1">
      <c r="A31" s="365" t="s">
        <v>215</v>
      </c>
      <c r="B31" s="507">
        <f ca="1">OFFSET('Luu chuyen tien te'!$BL25,0,'Thong tin'!$C$9 - 1)</f>
        <v>-3540267632</v>
      </c>
      <c r="C31" s="507">
        <f ca="1">OFFSET('Luu chuyen tien te'!$AZ25,0,'Thong tin'!$C$9 - 1)</f>
        <v>-4827154812</v>
      </c>
      <c r="D31" s="507">
        <f ca="1">SUM(OFFSET('Luu chuyen tien te'!$BL25,0,0,1,'Thong tin'!$C$9))</f>
        <v>-156940109027</v>
      </c>
      <c r="E31" s="507">
        <f ca="1">SUM(OFFSET('Luu chuyen tien te'!$AZ25,0,0,1,'Thong tin'!$C$9))</f>
        <v>-36451361520</v>
      </c>
    </row>
    <row r="32" spans="1:5" s="366" customFormat="1" ht="30" customHeight="1">
      <c r="A32" s="365" t="s">
        <v>216</v>
      </c>
      <c r="B32" s="507">
        <f ca="1">OFFSET('Luu chuyen tien te'!$BL26,0,'Thong tin'!$C$9 - 1)</f>
        <v>0</v>
      </c>
      <c r="C32" s="507">
        <f ca="1">OFFSET('Luu chuyen tien te'!$AZ26,0,'Thong tin'!$C$9 - 1)</f>
        <v>226000000</v>
      </c>
      <c r="D32" s="507">
        <f ca="1">SUM(OFFSET('Luu chuyen tien te'!$BL26,0,0,1,'Thong tin'!$C$9))</f>
        <v>0</v>
      </c>
      <c r="E32" s="507">
        <f ca="1">SUM(OFFSET('Luu chuyen tien te'!$AZ26,0,0,1,'Thong tin'!$C$9))</f>
        <v>944633187</v>
      </c>
    </row>
    <row r="33" spans="1:5" ht="30" customHeight="1">
      <c r="A33" s="365" t="s">
        <v>217</v>
      </c>
      <c r="B33" s="507">
        <f ca="1">OFFSET('Luu chuyen tien te'!$BL27,0,'Thong tin'!$C$9 - 1)</f>
        <v>-34455263957</v>
      </c>
      <c r="C33" s="507">
        <f ca="1">OFFSET('Luu chuyen tien te'!$AZ27,0,'Thong tin'!$C$9 - 1)</f>
        <v>0</v>
      </c>
      <c r="D33" s="507">
        <f ca="1">SUM(OFFSET('Luu chuyen tien te'!$BL27,0,0,1,'Thong tin'!$C$9))</f>
        <v>-121455263957</v>
      </c>
      <c r="E33" s="507">
        <f ca="1">SUM(OFFSET('Luu chuyen tien te'!$AZ27,0,0,1,'Thong tin'!$C$9))</f>
        <v>-77000000000</v>
      </c>
    </row>
    <row r="34" spans="1:5" ht="29.25" customHeight="1">
      <c r="A34" s="365" t="s">
        <v>218</v>
      </c>
      <c r="B34" s="507">
        <f ca="1">OFFSET('Luu chuyen tien te'!$BL28,0,'Thong tin'!$C$9 - 1)</f>
        <v>10000000000</v>
      </c>
      <c r="C34" s="507">
        <f ca="1">OFFSET('Luu chuyen tien te'!$AZ28,0,'Thong tin'!$C$9 - 1)</f>
        <v>0</v>
      </c>
      <c r="D34" s="507">
        <f ca="1">SUM(OFFSET('Luu chuyen tien te'!$BL28,0,0,1,'Thong tin'!$C$9))</f>
        <v>61200000000</v>
      </c>
      <c r="E34" s="507">
        <f ca="1">SUM(OFFSET('Luu chuyen tien te'!$AZ28,0,0,1,'Thong tin'!$C$9))</f>
        <v>5500000000</v>
      </c>
    </row>
    <row r="35" spans="1:5" ht="18" customHeight="1">
      <c r="A35" s="367" t="s">
        <v>219</v>
      </c>
      <c r="B35" s="507">
        <f ca="1">OFFSET('Luu chuyen tien te'!$BL29,0,'Thong tin'!$C$9 - 1)</f>
        <v>0</v>
      </c>
      <c r="C35" s="507">
        <f ca="1">OFFSET('Luu chuyen tien te'!$AZ29,0,'Thong tin'!$C$9 - 1)</f>
        <v>0</v>
      </c>
      <c r="D35" s="507">
        <f ca="1">SUM(OFFSET('Luu chuyen tien te'!$BL29,0,0,1,'Thong tin'!$C$9))</f>
        <v>0</v>
      </c>
      <c r="E35" s="507">
        <f ca="1">SUM(OFFSET('Luu chuyen tien te'!$AZ29,0,0,1,'Thong tin'!$C$9))</f>
        <v>0</v>
      </c>
    </row>
    <row r="36" spans="1:5" ht="18" customHeight="1">
      <c r="A36" s="367" t="s">
        <v>220</v>
      </c>
      <c r="B36" s="507">
        <f ca="1">OFFSET('Luu chuyen tien te'!$BL30,0,'Thong tin'!$C$9 - 1)</f>
        <v>0</v>
      </c>
      <c r="C36" s="507">
        <f ca="1">OFFSET('Luu chuyen tien te'!$AZ30,0,'Thong tin'!$C$9 - 1)</f>
        <v>0</v>
      </c>
      <c r="D36" s="507">
        <f ca="1">SUM(OFFSET('Luu chuyen tien te'!$BL30,0,0,1,'Thong tin'!$C$9))</f>
        <v>0</v>
      </c>
      <c r="E36" s="507">
        <f ca="1">SUM(OFFSET('Luu chuyen tien te'!$AZ30,0,0,1,'Thong tin'!$C$9))</f>
        <v>0</v>
      </c>
    </row>
    <row r="37" spans="1:5" s="366" customFormat="1" ht="30" customHeight="1">
      <c r="A37" s="365" t="s">
        <v>221</v>
      </c>
      <c r="B37" s="507">
        <f ca="1">OFFSET('Luu chuyen tien te'!$BL31,0,'Thong tin'!$C$9 - 1)</f>
        <v>42752896</v>
      </c>
      <c r="C37" s="507">
        <f ca="1">OFFSET('Luu chuyen tien te'!$AZ31,0,'Thong tin'!$C$9 - 1)</f>
        <v>989334</v>
      </c>
      <c r="D37" s="507">
        <f ca="1">SUM(OFFSET('Luu chuyen tien te'!$BL31,0,0,1,'Thong tin'!$C$9))</f>
        <v>2923290610</v>
      </c>
      <c r="E37" s="507">
        <f ca="1">SUM(OFFSET('Luu chuyen tien te'!$AZ31,0,0,1,'Thong tin'!$C$9))</f>
        <v>1680691614</v>
      </c>
    </row>
    <row r="38" spans="1:5" s="361" customFormat="1" ht="18" customHeight="1">
      <c r="A38" s="355" t="s">
        <v>222</v>
      </c>
      <c r="B38" s="510">
        <f t="shared" ref="B38:D38" ca="1" si="4">SUM(B31:B37)</f>
        <v>-27952778693</v>
      </c>
      <c r="C38" s="510">
        <f t="shared" ca="1" si="4"/>
        <v>-4600165478</v>
      </c>
      <c r="D38" s="510">
        <f t="shared" ca="1" si="4"/>
        <v>-214272082374</v>
      </c>
      <c r="E38" s="510">
        <f t="shared" ref="E38" ca="1" si="5">SUM(E31:E37)</f>
        <v>-105326036719</v>
      </c>
    </row>
    <row r="39" spans="1:5" ht="20.25" customHeight="1">
      <c r="A39" s="364" t="s">
        <v>223</v>
      </c>
      <c r="B39" s="509"/>
      <c r="C39" s="509"/>
      <c r="D39" s="509"/>
      <c r="E39" s="509"/>
    </row>
    <row r="40" spans="1:5" ht="30" customHeight="1">
      <c r="A40" s="368" t="s">
        <v>224</v>
      </c>
      <c r="B40" s="507">
        <f ca="1">OFFSET('Luu chuyen tien te'!$BL34,0,'Thong tin'!$C$9 - 1)</f>
        <v>0</v>
      </c>
      <c r="C40" s="507">
        <f ca="1">OFFSET('Luu chuyen tien te'!$AZ34,0,'Thong tin'!$C$9 - 1)</f>
        <v>0</v>
      </c>
      <c r="D40" s="507">
        <f ca="1">SUM(OFFSET('Luu chuyen tien te'!$BL34,0,0,1,'Thong tin'!$C$9))</f>
        <v>0</v>
      </c>
      <c r="E40" s="507">
        <f ca="1">SUM(OFFSET('Luu chuyen tien te'!$AZ34,0,0,1,'Thong tin'!$C$9))</f>
        <v>0</v>
      </c>
    </row>
    <row r="41" spans="1:5" s="366" customFormat="1" ht="30" customHeight="1">
      <c r="A41" s="368" t="s">
        <v>225</v>
      </c>
      <c r="B41" s="507">
        <f ca="1">OFFSET('Luu chuyen tien te'!$BL35,0,'Thong tin'!$C$9 - 1)</f>
        <v>0</v>
      </c>
      <c r="C41" s="507">
        <f ca="1">OFFSET('Luu chuyen tien te'!$AZ35,0,'Thong tin'!$C$9 - 1)</f>
        <v>0</v>
      </c>
      <c r="D41" s="507">
        <f ca="1">SUM(OFFSET('Luu chuyen tien te'!$BL35,0,0,1,'Thong tin'!$C$9))</f>
        <v>0</v>
      </c>
      <c r="E41" s="507">
        <f ca="1">SUM(OFFSET('Luu chuyen tien te'!$AZ35,0,0,1,'Thong tin'!$C$9))</f>
        <v>0</v>
      </c>
    </row>
    <row r="42" spans="1:5">
      <c r="A42" s="369" t="s">
        <v>226</v>
      </c>
      <c r="B42" s="507">
        <f ca="1">OFFSET('Luu chuyen tien te'!$BL36,0,'Thong tin'!$C$9 - 1)</f>
        <v>70714568555</v>
      </c>
      <c r="C42" s="507">
        <f ca="1">OFFSET('Luu chuyen tien te'!$AZ36,0,'Thong tin'!$C$9 - 1)</f>
        <v>47723278583</v>
      </c>
      <c r="D42" s="507">
        <f ca="1">SUM(OFFSET('Luu chuyen tien te'!$BL36,0,0,1,'Thong tin'!$C$9))</f>
        <v>307622833671</v>
      </c>
      <c r="E42" s="507">
        <f ca="1">SUM(OFFSET('Luu chuyen tien te'!$AZ36,0,0,1,'Thong tin'!$C$9))</f>
        <v>250710852351</v>
      </c>
    </row>
    <row r="43" spans="1:5">
      <c r="A43" s="369" t="s">
        <v>227</v>
      </c>
      <c r="B43" s="507">
        <f ca="1">OFFSET('Luu chuyen tien te'!$BL37,0,'Thong tin'!$C$9 - 1)</f>
        <v>-46678918453</v>
      </c>
      <c r="C43" s="507">
        <f ca="1">OFFSET('Luu chuyen tien te'!$AZ37,0,'Thong tin'!$C$9 - 1)</f>
        <v>-30106272270</v>
      </c>
      <c r="D43" s="507">
        <f ca="1">SUM(OFFSET('Luu chuyen tien te'!$BL37,0,0,1,'Thong tin'!$C$9))</f>
        <v>-320065973557</v>
      </c>
      <c r="E43" s="507">
        <f ca="1">SUM(OFFSET('Luu chuyen tien te'!$AZ37,0,0,1,'Thong tin'!$C$9))</f>
        <v>-206061940948</v>
      </c>
    </row>
    <row r="44" spans="1:5">
      <c r="A44" s="369" t="s">
        <v>228</v>
      </c>
      <c r="B44" s="507">
        <f ca="1">OFFSET('Luu chuyen tien te'!$BL38,0,'Thong tin'!$C$9 - 1)</f>
        <v>-738238085</v>
      </c>
      <c r="C44" s="507">
        <f ca="1">OFFSET('Luu chuyen tien te'!$AZ38,0,'Thong tin'!$C$9 - 1)</f>
        <v>-777777778</v>
      </c>
      <c r="D44" s="507">
        <f ca="1">SUM(OFFSET('Luu chuyen tien te'!$BL38,0,0,1,'Thong tin'!$C$9))</f>
        <v>-5338841449</v>
      </c>
      <c r="E44" s="507">
        <f ca="1">SUM(OFFSET('Luu chuyen tien te'!$AZ38,0,0,1,'Thong tin'!$C$9))</f>
        <v>-4666666668</v>
      </c>
    </row>
    <row r="45" spans="1:5">
      <c r="A45" s="369" t="s">
        <v>229</v>
      </c>
      <c r="B45" s="507">
        <f ca="1">OFFSET('Luu chuyen tien te'!$BL39,0,'Thong tin'!$C$9 - 1)</f>
        <v>0</v>
      </c>
      <c r="C45" s="507">
        <f ca="1">OFFSET('Luu chuyen tien te'!$AZ39,0,'Thong tin'!$C$9 - 1)</f>
        <v>0</v>
      </c>
      <c r="D45" s="507">
        <f ca="1">SUM(OFFSET('Luu chuyen tien te'!$BL39,0,0,1,'Thong tin'!$C$9))</f>
        <v>0</v>
      </c>
      <c r="E45" s="507">
        <f ca="1">SUM(OFFSET('Luu chuyen tien te'!$AZ39,0,0,1,'Thong tin'!$C$9))</f>
        <v>0</v>
      </c>
    </row>
    <row r="46" spans="1:5" s="361" customFormat="1" ht="18" customHeight="1">
      <c r="A46" s="370" t="s">
        <v>230</v>
      </c>
      <c r="B46" s="506">
        <f t="shared" ref="B46:E46" ca="1" si="6">SUM(B40:B45)</f>
        <v>23297412017</v>
      </c>
      <c r="C46" s="506">
        <f t="shared" ca="1" si="6"/>
        <v>16839228535</v>
      </c>
      <c r="D46" s="506">
        <f t="shared" ca="1" si="6"/>
        <v>-17781981335</v>
      </c>
      <c r="E46" s="506">
        <f t="shared" ca="1" si="6"/>
        <v>39982244735</v>
      </c>
    </row>
    <row r="47" spans="1:5" s="361" customFormat="1" ht="18" customHeight="1">
      <c r="A47" s="370" t="s">
        <v>231</v>
      </c>
      <c r="B47" s="506">
        <f ca="1">SUM(B29,B38,B46)</f>
        <v>371577936</v>
      </c>
      <c r="C47" s="506">
        <f t="shared" ref="C47:E47" ca="1" si="7">SUM(C29,C38,C46)</f>
        <v>9957129440</v>
      </c>
      <c r="D47" s="506">
        <f t="shared" ca="1" si="7"/>
        <v>2664205734</v>
      </c>
      <c r="E47" s="506">
        <f t="shared" ca="1" si="7"/>
        <v>-12523950817</v>
      </c>
    </row>
    <row r="48" spans="1:5" s="361" customFormat="1" ht="18" customHeight="1">
      <c r="A48" s="370" t="s">
        <v>232</v>
      </c>
      <c r="B48" s="511">
        <f ca="1">OFFSET('Luu chuyen tien te'!$BL42,0,'Thong tin'!$C$9 - 1)</f>
        <v>41014004605</v>
      </c>
      <c r="C48" s="511">
        <f ca="1">OFFSET('Luu chuyen tien te'!$AZ42,0,'Thong tin'!$C$9 - 1)</f>
        <v>21868727527</v>
      </c>
      <c r="D48" s="506">
        <f>'Luu chuyen tien te'!BL42</f>
        <v>36834893155</v>
      </c>
      <c r="E48" s="511">
        <f>'Luu chuyen tien te'!AZ42</f>
        <v>39805017284</v>
      </c>
    </row>
    <row r="49" spans="1:6" ht="30" customHeight="1">
      <c r="A49" s="368" t="s">
        <v>233</v>
      </c>
      <c r="B49" s="507">
        <f ca="1">OFFSET('Luu chuyen tien te'!$BL43,0,'Thong tin'!$C$9 - 1)</f>
        <v>301467078</v>
      </c>
      <c r="C49" s="507">
        <f ca="1">OFFSET('Luu chuyen tien te'!$AZ43,0,'Thong tin'!$C$9 - 1)</f>
        <v>645043805</v>
      </c>
      <c r="D49" s="507">
        <f ca="1">SUM(OFFSET('Luu chuyen tien te'!$BL43,0,0,1,'Thong tin'!$C$9))</f>
        <v>2187950730</v>
      </c>
      <c r="E49" s="507">
        <f ca="1">SUM(OFFSET('Luu chuyen tien te'!$AZ43,0,0,1,'Thong tin'!$C$9))</f>
        <v>5189834305</v>
      </c>
    </row>
    <row r="50" spans="1:6" s="314" customFormat="1" ht="18" customHeight="1">
      <c r="A50" s="371" t="s">
        <v>234</v>
      </c>
      <c r="B50" s="512">
        <f ca="1">SUM(B47:B49)</f>
        <v>41687049619</v>
      </c>
      <c r="C50" s="512">
        <f t="shared" ref="C50:E50" ca="1" si="8">SUM(C47:C49)</f>
        <v>32470900772</v>
      </c>
      <c r="D50" s="512">
        <f t="shared" ca="1" si="8"/>
        <v>41687049619</v>
      </c>
      <c r="E50" s="512">
        <f t="shared" ca="1" si="8"/>
        <v>32470900772</v>
      </c>
      <c r="F50" s="372"/>
    </row>
    <row r="51" spans="1:6" ht="17.25" customHeight="1">
      <c r="A51" s="373"/>
      <c r="B51" s="541">
        <f ca="1">B50-'Tinh hinh tai chinh'!BQ5</f>
        <v>0</v>
      </c>
      <c r="C51" s="541">
        <f ca="1">C50-'Tinh hinh tai chinh'!BE5</f>
        <v>0</v>
      </c>
      <c r="D51" s="374">
        <v>0</v>
      </c>
      <c r="E51" s="374">
        <v>0</v>
      </c>
    </row>
    <row r="52" spans="1:6">
      <c r="B52" s="641"/>
      <c r="C52" s="641"/>
      <c r="D52" s="641" t="str">
        <f>'KQKD in'!F32</f>
        <v>Lập, ngày 04 tháng 07 năm 2026</v>
      </c>
      <c r="E52" s="641"/>
    </row>
    <row r="53" spans="1:6" ht="22.5" customHeight="1">
      <c r="A53" s="298" t="s">
        <v>7</v>
      </c>
      <c r="D53" s="642" t="s">
        <v>235</v>
      </c>
      <c r="E53" s="642"/>
    </row>
    <row r="54" spans="1:6">
      <c r="C54" s="348"/>
    </row>
    <row r="55" spans="1:6">
      <c r="C55" s="348"/>
    </row>
    <row r="56" spans="1:6">
      <c r="C56" s="348"/>
    </row>
    <row r="57" spans="1:6">
      <c r="C57" s="348"/>
    </row>
    <row r="58" spans="1:6">
      <c r="C58" s="348"/>
    </row>
    <row r="59" spans="1:6" s="243" customFormat="1">
      <c r="A59" s="297">
        <f>'Thong tin'!B13</f>
        <v>0</v>
      </c>
      <c r="B59" s="615"/>
      <c r="C59" s="615"/>
      <c r="D59" s="615" t="s">
        <v>149</v>
      </c>
      <c r="E59" s="615"/>
    </row>
  </sheetData>
  <mergeCells count="11">
    <mergeCell ref="B52:C52"/>
    <mergeCell ref="D52:E52"/>
    <mergeCell ref="D53:E53"/>
    <mergeCell ref="B59:C59"/>
    <mergeCell ref="D59:E59"/>
    <mergeCell ref="A4:E4"/>
    <mergeCell ref="A5:E5"/>
    <mergeCell ref="A6:E6"/>
    <mergeCell ref="A8:A9"/>
    <mergeCell ref="B8:C8"/>
    <mergeCell ref="D8:E8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89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7E50-B1C9-42CD-AEBD-7C8F948A9242}">
  <sheetPr>
    <tabColor theme="9" tint="0.59999389629810485"/>
    <outlinePr summaryBelow="0" summaryRight="0"/>
  </sheetPr>
  <dimension ref="A1:BW315"/>
  <sheetViews>
    <sheetView showGridLines="0" showZeros="0" zoomScale="85" zoomScaleNormal="85" workbookViewId="0">
      <pane xSplit="3" ySplit="3" topLeftCell="BJ84" activePane="bottomRight" state="frozen"/>
      <selection pane="topRight" activeCell="BL10" sqref="BL10"/>
      <selection pane="bottomLeft" activeCell="BL10" sqref="BL10"/>
      <selection pane="bottomRight" activeCell="BP33" sqref="BP33"/>
    </sheetView>
  </sheetViews>
  <sheetFormatPr defaultColWidth="9.33203125" defaultRowHeight="15" customHeight="1"/>
  <cols>
    <col min="1" max="1" width="7" style="103" hidden="1" customWidth="1"/>
    <col min="2" max="2" width="46.33203125" style="104" customWidth="1"/>
    <col min="3" max="3" width="8.33203125" style="103" hidden="1" customWidth="1"/>
    <col min="4" max="5" width="18.33203125" style="104" customWidth="1"/>
    <col min="6" max="39" width="18" style="104" customWidth="1"/>
    <col min="40" max="51" width="20" style="60" customWidth="1"/>
    <col min="52" max="62" width="20" style="60" bestFit="1" customWidth="1"/>
    <col min="63" max="75" width="20.33203125" style="60" customWidth="1"/>
    <col min="76" max="16384" width="9.33203125" style="60"/>
  </cols>
  <sheetData>
    <row r="1" spans="1:75" ht="19.5" customHeight="1">
      <c r="A1" s="55"/>
      <c r="B1" s="56" t="s">
        <v>236</v>
      </c>
      <c r="C1" s="55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9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</row>
    <row r="2" spans="1:75" ht="19.5" customHeight="1">
      <c r="A2" s="61"/>
      <c r="B2" s="62" t="s">
        <v>237</v>
      </c>
      <c r="C2" s="61"/>
      <c r="D2" s="59"/>
      <c r="E2" s="58"/>
      <c r="F2" s="58"/>
      <c r="G2" s="58"/>
      <c r="H2" s="58"/>
      <c r="I2" s="58"/>
      <c r="J2" s="58"/>
      <c r="K2" s="58"/>
      <c r="L2" s="63"/>
      <c r="M2" s="58"/>
      <c r="N2" s="58"/>
      <c r="O2" s="64"/>
      <c r="P2" s="59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</row>
    <row r="3" spans="1:75" ht="27.6">
      <c r="A3" s="65" t="s">
        <v>238</v>
      </c>
      <c r="B3" s="66" t="s">
        <v>239</v>
      </c>
      <c r="C3" s="65" t="s">
        <v>240</v>
      </c>
      <c r="D3" s="65" t="s">
        <v>241</v>
      </c>
      <c r="E3" s="65" t="s">
        <v>242</v>
      </c>
      <c r="F3" s="65" t="s">
        <v>243</v>
      </c>
      <c r="G3" s="65" t="s">
        <v>244</v>
      </c>
      <c r="H3" s="65" t="s">
        <v>245</v>
      </c>
      <c r="I3" s="65" t="s">
        <v>246</v>
      </c>
      <c r="J3" s="65" t="s">
        <v>247</v>
      </c>
      <c r="K3" s="65" t="s">
        <v>248</v>
      </c>
      <c r="L3" s="65" t="s">
        <v>249</v>
      </c>
      <c r="M3" s="65" t="s">
        <v>250</v>
      </c>
      <c r="N3" s="65" t="s">
        <v>251</v>
      </c>
      <c r="O3" s="65" t="s">
        <v>252</v>
      </c>
      <c r="P3" s="65" t="s">
        <v>253</v>
      </c>
      <c r="Q3" s="65" t="s">
        <v>254</v>
      </c>
      <c r="R3" s="65" t="s">
        <v>255</v>
      </c>
      <c r="S3" s="65" t="s">
        <v>256</v>
      </c>
      <c r="T3" s="65" t="s">
        <v>257</v>
      </c>
      <c r="U3" s="65" t="s">
        <v>258</v>
      </c>
      <c r="V3" s="65" t="s">
        <v>259</v>
      </c>
      <c r="W3" s="65" t="s">
        <v>260</v>
      </c>
      <c r="X3" s="65" t="s">
        <v>261</v>
      </c>
      <c r="Y3" s="65" t="s">
        <v>262</v>
      </c>
      <c r="Z3" s="65" t="s">
        <v>263</v>
      </c>
      <c r="AA3" s="65" t="s">
        <v>264</v>
      </c>
      <c r="AB3" s="65" t="s">
        <v>265</v>
      </c>
      <c r="AC3" s="65" t="s">
        <v>266</v>
      </c>
      <c r="AD3" s="65" t="s">
        <v>267</v>
      </c>
      <c r="AE3" s="65" t="s">
        <v>268</v>
      </c>
      <c r="AF3" s="65" t="s">
        <v>269</v>
      </c>
      <c r="AG3" s="65" t="s">
        <v>270</v>
      </c>
      <c r="AH3" s="65" t="s">
        <v>271</v>
      </c>
      <c r="AI3" s="65" t="s">
        <v>272</v>
      </c>
      <c r="AJ3" s="65" t="s">
        <v>273</v>
      </c>
      <c r="AK3" s="65" t="s">
        <v>274</v>
      </c>
      <c r="AL3" s="65" t="s">
        <v>275</v>
      </c>
      <c r="AM3" s="65" t="s">
        <v>276</v>
      </c>
      <c r="AN3" s="65" t="s">
        <v>277</v>
      </c>
      <c r="AO3" s="65" t="s">
        <v>278</v>
      </c>
      <c r="AP3" s="65" t="s">
        <v>279</v>
      </c>
      <c r="AQ3" s="65" t="s">
        <v>280</v>
      </c>
      <c r="AR3" s="65" t="s">
        <v>281</v>
      </c>
      <c r="AS3" s="65" t="s">
        <v>282</v>
      </c>
      <c r="AT3" s="65" t="s">
        <v>283</v>
      </c>
      <c r="AU3" s="65" t="s">
        <v>284</v>
      </c>
      <c r="AV3" s="65" t="s">
        <v>285</v>
      </c>
      <c r="AW3" s="65" t="s">
        <v>286</v>
      </c>
      <c r="AX3" s="65" t="s">
        <v>287</v>
      </c>
      <c r="AY3" s="65" t="s">
        <v>288</v>
      </c>
      <c r="AZ3" s="65" t="s">
        <v>289</v>
      </c>
      <c r="BA3" s="65" t="s">
        <v>290</v>
      </c>
      <c r="BB3" s="65" t="s">
        <v>291</v>
      </c>
      <c r="BC3" s="65" t="s">
        <v>292</v>
      </c>
      <c r="BD3" s="65" t="s">
        <v>293</v>
      </c>
      <c r="BE3" s="65" t="s">
        <v>294</v>
      </c>
      <c r="BF3" s="65" t="s">
        <v>295</v>
      </c>
      <c r="BG3" s="65" t="s">
        <v>296</v>
      </c>
      <c r="BH3" s="65" t="s">
        <v>297</v>
      </c>
      <c r="BI3" s="65" t="s">
        <v>298</v>
      </c>
      <c r="BJ3" s="65" t="s">
        <v>299</v>
      </c>
      <c r="BK3" s="65" t="s">
        <v>300</v>
      </c>
      <c r="BL3" s="65" t="s">
        <v>301</v>
      </c>
      <c r="BM3" s="65" t="s">
        <v>302</v>
      </c>
      <c r="BN3" s="65" t="s">
        <v>303</v>
      </c>
      <c r="BO3" s="65" t="s">
        <v>304</v>
      </c>
      <c r="BP3" s="65" t="s">
        <v>305</v>
      </c>
      <c r="BQ3" s="65" t="s">
        <v>306</v>
      </c>
      <c r="BR3" s="65" t="s">
        <v>307</v>
      </c>
      <c r="BS3" s="65" t="s">
        <v>308</v>
      </c>
      <c r="BT3" s="65" t="s">
        <v>309</v>
      </c>
      <c r="BU3" s="65" t="s">
        <v>310</v>
      </c>
      <c r="BV3" s="65" t="s">
        <v>311</v>
      </c>
      <c r="BW3" s="65" t="s">
        <v>312</v>
      </c>
    </row>
    <row r="4" spans="1:75" ht="15" customHeight="1">
      <c r="A4" s="67">
        <v>1</v>
      </c>
      <c r="B4" s="68" t="s">
        <v>313</v>
      </c>
      <c r="C4" s="67">
        <v>5</v>
      </c>
      <c r="D4" s="1">
        <v>614493092591</v>
      </c>
      <c r="E4" s="1">
        <v>609884742147</v>
      </c>
      <c r="F4" s="1">
        <v>615298026209</v>
      </c>
      <c r="G4" s="1">
        <v>628174770356</v>
      </c>
      <c r="H4" s="1">
        <v>633634093227</v>
      </c>
      <c r="I4" s="1">
        <v>634442148116</v>
      </c>
      <c r="J4" s="1">
        <v>641465222117</v>
      </c>
      <c r="K4" s="1">
        <v>461269303491</v>
      </c>
      <c r="L4" s="1">
        <v>464335451361</v>
      </c>
      <c r="M4" s="1">
        <v>465446434421</v>
      </c>
      <c r="N4" s="1">
        <v>474566713935</v>
      </c>
      <c r="O4" s="1">
        <v>478803851536</v>
      </c>
      <c r="P4" s="1">
        <v>491203268636</v>
      </c>
      <c r="Q4" s="1">
        <v>495110335063</v>
      </c>
      <c r="R4" s="1">
        <v>506410020272</v>
      </c>
      <c r="S4" s="1">
        <v>541090328555</v>
      </c>
      <c r="T4" s="1">
        <v>557182730957</v>
      </c>
      <c r="U4" s="1">
        <v>567579171386</v>
      </c>
      <c r="V4" s="1">
        <v>553380198104</v>
      </c>
      <c r="W4" s="1">
        <v>575629704487</v>
      </c>
      <c r="X4" s="1">
        <v>581428641960</v>
      </c>
      <c r="Y4" s="1">
        <v>579326744202</v>
      </c>
      <c r="Z4" s="1">
        <v>570154808236</v>
      </c>
      <c r="AA4" s="1">
        <v>638615944603</v>
      </c>
      <c r="AB4" s="1">
        <v>630392907077</v>
      </c>
      <c r="AC4" s="1">
        <v>635811337862</v>
      </c>
      <c r="AD4" s="1">
        <v>615592156470</v>
      </c>
      <c r="AE4" s="1">
        <v>591572888711</v>
      </c>
      <c r="AF4" s="1">
        <v>576645541879</v>
      </c>
      <c r="AG4" s="1">
        <v>627637203928</v>
      </c>
      <c r="AH4" s="1">
        <v>645017740465</v>
      </c>
      <c r="AI4" s="1">
        <v>624618100412</v>
      </c>
      <c r="AJ4" s="1">
        <v>607904625059</v>
      </c>
      <c r="AK4" s="1">
        <v>655561441913</v>
      </c>
      <c r="AL4" s="1">
        <v>691663318215</v>
      </c>
      <c r="AM4" s="1">
        <v>735262711239</v>
      </c>
      <c r="AN4" s="1">
        <v>782481934423</v>
      </c>
      <c r="AO4" s="1">
        <v>768590764263</v>
      </c>
      <c r="AP4" s="1">
        <v>815465869041</v>
      </c>
      <c r="AQ4" s="1">
        <v>877414026420</v>
      </c>
      <c r="AR4" s="1">
        <v>928155716736</v>
      </c>
      <c r="AS4" s="1">
        <v>956563222023</v>
      </c>
      <c r="AT4" s="1">
        <v>906133879099</v>
      </c>
      <c r="AU4" s="1">
        <v>849218290026</v>
      </c>
      <c r="AV4" s="1">
        <v>891170346476</v>
      </c>
      <c r="AW4" s="1">
        <v>912165489717</v>
      </c>
      <c r="AX4" s="1">
        <v>989601612249</v>
      </c>
      <c r="AY4" s="1">
        <v>969587265880</v>
      </c>
      <c r="AZ4" s="1">
        <v>894788032291</v>
      </c>
      <c r="BA4" s="1">
        <v>814157821775</v>
      </c>
      <c r="BB4" s="1">
        <v>866303373135</v>
      </c>
      <c r="BC4" s="1">
        <v>929599762285</v>
      </c>
      <c r="BD4" s="1">
        <v>981599372849</v>
      </c>
      <c r="BE4" s="1">
        <v>1010794698754</v>
      </c>
      <c r="BF4" s="1">
        <v>999811801439</v>
      </c>
      <c r="BG4" s="1">
        <v>1060333071975</v>
      </c>
      <c r="BH4" s="1">
        <v>1040577598634</v>
      </c>
      <c r="BI4" s="1">
        <v>982848510813</v>
      </c>
      <c r="BJ4" s="1">
        <v>959373053576</v>
      </c>
      <c r="BK4" s="1">
        <v>945217150933</v>
      </c>
      <c r="BL4" s="523">
        <v>894150692345</v>
      </c>
      <c r="BM4" s="1">
        <v>895502322076</v>
      </c>
      <c r="BN4" s="1">
        <v>848468475952</v>
      </c>
      <c r="BO4" s="1">
        <v>807952336254</v>
      </c>
      <c r="BP4" s="1">
        <v>886588369025</v>
      </c>
      <c r="BQ4" s="1">
        <v>820219773119</v>
      </c>
      <c r="BR4" s="1"/>
      <c r="BS4" s="1"/>
      <c r="BT4" s="1"/>
      <c r="BU4" s="1"/>
      <c r="BV4" s="1"/>
      <c r="BW4" s="1"/>
    </row>
    <row r="5" spans="1:75" ht="15" customHeight="1">
      <c r="A5" s="69">
        <v>2</v>
      </c>
      <c r="B5" s="70" t="s">
        <v>314</v>
      </c>
      <c r="C5" s="69">
        <v>5</v>
      </c>
      <c r="D5" s="2">
        <v>3447839862</v>
      </c>
      <c r="E5" s="2">
        <v>4753297265</v>
      </c>
      <c r="F5" s="2">
        <v>3470025524</v>
      </c>
      <c r="G5" s="2">
        <v>7213551570</v>
      </c>
      <c r="H5" s="2">
        <v>6428796497</v>
      </c>
      <c r="I5" s="2">
        <v>6637859615</v>
      </c>
      <c r="J5" s="2">
        <v>6692002174</v>
      </c>
      <c r="K5" s="2">
        <v>17171442096</v>
      </c>
      <c r="L5" s="2">
        <v>20706415997</v>
      </c>
      <c r="M5" s="2">
        <v>18510700926</v>
      </c>
      <c r="N5" s="2">
        <v>9217053448</v>
      </c>
      <c r="O5" s="2">
        <v>9537238483</v>
      </c>
      <c r="P5" s="2">
        <v>7841551973</v>
      </c>
      <c r="Q5" s="2">
        <v>25742652312</v>
      </c>
      <c r="R5" s="2">
        <v>10229505276</v>
      </c>
      <c r="S5" s="2">
        <v>23153084677</v>
      </c>
      <c r="T5" s="2">
        <v>15475133505</v>
      </c>
      <c r="U5" s="2">
        <v>6070662597</v>
      </c>
      <c r="V5" s="2">
        <v>5025380377</v>
      </c>
      <c r="W5" s="2">
        <v>25956322209</v>
      </c>
      <c r="X5" s="2">
        <v>31102397335</v>
      </c>
      <c r="Y5" s="2">
        <v>12848278176</v>
      </c>
      <c r="Z5" s="2">
        <v>10250965252</v>
      </c>
      <c r="AA5" s="2">
        <v>13274374149</v>
      </c>
      <c r="AB5" s="2">
        <v>16792099757</v>
      </c>
      <c r="AC5" s="2">
        <v>15908187368</v>
      </c>
      <c r="AD5" s="2">
        <v>16078630986</v>
      </c>
      <c r="AE5" s="2">
        <v>51289665216</v>
      </c>
      <c r="AF5" s="2">
        <v>23427390962</v>
      </c>
      <c r="AG5" s="2">
        <v>21288636707</v>
      </c>
      <c r="AH5" s="2">
        <v>22472091319</v>
      </c>
      <c r="AI5" s="2">
        <v>2490582158</v>
      </c>
      <c r="AJ5" s="2">
        <v>10148364108</v>
      </c>
      <c r="AK5" s="2">
        <v>9841817259</v>
      </c>
      <c r="AL5" s="2">
        <v>4968558361</v>
      </c>
      <c r="AM5" s="2">
        <v>6353042534</v>
      </c>
      <c r="AN5" s="2">
        <v>31037848308</v>
      </c>
      <c r="AO5" s="2">
        <v>22669663716</v>
      </c>
      <c r="AP5" s="2">
        <v>6664945115</v>
      </c>
      <c r="AQ5" s="2">
        <v>15574807889</v>
      </c>
      <c r="AR5" s="2">
        <v>16007340290</v>
      </c>
      <c r="AS5" s="2">
        <v>3678057757</v>
      </c>
      <c r="AT5" s="2">
        <v>36916493026</v>
      </c>
      <c r="AU5" s="2">
        <v>16748498285</v>
      </c>
      <c r="AV5" s="2">
        <v>33251814637</v>
      </c>
      <c r="AW5" s="2">
        <v>56773964959</v>
      </c>
      <c r="AX5" s="2">
        <v>43420355696</v>
      </c>
      <c r="AY5" s="2">
        <v>39805017284</v>
      </c>
      <c r="AZ5" s="2">
        <v>76486895109</v>
      </c>
      <c r="BA5" s="2">
        <v>33258200889</v>
      </c>
      <c r="BB5" s="2">
        <v>23555271373</v>
      </c>
      <c r="BC5" s="2">
        <v>37590058839</v>
      </c>
      <c r="BD5" s="2">
        <v>21868727527</v>
      </c>
      <c r="BE5" s="2">
        <v>32470900772</v>
      </c>
      <c r="BF5" s="2">
        <v>30661632458</v>
      </c>
      <c r="BG5" s="2">
        <v>29770776625</v>
      </c>
      <c r="BH5" s="2">
        <v>64296693910</v>
      </c>
      <c r="BI5" s="2">
        <v>53646701293</v>
      </c>
      <c r="BJ5" s="2">
        <v>55165406320</v>
      </c>
      <c r="BK5" s="2">
        <v>36834893155</v>
      </c>
      <c r="BL5" s="522">
        <v>42126572011</v>
      </c>
      <c r="BM5" s="2">
        <v>45981412915</v>
      </c>
      <c r="BN5" s="2">
        <v>33613094972</v>
      </c>
      <c r="BO5" s="2">
        <v>47135211556</v>
      </c>
      <c r="BP5" s="2">
        <v>41014004605</v>
      </c>
      <c r="BQ5" s="2">
        <v>41687049619</v>
      </c>
      <c r="BR5" s="2"/>
      <c r="BS5" s="2"/>
      <c r="BT5" s="2"/>
      <c r="BU5" s="2"/>
      <c r="BV5" s="2"/>
      <c r="BW5" s="2"/>
    </row>
    <row r="6" spans="1:75" ht="15" customHeight="1">
      <c r="A6" s="71">
        <v>3</v>
      </c>
      <c r="B6" s="72" t="s">
        <v>315</v>
      </c>
      <c r="C6" s="71">
        <v>5</v>
      </c>
      <c r="D6" s="3">
        <v>3447839862</v>
      </c>
      <c r="E6" s="3">
        <v>4753297265</v>
      </c>
      <c r="F6" s="3">
        <v>3470025524</v>
      </c>
      <c r="G6" s="3">
        <v>7213551570</v>
      </c>
      <c r="H6" s="3">
        <v>6428796497</v>
      </c>
      <c r="I6" s="3">
        <v>6637859615</v>
      </c>
      <c r="J6" s="3">
        <v>6692002174</v>
      </c>
      <c r="K6" s="3">
        <v>4471442096</v>
      </c>
      <c r="L6" s="3">
        <v>5006415997</v>
      </c>
      <c r="M6" s="3">
        <v>5810700926</v>
      </c>
      <c r="N6" s="3">
        <v>9217053448</v>
      </c>
      <c r="O6" s="3">
        <v>9537238483</v>
      </c>
      <c r="P6" s="3">
        <v>7841551973</v>
      </c>
      <c r="Q6" s="3">
        <v>25742652312</v>
      </c>
      <c r="R6" s="3">
        <v>10229505276</v>
      </c>
      <c r="S6" s="3">
        <v>23153084677</v>
      </c>
      <c r="T6" s="3">
        <v>15475133505</v>
      </c>
      <c r="U6" s="3">
        <v>6070662597</v>
      </c>
      <c r="V6" s="3">
        <v>5025380377</v>
      </c>
      <c r="W6" s="3">
        <v>25956322209</v>
      </c>
      <c r="X6" s="3">
        <v>31102397335</v>
      </c>
      <c r="Y6" s="3">
        <v>12848278176</v>
      </c>
      <c r="Z6" s="3">
        <v>10250965252</v>
      </c>
      <c r="AA6" s="3">
        <v>13274374149</v>
      </c>
      <c r="AB6" s="3">
        <v>16792099757</v>
      </c>
      <c r="AC6" s="3">
        <v>15908187368</v>
      </c>
      <c r="AD6" s="3">
        <v>16078630986</v>
      </c>
      <c r="AE6" s="3">
        <v>36289665216</v>
      </c>
      <c r="AF6" s="3">
        <v>23427390962</v>
      </c>
      <c r="AG6" s="3">
        <v>21288636707</v>
      </c>
      <c r="AH6" s="3">
        <v>22472091319</v>
      </c>
      <c r="AI6" s="3">
        <v>2490582158</v>
      </c>
      <c r="AJ6" s="3">
        <v>10148364108</v>
      </c>
      <c r="AK6" s="3">
        <v>7001817259</v>
      </c>
      <c r="AL6" s="3">
        <v>2128558361</v>
      </c>
      <c r="AM6" s="3">
        <v>3513042534</v>
      </c>
      <c r="AN6" s="3">
        <v>28197848308</v>
      </c>
      <c r="AO6" s="3">
        <v>19829663716</v>
      </c>
      <c r="AP6" s="3">
        <v>5834945115</v>
      </c>
      <c r="AQ6" s="3">
        <v>14744807889</v>
      </c>
      <c r="AR6" s="3">
        <v>15177340290</v>
      </c>
      <c r="AS6" s="3">
        <v>2848057757</v>
      </c>
      <c r="AT6" s="3">
        <v>36086493026</v>
      </c>
      <c r="AU6" s="3">
        <v>15918498285</v>
      </c>
      <c r="AV6" s="3">
        <v>33251814637</v>
      </c>
      <c r="AW6" s="3">
        <v>56773964959</v>
      </c>
      <c r="AX6" s="3">
        <v>43420355696</v>
      </c>
      <c r="AY6" s="3">
        <v>29805017284</v>
      </c>
      <c r="AZ6" s="3">
        <v>73646895109</v>
      </c>
      <c r="BA6" s="3">
        <v>30418200889</v>
      </c>
      <c r="BB6" s="3">
        <v>23555271373</v>
      </c>
      <c r="BC6" s="3">
        <v>37590058839</v>
      </c>
      <c r="BD6" s="3">
        <v>21868727527</v>
      </c>
      <c r="BE6" s="3">
        <v>32470900772</v>
      </c>
      <c r="BF6" s="3">
        <v>30661632458</v>
      </c>
      <c r="BG6" s="3">
        <v>29770776625</v>
      </c>
      <c r="BH6" s="3">
        <v>64296693910</v>
      </c>
      <c r="BI6" s="3">
        <v>33646701293</v>
      </c>
      <c r="BJ6" s="3">
        <v>35165406320</v>
      </c>
      <c r="BK6" s="3">
        <v>36834893155</v>
      </c>
      <c r="BL6" s="3">
        <v>42126572011</v>
      </c>
      <c r="BM6" s="3">
        <v>45981412915</v>
      </c>
      <c r="BN6" s="3">
        <v>27413094972</v>
      </c>
      <c r="BO6" s="3">
        <v>28835211556</v>
      </c>
      <c r="BP6" s="3">
        <v>30714004605</v>
      </c>
      <c r="BQ6" s="3">
        <v>26931785662</v>
      </c>
      <c r="BR6" s="3"/>
      <c r="BS6" s="3"/>
      <c r="BT6" s="3"/>
      <c r="BU6" s="3"/>
      <c r="BV6" s="3"/>
      <c r="BW6" s="3"/>
    </row>
    <row r="7" spans="1:75" ht="15" customHeight="1">
      <c r="A7" s="71">
        <v>4</v>
      </c>
      <c r="B7" s="72" t="s">
        <v>316</v>
      </c>
      <c r="C7" s="71">
        <v>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12700000000</v>
      </c>
      <c r="L7" s="3">
        <v>15700000000</v>
      </c>
      <c r="M7" s="3">
        <v>12700000000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15000000000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2840000000</v>
      </c>
      <c r="AL7" s="3">
        <v>2840000000</v>
      </c>
      <c r="AM7" s="3">
        <v>2840000000</v>
      </c>
      <c r="AN7" s="3">
        <v>2840000000</v>
      </c>
      <c r="AO7" s="3">
        <v>2840000000</v>
      </c>
      <c r="AP7" s="3">
        <v>830000000</v>
      </c>
      <c r="AQ7" s="3">
        <v>830000000</v>
      </c>
      <c r="AR7" s="3">
        <v>830000000</v>
      </c>
      <c r="AS7" s="3">
        <v>830000000</v>
      </c>
      <c r="AT7" s="3">
        <v>830000000</v>
      </c>
      <c r="AU7" s="3">
        <v>830000000</v>
      </c>
      <c r="AV7" s="3">
        <v>0</v>
      </c>
      <c r="AW7" s="3">
        <v>0</v>
      </c>
      <c r="AX7" s="3">
        <v>0</v>
      </c>
      <c r="AY7" s="3">
        <v>10000000000</v>
      </c>
      <c r="AZ7" s="3">
        <v>2840000000</v>
      </c>
      <c r="BA7" s="3">
        <v>2840000000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20000000000</v>
      </c>
      <c r="BJ7" s="3">
        <v>20000000000</v>
      </c>
      <c r="BK7" s="3"/>
      <c r="BL7" s="3"/>
      <c r="BM7" s="3"/>
      <c r="BN7" s="3">
        <v>6200000000</v>
      </c>
      <c r="BO7" s="3">
        <v>18300000000</v>
      </c>
      <c r="BP7" s="3">
        <v>10300000000</v>
      </c>
      <c r="BQ7" s="3">
        <v>14755263957</v>
      </c>
      <c r="BR7" s="3"/>
      <c r="BS7" s="3"/>
      <c r="BT7" s="3"/>
      <c r="BU7" s="3"/>
      <c r="BV7" s="3"/>
      <c r="BW7" s="3"/>
    </row>
    <row r="8" spans="1:75" ht="15" customHeight="1">
      <c r="A8" s="73">
        <v>5</v>
      </c>
      <c r="B8" s="70" t="s">
        <v>317</v>
      </c>
      <c r="C8" s="73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2010000000</v>
      </c>
      <c r="AE8" s="4">
        <v>2010000000</v>
      </c>
      <c r="AF8" s="4">
        <v>2010000000</v>
      </c>
      <c r="AG8" s="4">
        <v>2010000000</v>
      </c>
      <c r="AH8" s="4">
        <v>2010000000</v>
      </c>
      <c r="AI8" s="4">
        <v>2010000000</v>
      </c>
      <c r="AJ8" s="4">
        <v>2010000000</v>
      </c>
      <c r="AK8" s="4">
        <v>2010000000</v>
      </c>
      <c r="AL8" s="4">
        <v>2010000000</v>
      </c>
      <c r="AM8" s="4">
        <v>2010000000</v>
      </c>
      <c r="AN8" s="4">
        <v>2010000000</v>
      </c>
      <c r="AO8" s="4">
        <v>2010000000</v>
      </c>
      <c r="AP8" s="4">
        <v>2010000000</v>
      </c>
      <c r="AQ8" s="4">
        <v>2010000000</v>
      </c>
      <c r="AR8" s="4">
        <v>2010000000</v>
      </c>
      <c r="AS8" s="4">
        <v>2010000000</v>
      </c>
      <c r="AT8" s="4">
        <v>2010000000</v>
      </c>
      <c r="AU8" s="4">
        <v>2010000000</v>
      </c>
      <c r="AV8" s="4">
        <v>2840000000</v>
      </c>
      <c r="AW8" s="4">
        <v>2840000000</v>
      </c>
      <c r="AX8" s="4">
        <v>2840000000</v>
      </c>
      <c r="AY8" s="4">
        <v>2840000000</v>
      </c>
      <c r="AZ8" s="4">
        <v>0</v>
      </c>
      <c r="BA8" s="4">
        <v>0</v>
      </c>
      <c r="BB8" s="4">
        <v>22840000000</v>
      </c>
      <c r="BC8" s="4">
        <v>22840000000</v>
      </c>
      <c r="BD8" s="4">
        <v>22840000000</v>
      </c>
      <c r="BE8" s="4">
        <v>22840000000</v>
      </c>
      <c r="BF8" s="4">
        <v>22840000000</v>
      </c>
      <c r="BG8" s="4">
        <v>22840000000</v>
      </c>
      <c r="BH8" s="4">
        <v>22840000000</v>
      </c>
      <c r="BI8" s="4">
        <v>32840000000</v>
      </c>
      <c r="BJ8" s="4">
        <v>32840000000</v>
      </c>
      <c r="BK8" s="4">
        <v>32840000000</v>
      </c>
      <c r="BL8" s="4">
        <v>32840000000</v>
      </c>
      <c r="BM8" s="4">
        <v>32840000000</v>
      </c>
      <c r="BN8" s="4">
        <v>32840000000</v>
      </c>
      <c r="BO8" s="4">
        <v>34340000000</v>
      </c>
      <c r="BP8" s="4">
        <v>34340000000</v>
      </c>
      <c r="BQ8" s="4">
        <v>34340000000</v>
      </c>
      <c r="BR8" s="4"/>
      <c r="BS8" s="4"/>
      <c r="BT8" s="4"/>
      <c r="BU8" s="4"/>
      <c r="BV8" s="4"/>
      <c r="BW8" s="4"/>
    </row>
    <row r="9" spans="1:75" ht="15" customHeight="1">
      <c r="A9" s="71">
        <v>6</v>
      </c>
      <c r="B9" s="72" t="s">
        <v>32</v>
      </c>
      <c r="C9" s="71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ht="15" customHeight="1">
      <c r="A10" s="71">
        <v>7</v>
      </c>
      <c r="B10" s="72" t="s">
        <v>33</v>
      </c>
      <c r="C10" s="71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5" ht="15" customHeight="1">
      <c r="A11" s="71">
        <v>8</v>
      </c>
      <c r="B11" s="74" t="s">
        <v>34</v>
      </c>
      <c r="C11" s="71">
        <v>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2010000000</v>
      </c>
      <c r="AE11" s="3">
        <v>2010000000</v>
      </c>
      <c r="AF11" s="3">
        <v>2010000000</v>
      </c>
      <c r="AG11" s="3">
        <v>2010000000</v>
      </c>
      <c r="AH11" s="3">
        <v>2010000000</v>
      </c>
      <c r="AI11" s="3">
        <v>2010000000</v>
      </c>
      <c r="AJ11" s="3">
        <v>2010000000</v>
      </c>
      <c r="AK11" s="3">
        <v>2010000000</v>
      </c>
      <c r="AL11" s="3">
        <v>2010000000</v>
      </c>
      <c r="AM11" s="3">
        <v>2010000000</v>
      </c>
      <c r="AN11" s="3">
        <v>2010000000</v>
      </c>
      <c r="AO11" s="3">
        <v>2010000000</v>
      </c>
      <c r="AP11" s="3">
        <v>2010000000</v>
      </c>
      <c r="AQ11" s="3">
        <v>2010000000</v>
      </c>
      <c r="AR11" s="3">
        <v>2010000000</v>
      </c>
      <c r="AS11" s="3">
        <v>2010000000</v>
      </c>
      <c r="AT11" s="3">
        <v>2010000000</v>
      </c>
      <c r="AU11" s="3">
        <v>2010000000</v>
      </c>
      <c r="AV11" s="3">
        <v>2840000000</v>
      </c>
      <c r="AW11" s="3">
        <v>2840000000</v>
      </c>
      <c r="AX11" s="3">
        <v>2840000000</v>
      </c>
      <c r="AY11" s="3">
        <v>2840000000</v>
      </c>
      <c r="AZ11" s="3"/>
      <c r="BA11" s="3"/>
      <c r="BB11" s="3">
        <v>22840000000</v>
      </c>
      <c r="BC11" s="3">
        <v>22840000000</v>
      </c>
      <c r="BD11" s="3">
        <v>22840000000</v>
      </c>
      <c r="BE11" s="3">
        <v>22840000000</v>
      </c>
      <c r="BF11" s="3">
        <v>22840000000</v>
      </c>
      <c r="BG11" s="3">
        <v>22840000000</v>
      </c>
      <c r="BH11" s="3">
        <v>22840000000</v>
      </c>
      <c r="BI11" s="3">
        <v>32840000000</v>
      </c>
      <c r="BJ11" s="3">
        <v>32840000000</v>
      </c>
      <c r="BK11" s="3">
        <v>32840000000</v>
      </c>
      <c r="BL11" s="3">
        <v>32840000000</v>
      </c>
      <c r="BM11" s="3">
        <v>32840000000</v>
      </c>
      <c r="BN11" s="3">
        <v>32840000000</v>
      </c>
      <c r="BO11" s="3">
        <v>34340000000</v>
      </c>
      <c r="BP11" s="3">
        <v>34340000000</v>
      </c>
      <c r="BQ11" s="3">
        <v>34340000000</v>
      </c>
      <c r="BR11" s="3"/>
      <c r="BS11" s="3"/>
      <c r="BT11" s="3"/>
      <c r="BU11" s="3"/>
      <c r="BV11" s="3"/>
      <c r="BW11" s="3"/>
    </row>
    <row r="12" spans="1:75" ht="15" customHeight="1">
      <c r="A12" s="71">
        <v>9</v>
      </c>
      <c r="B12" s="74" t="s">
        <v>35</v>
      </c>
      <c r="C12" s="71">
        <v>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ht="15" customHeight="1">
      <c r="A13" s="71">
        <v>10</v>
      </c>
      <c r="B13" s="74" t="s">
        <v>36</v>
      </c>
      <c r="C13" s="71">
        <v>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ht="15" customHeight="1">
      <c r="A14" s="71">
        <v>11</v>
      </c>
      <c r="B14" s="74" t="s">
        <v>37</v>
      </c>
      <c r="C14" s="71">
        <v>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ht="15" customHeight="1">
      <c r="A15" s="75">
        <v>12</v>
      </c>
      <c r="B15" s="70" t="s">
        <v>318</v>
      </c>
      <c r="C15" s="75">
        <v>5</v>
      </c>
      <c r="D15" s="5">
        <v>583090168909</v>
      </c>
      <c r="E15" s="5">
        <v>574635526390</v>
      </c>
      <c r="F15" s="5">
        <v>579654385119</v>
      </c>
      <c r="G15" s="5">
        <v>580152986487</v>
      </c>
      <c r="H15" s="5">
        <v>574090844955</v>
      </c>
      <c r="I15" s="5">
        <v>572033698810</v>
      </c>
      <c r="J15" s="5">
        <v>578204061657</v>
      </c>
      <c r="K15" s="5">
        <v>371354860764</v>
      </c>
      <c r="L15" s="5">
        <v>370080496191</v>
      </c>
      <c r="M15" s="5">
        <v>373899944419</v>
      </c>
      <c r="N15" s="5">
        <v>379563072845</v>
      </c>
      <c r="O15" s="5">
        <v>366657577174</v>
      </c>
      <c r="P15" s="5">
        <v>369266414406</v>
      </c>
      <c r="Q15" s="5">
        <v>347038625933</v>
      </c>
      <c r="R15" s="5">
        <v>356134424988</v>
      </c>
      <c r="S15" s="5">
        <v>351164566423</v>
      </c>
      <c r="T15" s="5">
        <v>337425900496</v>
      </c>
      <c r="U15" s="5">
        <v>332415377962</v>
      </c>
      <c r="V15" s="5">
        <v>307565424035</v>
      </c>
      <c r="W15" s="5">
        <v>308695850381</v>
      </c>
      <c r="X15" s="5">
        <v>314557732124</v>
      </c>
      <c r="Y15" s="5">
        <v>314155195386</v>
      </c>
      <c r="Z15" s="5">
        <v>285297966348</v>
      </c>
      <c r="AA15" s="5">
        <v>393325694531</v>
      </c>
      <c r="AB15" s="5">
        <v>360444652190</v>
      </c>
      <c r="AC15" s="5">
        <v>346735780052</v>
      </c>
      <c r="AD15" s="5">
        <v>314877277638</v>
      </c>
      <c r="AE15" s="5">
        <v>254854875792</v>
      </c>
      <c r="AF15" s="5">
        <v>258356225773</v>
      </c>
      <c r="AG15" s="5">
        <v>288750692005</v>
      </c>
      <c r="AH15" s="5">
        <v>295019567188</v>
      </c>
      <c r="AI15" s="5">
        <v>303397690711</v>
      </c>
      <c r="AJ15" s="5">
        <v>280722229912</v>
      </c>
      <c r="AK15" s="5">
        <v>318211148963</v>
      </c>
      <c r="AL15" s="5">
        <v>311455177330</v>
      </c>
      <c r="AM15" s="5">
        <f>SUM(AM16:AM22)</f>
        <v>316868469942</v>
      </c>
      <c r="AN15" s="5">
        <v>294283662527</v>
      </c>
      <c r="AO15" s="5">
        <v>277719968888</v>
      </c>
      <c r="AP15" s="5">
        <v>297405577345</v>
      </c>
      <c r="AQ15" s="5">
        <v>303674749988</v>
      </c>
      <c r="AR15" s="5">
        <v>304477407097</v>
      </c>
      <c r="AS15" s="5">
        <v>308711681498</v>
      </c>
      <c r="AT15" s="5">
        <v>200469936704</v>
      </c>
      <c r="AU15" s="5">
        <v>222854636431</v>
      </c>
      <c r="AV15" s="5">
        <v>249167765476</v>
      </c>
      <c r="AW15" s="5">
        <v>246057656184</v>
      </c>
      <c r="AX15" s="5">
        <v>323215272934</v>
      </c>
      <c r="AY15" s="6">
        <v>292036709951</v>
      </c>
      <c r="AZ15" s="6">
        <f t="shared" ref="AZ15:BF15" si="0">SUM(AZ16:AZ22)</f>
        <v>220033096514</v>
      </c>
      <c r="BA15" s="6">
        <f t="shared" si="0"/>
        <v>264758570553</v>
      </c>
      <c r="BB15" s="6">
        <f t="shared" si="0"/>
        <v>314044742217</v>
      </c>
      <c r="BC15" s="6">
        <f t="shared" si="0"/>
        <v>300175012111</v>
      </c>
      <c r="BD15" s="6">
        <f t="shared" si="0"/>
        <v>355551041672</v>
      </c>
      <c r="BE15" s="6">
        <f t="shared" si="0"/>
        <v>347420810569</v>
      </c>
      <c r="BF15" s="6">
        <f t="shared" si="0"/>
        <v>326074813439</v>
      </c>
      <c r="BG15" s="6">
        <f t="shared" ref="BG15:BJ15" si="1">SUM(BG16:BG22)</f>
        <v>416521420158</v>
      </c>
      <c r="BH15" s="6">
        <f t="shared" si="1"/>
        <v>345163002843</v>
      </c>
      <c r="BI15" s="6">
        <f t="shared" si="1"/>
        <v>301762112916</v>
      </c>
      <c r="BJ15" s="6">
        <f t="shared" si="1"/>
        <v>279428206352</v>
      </c>
      <c r="BK15" s="6">
        <v>293560124180</v>
      </c>
      <c r="BL15" s="6">
        <v>263624916145</v>
      </c>
      <c r="BM15" s="6">
        <v>289980302579</v>
      </c>
      <c r="BN15" s="6">
        <v>331342767193</v>
      </c>
      <c r="BO15" s="6">
        <v>329741435832</v>
      </c>
      <c r="BP15" s="6">
        <v>417392857129</v>
      </c>
      <c r="BQ15" s="6">
        <v>310082966155</v>
      </c>
      <c r="BR15" s="6"/>
      <c r="BS15" s="6"/>
      <c r="BT15" s="6"/>
      <c r="BU15" s="6"/>
      <c r="BV15" s="6"/>
      <c r="BW15" s="6"/>
    </row>
    <row r="16" spans="1:75" ht="15" customHeight="1">
      <c r="A16" s="71">
        <v>13</v>
      </c>
      <c r="B16" s="76" t="s">
        <v>39</v>
      </c>
      <c r="C16" s="71">
        <v>5</v>
      </c>
      <c r="D16" s="3">
        <v>571116397848</v>
      </c>
      <c r="E16" s="3">
        <v>11245292216</v>
      </c>
      <c r="F16" s="3">
        <v>15856223874</v>
      </c>
      <c r="G16" s="3">
        <v>11853022983</v>
      </c>
      <c r="H16" s="3">
        <v>4837569782</v>
      </c>
      <c r="I16" s="3">
        <v>6108714016</v>
      </c>
      <c r="J16" s="3">
        <v>18273784195</v>
      </c>
      <c r="K16" s="3">
        <v>6649601466</v>
      </c>
      <c r="L16" s="3">
        <v>6537064622</v>
      </c>
      <c r="M16" s="3">
        <v>14808496229</v>
      </c>
      <c r="N16" s="3">
        <v>23891683442</v>
      </c>
      <c r="O16" s="3">
        <v>33185427033</v>
      </c>
      <c r="P16" s="3">
        <v>42838925726</v>
      </c>
      <c r="Q16" s="3">
        <v>40209422110</v>
      </c>
      <c r="R16" s="3">
        <v>42161135861</v>
      </c>
      <c r="S16" s="3">
        <v>46509292431</v>
      </c>
      <c r="T16" s="3">
        <v>53272379708</v>
      </c>
      <c r="U16" s="3">
        <v>46733674531</v>
      </c>
      <c r="V16" s="3">
        <v>46987053150</v>
      </c>
      <c r="W16" s="3">
        <v>46192969621</v>
      </c>
      <c r="X16" s="3">
        <v>46575900326</v>
      </c>
      <c r="Y16" s="3">
        <v>51157219350</v>
      </c>
      <c r="Z16" s="3">
        <v>52837953862</v>
      </c>
      <c r="AA16" s="3">
        <v>366019034353</v>
      </c>
      <c r="AB16" s="3">
        <v>346550500356</v>
      </c>
      <c r="AC16" s="3">
        <v>331740967976</v>
      </c>
      <c r="AD16" s="3">
        <v>114960287290</v>
      </c>
      <c r="AE16" s="3">
        <v>82538799028</v>
      </c>
      <c r="AF16" s="3">
        <v>76951932726</v>
      </c>
      <c r="AG16" s="3">
        <v>75528601013</v>
      </c>
      <c r="AH16" s="3">
        <v>74743149460</v>
      </c>
      <c r="AI16" s="3">
        <v>77570626810</v>
      </c>
      <c r="AJ16" s="3">
        <v>83261973464</v>
      </c>
      <c r="AK16" s="3">
        <v>111015808616</v>
      </c>
      <c r="AL16" s="3">
        <v>116221372072</v>
      </c>
      <c r="AM16" s="3">
        <v>121096083260</v>
      </c>
      <c r="AN16" s="3">
        <v>122887480695</v>
      </c>
      <c r="AO16" s="3">
        <v>127016253433</v>
      </c>
      <c r="AP16" s="3">
        <v>139011604932</v>
      </c>
      <c r="AQ16" s="3">
        <v>152040845787</v>
      </c>
      <c r="AR16" s="3">
        <v>161172642369</v>
      </c>
      <c r="AS16" s="3">
        <v>159378679498</v>
      </c>
      <c r="AT16" s="3">
        <v>97722288447</v>
      </c>
      <c r="AU16" s="3">
        <v>120989360950</v>
      </c>
      <c r="AV16" s="3">
        <v>150031537677</v>
      </c>
      <c r="AW16" s="3">
        <v>147739603288</v>
      </c>
      <c r="AX16" s="3">
        <v>148202432891</v>
      </c>
      <c r="AY16" s="3">
        <v>152669364944</v>
      </c>
      <c r="AZ16" s="3">
        <v>108322209217</v>
      </c>
      <c r="BA16" s="3">
        <v>161139219719</v>
      </c>
      <c r="BB16" s="3">
        <v>202956915270</v>
      </c>
      <c r="BC16" s="3">
        <v>159438788675</v>
      </c>
      <c r="BD16" s="3">
        <v>170977391735</v>
      </c>
      <c r="BE16" s="3">
        <v>157629418587</v>
      </c>
      <c r="BF16" s="3">
        <v>156235244643</v>
      </c>
      <c r="BG16" s="3">
        <v>193809016663</v>
      </c>
      <c r="BH16" s="3">
        <v>162064070219</v>
      </c>
      <c r="BI16" s="3">
        <v>155463444706</v>
      </c>
      <c r="BJ16" s="3">
        <v>157631834549</v>
      </c>
      <c r="BK16" s="3">
        <v>154342206132</v>
      </c>
      <c r="BL16" s="3">
        <v>132649296167</v>
      </c>
      <c r="BM16" s="3">
        <v>140446291758</v>
      </c>
      <c r="BN16" s="3">
        <v>153248625708</v>
      </c>
      <c r="BO16" s="3">
        <v>178191270169</v>
      </c>
      <c r="BP16" s="3">
        <v>178005616424</v>
      </c>
      <c r="BQ16" s="3">
        <v>169259122091</v>
      </c>
      <c r="BR16" s="3"/>
      <c r="BS16" s="3"/>
      <c r="BT16" s="3"/>
      <c r="BU16" s="3"/>
      <c r="BV16" s="3"/>
      <c r="BW16" s="3"/>
    </row>
    <row r="17" spans="1:75" ht="15" customHeight="1">
      <c r="A17" s="71">
        <v>14</v>
      </c>
      <c r="B17" s="76" t="s">
        <v>40</v>
      </c>
      <c r="C17" s="71">
        <v>5</v>
      </c>
      <c r="D17" s="3">
        <v>6523854606</v>
      </c>
      <c r="E17" s="3">
        <v>8840317719</v>
      </c>
      <c r="F17" s="3">
        <v>9301534244</v>
      </c>
      <c r="G17" s="3">
        <v>18808203504</v>
      </c>
      <c r="H17" s="3">
        <v>19752159173</v>
      </c>
      <c r="I17" s="3">
        <v>20584484794</v>
      </c>
      <c r="J17" s="3">
        <v>13954080202</v>
      </c>
      <c r="K17" s="3">
        <v>16174952449</v>
      </c>
      <c r="L17" s="3">
        <v>16056294580</v>
      </c>
      <c r="M17" s="3">
        <v>17236756406</v>
      </c>
      <c r="N17" s="3">
        <v>12406025016</v>
      </c>
      <c r="O17" s="3">
        <v>8810297275</v>
      </c>
      <c r="P17" s="3">
        <v>12572821244</v>
      </c>
      <c r="Q17" s="3">
        <v>12985734332</v>
      </c>
      <c r="R17" s="3">
        <v>18637216896</v>
      </c>
      <c r="S17" s="3">
        <v>19362255108</v>
      </c>
      <c r="T17" s="3">
        <v>34524039024</v>
      </c>
      <c r="U17" s="3">
        <v>34861611746</v>
      </c>
      <c r="V17" s="3">
        <v>34722306504</v>
      </c>
      <c r="W17" s="3">
        <v>35591679393</v>
      </c>
      <c r="X17" s="3">
        <v>39721501993</v>
      </c>
      <c r="Y17" s="3">
        <v>33128809245</v>
      </c>
      <c r="Z17" s="3">
        <v>31174041516</v>
      </c>
      <c r="AA17" s="3">
        <v>22344097062</v>
      </c>
      <c r="AB17" s="3">
        <v>20916211061</v>
      </c>
      <c r="AC17" s="3">
        <v>21954342423</v>
      </c>
      <c r="AD17" s="3">
        <v>18757049149</v>
      </c>
      <c r="AE17" s="3">
        <v>23651627792</v>
      </c>
      <c r="AF17" s="3">
        <v>22917215700</v>
      </c>
      <c r="AG17" s="3">
        <v>22524331312</v>
      </c>
      <c r="AH17" s="3">
        <v>23699255018</v>
      </c>
      <c r="AI17" s="3">
        <v>25626123009</v>
      </c>
      <c r="AJ17" s="3">
        <v>27607049863</v>
      </c>
      <c r="AK17" s="3">
        <v>35640431515</v>
      </c>
      <c r="AL17" s="3">
        <v>18752744712</v>
      </c>
      <c r="AM17" s="3">
        <v>38776401474</v>
      </c>
      <c r="AN17" s="3">
        <v>19316587120</v>
      </c>
      <c r="AO17" s="3">
        <v>17454753549</v>
      </c>
      <c r="AP17" s="3">
        <v>16813944743</v>
      </c>
      <c r="AQ17" s="3">
        <v>18608309535</v>
      </c>
      <c r="AR17" s="3">
        <v>18405763308</v>
      </c>
      <c r="AS17" s="3">
        <v>16327636020</v>
      </c>
      <c r="AT17" s="3">
        <v>15257741813</v>
      </c>
      <c r="AU17" s="3">
        <v>14294350015</v>
      </c>
      <c r="AV17" s="3">
        <v>10832801685</v>
      </c>
      <c r="AW17" s="3">
        <v>9551925778</v>
      </c>
      <c r="AX17" s="3">
        <v>10191021053</v>
      </c>
      <c r="AY17" s="3">
        <v>23997890529</v>
      </c>
      <c r="AZ17" s="3">
        <v>17386959101</v>
      </c>
      <c r="BA17" s="3">
        <v>22390625492</v>
      </c>
      <c r="BB17" s="3">
        <v>24711414335</v>
      </c>
      <c r="BC17" s="3">
        <v>29713189366</v>
      </c>
      <c r="BD17" s="3">
        <v>63705294804</v>
      </c>
      <c r="BE17" s="3">
        <v>67384127297</v>
      </c>
      <c r="BF17" s="3">
        <v>62294223986</v>
      </c>
      <c r="BG17" s="3">
        <v>80801800470</v>
      </c>
      <c r="BH17" s="3">
        <v>83665862400</v>
      </c>
      <c r="BI17" s="3">
        <v>77870421089</v>
      </c>
      <c r="BJ17" s="3">
        <v>63335376460</v>
      </c>
      <c r="BK17" s="3">
        <v>67613421375</v>
      </c>
      <c r="BL17" s="3">
        <v>75878310145</v>
      </c>
      <c r="BM17" s="3">
        <v>82113512006</v>
      </c>
      <c r="BN17" s="3">
        <v>95312309944</v>
      </c>
      <c r="BO17" s="3">
        <v>77634941776</v>
      </c>
      <c r="BP17" s="3">
        <v>162931057926</v>
      </c>
      <c r="BQ17" s="3">
        <v>49662085677</v>
      </c>
      <c r="BR17" s="3"/>
      <c r="BS17" s="3"/>
      <c r="BT17" s="3"/>
      <c r="BU17" s="3"/>
      <c r="BV17" s="3"/>
      <c r="BW17" s="3"/>
    </row>
    <row r="18" spans="1:75" ht="15" customHeight="1">
      <c r="A18" s="71">
        <v>15</v>
      </c>
      <c r="B18" s="76" t="s">
        <v>41</v>
      </c>
      <c r="C18" s="71">
        <v>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ht="15" customHeight="1">
      <c r="A19" s="71">
        <v>16</v>
      </c>
      <c r="B19" s="76" t="s">
        <v>42</v>
      </c>
      <c r="C19" s="71">
        <v>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ht="15" customHeight="1">
      <c r="A20" s="71">
        <v>17</v>
      </c>
      <c r="B20" s="76" t="s">
        <v>43</v>
      </c>
      <c r="C20" s="71">
        <v>5</v>
      </c>
      <c r="D20" s="3">
        <v>5449916455</v>
      </c>
      <c r="E20" s="3">
        <v>554549916455</v>
      </c>
      <c r="F20" s="3">
        <v>554496627001</v>
      </c>
      <c r="G20" s="3">
        <v>549491760000</v>
      </c>
      <c r="H20" s="3">
        <v>549501116000</v>
      </c>
      <c r="I20" s="3">
        <v>545340500000</v>
      </c>
      <c r="J20" s="3">
        <v>545976197260</v>
      </c>
      <c r="K20" s="3">
        <v>348530306849</v>
      </c>
      <c r="L20" s="3">
        <v>347487136989</v>
      </c>
      <c r="M20" s="3">
        <v>341854691784</v>
      </c>
      <c r="N20" s="3">
        <v>343265364387</v>
      </c>
      <c r="O20" s="3">
        <v>324394336305</v>
      </c>
      <c r="P20" s="3">
        <v>310143488382</v>
      </c>
      <c r="Q20" s="3">
        <v>290132290437</v>
      </c>
      <c r="R20" s="3">
        <v>291624893177</v>
      </c>
      <c r="S20" s="3">
        <v>281581839830</v>
      </c>
      <c r="T20" s="3">
        <v>245918302710</v>
      </c>
      <c r="U20" s="3">
        <v>247108912631</v>
      </c>
      <c r="V20" s="3">
        <v>222144885327</v>
      </c>
      <c r="W20" s="3">
        <v>223200022313</v>
      </c>
      <c r="X20" s="3">
        <v>224549150751</v>
      </c>
      <c r="Y20" s="3">
        <v>226157987737</v>
      </c>
      <c r="Z20" s="3">
        <v>197574791916</v>
      </c>
      <c r="AA20" s="3">
        <v>6706262043</v>
      </c>
      <c r="AB20" s="3">
        <v>8169517329</v>
      </c>
      <c r="AC20" s="3">
        <v>8232046209</v>
      </c>
      <c r="AD20" s="3">
        <v>196351517755</v>
      </c>
      <c r="AE20" s="3">
        <v>163856025528</v>
      </c>
      <c r="AF20" s="3">
        <v>173678653903</v>
      </c>
      <c r="AG20" s="3">
        <v>192441458607</v>
      </c>
      <c r="AH20" s="3">
        <v>198320861637</v>
      </c>
      <c r="AI20" s="3">
        <v>200200940892</v>
      </c>
      <c r="AJ20" s="3">
        <v>169853206585</v>
      </c>
      <c r="AK20" s="3">
        <v>171554908832</v>
      </c>
      <c r="AL20" s="3">
        <v>176481060546</v>
      </c>
      <c r="AM20" s="3">
        <v>156995985208</v>
      </c>
      <c r="AN20" s="3">
        <v>152604203987</v>
      </c>
      <c r="AO20" s="3">
        <v>133773571181</v>
      </c>
      <c r="AP20" s="3">
        <v>133678635526</v>
      </c>
      <c r="AQ20" s="3">
        <v>125124202522</v>
      </c>
      <c r="AR20" s="3">
        <v>125423610695</v>
      </c>
      <c r="AS20" s="3">
        <v>133529975255</v>
      </c>
      <c r="AT20" s="3">
        <v>88014515719</v>
      </c>
      <c r="AU20" s="3">
        <v>88095534741</v>
      </c>
      <c r="AV20" s="3">
        <v>88828035389</v>
      </c>
      <c r="AW20" s="3">
        <v>89290736393</v>
      </c>
      <c r="AX20" s="3">
        <v>165346428265</v>
      </c>
      <c r="AY20" s="3">
        <v>115369454478</v>
      </c>
      <c r="AZ20" s="3">
        <v>94323928196</v>
      </c>
      <c r="BA20" s="3">
        <v>81228725342</v>
      </c>
      <c r="BB20" s="3">
        <v>86376412612</v>
      </c>
      <c r="BC20" s="3">
        <v>111023034070</v>
      </c>
      <c r="BD20" s="3">
        <v>120868355133</v>
      </c>
      <c r="BE20" s="3">
        <v>122407264685</v>
      </c>
      <c r="BF20" s="3">
        <v>107545344810</v>
      </c>
      <c r="BG20" s="3">
        <v>141910603025</v>
      </c>
      <c r="BH20" s="3">
        <v>99433070224</v>
      </c>
      <c r="BI20" s="3">
        <v>68428247121</v>
      </c>
      <c r="BJ20" s="3">
        <v>58460995343</v>
      </c>
      <c r="BK20" s="3">
        <v>72213592373</v>
      </c>
      <c r="BL20" s="3">
        <v>54586491575</v>
      </c>
      <c r="BM20" s="3">
        <v>66773872669</v>
      </c>
      <c r="BN20" s="3">
        <v>82135205395</v>
      </c>
      <c r="BO20" s="3">
        <v>73268597741</v>
      </c>
      <c r="BP20" s="3">
        <v>76382324781</v>
      </c>
      <c r="BQ20" s="3">
        <v>91770854087</v>
      </c>
      <c r="BR20" s="3"/>
      <c r="BS20" s="3"/>
      <c r="BT20" s="3"/>
      <c r="BU20" s="3"/>
      <c r="BV20" s="3"/>
      <c r="BW20" s="3"/>
    </row>
    <row r="21" spans="1:75" ht="15" customHeight="1">
      <c r="A21" s="71">
        <v>18</v>
      </c>
      <c r="B21" s="76" t="s">
        <v>44</v>
      </c>
      <c r="C21" s="71">
        <v>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-1743698927</v>
      </c>
      <c r="AB21" s="3">
        <v>-1743698927</v>
      </c>
      <c r="AC21" s="3">
        <v>-1743698927</v>
      </c>
      <c r="AD21" s="3">
        <v>-1743698927</v>
      </c>
      <c r="AE21" s="3">
        <v>-1743698927</v>
      </c>
      <c r="AF21" s="3">
        <v>-1743698927</v>
      </c>
      <c r="AG21" s="3">
        <v>-1743698927</v>
      </c>
      <c r="AH21" s="3">
        <v>-1743698927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-609095700</v>
      </c>
      <c r="BL21" s="3">
        <v>-609095700</v>
      </c>
      <c r="BM21" s="3">
        <v>-609095700</v>
      </c>
      <c r="BN21" s="3">
        <v>-609095700</v>
      </c>
      <c r="BO21" s="3">
        <v>-609095700</v>
      </c>
      <c r="BP21" s="3">
        <v>-609095700</v>
      </c>
      <c r="BQ21" s="3">
        <v>-609095700</v>
      </c>
      <c r="BR21" s="3"/>
      <c r="BS21" s="3"/>
      <c r="BT21" s="3"/>
      <c r="BU21" s="3"/>
      <c r="BV21" s="3"/>
      <c r="BW21" s="3"/>
    </row>
    <row r="22" spans="1:75" ht="15" customHeight="1">
      <c r="A22" s="71">
        <v>19</v>
      </c>
      <c r="B22" s="77" t="s">
        <v>45</v>
      </c>
      <c r="C22" s="71">
        <v>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267516561</v>
      </c>
      <c r="P22" s="3">
        <v>3711179054</v>
      </c>
      <c r="Q22" s="3">
        <v>3711179054</v>
      </c>
      <c r="R22" s="3">
        <v>3711179054</v>
      </c>
      <c r="S22" s="3">
        <v>3711179054</v>
      </c>
      <c r="T22" s="3">
        <v>3711179054</v>
      </c>
      <c r="U22" s="3">
        <v>3711179054</v>
      </c>
      <c r="V22" s="3">
        <v>3711179054</v>
      </c>
      <c r="W22" s="3">
        <v>3711179054</v>
      </c>
      <c r="X22" s="3">
        <v>3711179054</v>
      </c>
      <c r="Y22" s="3">
        <v>3711179054</v>
      </c>
      <c r="Z22" s="3">
        <v>3711179054</v>
      </c>
      <c r="AA22" s="3">
        <v>0</v>
      </c>
      <c r="AB22" s="3">
        <v>-13447877629</v>
      </c>
      <c r="AC22" s="3">
        <v>-13447877629</v>
      </c>
      <c r="AD22" s="3">
        <v>-13447877629</v>
      </c>
      <c r="AE22" s="3">
        <v>-13447877629</v>
      </c>
      <c r="AF22" s="3">
        <v>-13447877629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/>
      <c r="AN22" s="3">
        <v>-524609275</v>
      </c>
      <c r="AO22" s="3">
        <v>-524609275</v>
      </c>
      <c r="AP22" s="3">
        <v>7901392144</v>
      </c>
      <c r="AQ22" s="3">
        <v>7901392144</v>
      </c>
      <c r="AR22" s="3">
        <v>-524609275</v>
      </c>
      <c r="AS22" s="3">
        <v>-524609275</v>
      </c>
      <c r="AT22" s="3">
        <v>-524609275</v>
      </c>
      <c r="AU22" s="3">
        <v>-524609275</v>
      </c>
      <c r="AV22" s="3">
        <v>-524609275</v>
      </c>
      <c r="AW22" s="3">
        <v>-524609275</v>
      </c>
      <c r="AX22" s="3">
        <v>-524609275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1119913958</v>
      </c>
      <c r="BM22" s="3">
        <v>1255721846</v>
      </c>
      <c r="BN22" s="3">
        <v>1255721846</v>
      </c>
      <c r="BO22" s="3">
        <v>1255721846</v>
      </c>
      <c r="BP22" s="3">
        <v>682953698</v>
      </c>
      <c r="BQ22" s="3">
        <v>0</v>
      </c>
      <c r="BR22" s="3"/>
      <c r="BS22" s="3"/>
      <c r="BT22" s="3"/>
      <c r="BU22" s="3"/>
      <c r="BV22" s="3"/>
      <c r="BW22" s="3"/>
    </row>
    <row r="23" spans="1:75" ht="15" customHeight="1">
      <c r="A23" s="75">
        <v>20</v>
      </c>
      <c r="B23" s="70" t="s">
        <v>46</v>
      </c>
      <c r="C23" s="75">
        <v>5</v>
      </c>
      <c r="D23" s="5">
        <v>22640840422</v>
      </c>
      <c r="E23" s="5">
        <v>24415218988</v>
      </c>
      <c r="F23" s="5">
        <v>26498172124</v>
      </c>
      <c r="G23" s="5">
        <v>34682793625</v>
      </c>
      <c r="H23" s="5">
        <v>44709711264</v>
      </c>
      <c r="I23" s="5">
        <v>47275848380</v>
      </c>
      <c r="J23" s="5">
        <v>47653018372</v>
      </c>
      <c r="K23" s="5">
        <v>46032587439</v>
      </c>
      <c r="L23" s="5">
        <v>46148656772</v>
      </c>
      <c r="M23" s="5">
        <v>45809647414</v>
      </c>
      <c r="N23" s="5">
        <v>56906779913</v>
      </c>
      <c r="O23" s="5">
        <v>71650856326</v>
      </c>
      <c r="P23" s="5">
        <v>82706082474</v>
      </c>
      <c r="Q23" s="5">
        <v>90142332135</v>
      </c>
      <c r="R23" s="5">
        <v>106212278520</v>
      </c>
      <c r="S23" s="5">
        <v>129998785280</v>
      </c>
      <c r="T23" s="5">
        <v>163378971965</v>
      </c>
      <c r="U23" s="5">
        <v>185439599732</v>
      </c>
      <c r="V23" s="5">
        <v>195978830536</v>
      </c>
      <c r="W23" s="5">
        <v>195205377630</v>
      </c>
      <c r="X23" s="5">
        <v>187734490096</v>
      </c>
      <c r="Y23" s="5">
        <v>200852894094</v>
      </c>
      <c r="Z23" s="5">
        <v>219068154486</v>
      </c>
      <c r="AA23" s="5">
        <v>193819687801</v>
      </c>
      <c r="AB23" s="5">
        <v>214379170076</v>
      </c>
      <c r="AC23" s="5">
        <v>232092273214</v>
      </c>
      <c r="AD23" s="5">
        <v>237508877159</v>
      </c>
      <c r="AE23" s="5">
        <v>241821396518</v>
      </c>
      <c r="AF23" s="5">
        <v>247116136805</v>
      </c>
      <c r="AG23" s="5">
        <v>268484485479</v>
      </c>
      <c r="AH23" s="5">
        <v>275124136485</v>
      </c>
      <c r="AI23" s="5">
        <v>264624812102</v>
      </c>
      <c r="AJ23" s="5">
        <v>265818411834</v>
      </c>
      <c r="AK23" s="5">
        <v>273657995371</v>
      </c>
      <c r="AL23" s="5">
        <v>314192815161</v>
      </c>
      <c r="AM23" s="5">
        <v>368903112653</v>
      </c>
      <c r="AN23" s="5">
        <v>406821244018</v>
      </c>
      <c r="AO23" s="5">
        <v>413788449441</v>
      </c>
      <c r="AP23" s="5">
        <v>455747162045</v>
      </c>
      <c r="AQ23" s="5">
        <v>496057122616</v>
      </c>
      <c r="AR23" s="5">
        <v>541180364701</v>
      </c>
      <c r="AS23" s="5">
        <v>600190018005</v>
      </c>
      <c r="AT23" s="5">
        <v>619776297407</v>
      </c>
      <c r="AU23" s="5">
        <v>559053982584</v>
      </c>
      <c r="AV23" s="5">
        <v>549140904407</v>
      </c>
      <c r="AW23" s="5">
        <v>546574238545</v>
      </c>
      <c r="AX23" s="5">
        <v>588008826045</v>
      </c>
      <c r="AY23" s="6">
        <v>605821152798</v>
      </c>
      <c r="AZ23" s="6">
        <v>566809475589</v>
      </c>
      <c r="BA23" s="6">
        <v>483821147048</v>
      </c>
      <c r="BB23" s="6">
        <v>468355569440</v>
      </c>
      <c r="BC23" s="6">
        <v>522665513478</v>
      </c>
      <c r="BD23" s="6">
        <v>526499028418</v>
      </c>
      <c r="BE23" s="6">
        <v>543591846704</v>
      </c>
      <c r="BF23" s="6">
        <v>548599437580</v>
      </c>
      <c r="BG23" s="6">
        <v>548273459394</v>
      </c>
      <c r="BH23" s="6">
        <v>564202481203</v>
      </c>
      <c r="BI23" s="6">
        <v>551227150950</v>
      </c>
      <c r="BJ23" s="6">
        <v>550570669746</v>
      </c>
      <c r="BK23" s="6">
        <v>562435021579</v>
      </c>
      <c r="BL23" s="6">
        <v>534105826237</v>
      </c>
      <c r="BM23" s="6">
        <v>502545827363</v>
      </c>
      <c r="BN23" s="6">
        <v>425450972162</v>
      </c>
      <c r="BO23" s="6">
        <v>370413533224</v>
      </c>
      <c r="BP23" s="6">
        <v>361880765551</v>
      </c>
      <c r="BQ23" s="6">
        <v>388348343836</v>
      </c>
      <c r="BR23" s="6"/>
      <c r="BS23" s="6"/>
      <c r="BT23" s="6"/>
      <c r="BU23" s="6"/>
      <c r="BV23" s="6"/>
      <c r="BW23" s="6"/>
    </row>
    <row r="24" spans="1:75" ht="15" customHeight="1">
      <c r="A24" s="71">
        <v>21</v>
      </c>
      <c r="B24" s="72" t="s">
        <v>319</v>
      </c>
      <c r="C24" s="71">
        <v>5</v>
      </c>
      <c r="D24" s="3">
        <v>22640840422</v>
      </c>
      <c r="E24" s="3">
        <v>24415218988</v>
      </c>
      <c r="F24" s="3">
        <v>26498172124</v>
      </c>
      <c r="G24" s="3">
        <v>34682793625</v>
      </c>
      <c r="H24" s="3">
        <v>44709711264</v>
      </c>
      <c r="I24" s="3">
        <v>47275848380</v>
      </c>
      <c r="J24" s="3">
        <v>47653018372</v>
      </c>
      <c r="K24" s="3">
        <v>46032587439</v>
      </c>
      <c r="L24" s="3">
        <v>46148656772</v>
      </c>
      <c r="M24" s="3">
        <v>45809647414</v>
      </c>
      <c r="N24" s="3">
        <v>56906779913</v>
      </c>
      <c r="O24" s="3">
        <v>71650856326</v>
      </c>
      <c r="P24" s="3">
        <v>82706082474</v>
      </c>
      <c r="Q24" s="3">
        <v>90142332135</v>
      </c>
      <c r="R24" s="3">
        <v>106212278520</v>
      </c>
      <c r="S24" s="3">
        <v>129998785280</v>
      </c>
      <c r="T24" s="3">
        <v>163378971965</v>
      </c>
      <c r="U24" s="3">
        <v>185439599732</v>
      </c>
      <c r="V24" s="3">
        <v>195978830536</v>
      </c>
      <c r="W24" s="3">
        <v>195205377630</v>
      </c>
      <c r="X24" s="3">
        <v>187734490096</v>
      </c>
      <c r="Y24" s="3">
        <v>200852894094</v>
      </c>
      <c r="Z24" s="3">
        <v>219068154486</v>
      </c>
      <c r="AA24" s="3">
        <v>193819687801</v>
      </c>
      <c r="AB24" s="3">
        <v>214379170076</v>
      </c>
      <c r="AC24" s="3">
        <v>232092273214</v>
      </c>
      <c r="AD24" s="3">
        <v>237508877159</v>
      </c>
      <c r="AE24" s="3">
        <v>241821396518</v>
      </c>
      <c r="AF24" s="3">
        <v>247116136805</v>
      </c>
      <c r="AG24" s="3">
        <v>268484485479</v>
      </c>
      <c r="AH24" s="3">
        <v>275124136485</v>
      </c>
      <c r="AI24" s="3">
        <v>264624812102</v>
      </c>
      <c r="AJ24" s="3">
        <v>265818411834</v>
      </c>
      <c r="AK24" s="3">
        <v>273657995371</v>
      </c>
      <c r="AL24" s="3">
        <v>314192815161</v>
      </c>
      <c r="AM24" s="3">
        <v>368903112653</v>
      </c>
      <c r="AN24" s="3">
        <v>406821244018</v>
      </c>
      <c r="AO24" s="3">
        <v>413788449441</v>
      </c>
      <c r="AP24" s="3">
        <v>455747162045</v>
      </c>
      <c r="AQ24" s="3">
        <v>496057122616</v>
      </c>
      <c r="AR24" s="3">
        <v>541180364701</v>
      </c>
      <c r="AS24" s="3">
        <v>600190018005</v>
      </c>
      <c r="AT24" s="3">
        <v>619776297407</v>
      </c>
      <c r="AU24" s="3">
        <v>559053982584</v>
      </c>
      <c r="AV24" s="3">
        <v>549140904407</v>
      </c>
      <c r="AW24" s="3">
        <v>546574238545</v>
      </c>
      <c r="AX24" s="3">
        <v>588008826045</v>
      </c>
      <c r="AY24" s="3">
        <v>605821152798</v>
      </c>
      <c r="AZ24" s="3">
        <v>566809475589</v>
      </c>
      <c r="BA24" s="3">
        <v>483821147048</v>
      </c>
      <c r="BB24" s="3">
        <v>468355569440</v>
      </c>
      <c r="BC24" s="3">
        <v>522665513478</v>
      </c>
      <c r="BD24" s="3">
        <v>526499028418</v>
      </c>
      <c r="BE24" s="3">
        <v>543591846704</v>
      </c>
      <c r="BF24" s="3">
        <v>548599437580</v>
      </c>
      <c r="BG24" s="3">
        <v>548273459394</v>
      </c>
      <c r="BH24" s="3">
        <v>564202481203</v>
      </c>
      <c r="BI24" s="3">
        <v>551227150950</v>
      </c>
      <c r="BJ24" s="3">
        <v>550570669746</v>
      </c>
      <c r="BK24" s="3">
        <v>562435021579</v>
      </c>
      <c r="BL24" s="3">
        <v>534105826237</v>
      </c>
      <c r="BM24" s="3">
        <v>502545827363</v>
      </c>
      <c r="BN24" s="3">
        <v>425450972162</v>
      </c>
      <c r="BO24" s="3">
        <v>370413533224</v>
      </c>
      <c r="BP24" s="3">
        <v>361880765551</v>
      </c>
      <c r="BQ24" s="3">
        <v>388348343836</v>
      </c>
      <c r="BR24" s="3"/>
      <c r="BS24" s="3"/>
      <c r="BT24" s="3"/>
      <c r="BU24" s="3"/>
      <c r="BV24" s="3"/>
      <c r="BW24" s="3"/>
    </row>
    <row r="25" spans="1:75" ht="15" customHeight="1">
      <c r="A25" s="71">
        <v>22</v>
      </c>
      <c r="B25" s="72" t="s">
        <v>320</v>
      </c>
      <c r="C25" s="71">
        <v>5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ht="15" customHeight="1">
      <c r="A26" s="75">
        <v>23</v>
      </c>
      <c r="B26" s="70" t="s">
        <v>49</v>
      </c>
      <c r="C26" s="75">
        <v>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ht="15" customHeight="1">
      <c r="A27" s="71">
        <v>24</v>
      </c>
      <c r="B27" s="72" t="s">
        <v>50</v>
      </c>
      <c r="C27" s="71">
        <v>5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ht="15" customHeight="1">
      <c r="A28" s="71">
        <v>25</v>
      </c>
      <c r="B28" s="72" t="s">
        <v>51</v>
      </c>
      <c r="C28" s="71">
        <v>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ht="15" customHeight="1">
      <c r="A29" s="71">
        <v>26</v>
      </c>
      <c r="B29" s="72" t="s">
        <v>52</v>
      </c>
      <c r="C29" s="71">
        <v>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ht="15" customHeight="1">
      <c r="A30" s="75">
        <v>27</v>
      </c>
      <c r="B30" s="70" t="s">
        <v>53</v>
      </c>
      <c r="C30" s="75">
        <v>5</v>
      </c>
      <c r="D30" s="5">
        <v>5314243398</v>
      </c>
      <c r="E30" s="5">
        <v>6080699504</v>
      </c>
      <c r="F30" s="5">
        <v>5675443442</v>
      </c>
      <c r="G30" s="5">
        <v>6125438674</v>
      </c>
      <c r="H30" s="5">
        <v>8404740511</v>
      </c>
      <c r="I30" s="5">
        <v>8494741311</v>
      </c>
      <c r="J30" s="5">
        <v>8916139914</v>
      </c>
      <c r="K30" s="5">
        <v>26710413192</v>
      </c>
      <c r="L30" s="5">
        <v>27399882401</v>
      </c>
      <c r="M30" s="5">
        <v>27226141662</v>
      </c>
      <c r="N30" s="5">
        <v>28879807729</v>
      </c>
      <c r="O30" s="5">
        <v>30958179553</v>
      </c>
      <c r="P30" s="5">
        <v>31389219783</v>
      </c>
      <c r="Q30" s="5">
        <v>32186724683</v>
      </c>
      <c r="R30" s="5">
        <v>33833811488</v>
      </c>
      <c r="S30" s="5">
        <v>36773892175</v>
      </c>
      <c r="T30" s="5">
        <v>40902724991</v>
      </c>
      <c r="U30" s="5">
        <v>43653531095</v>
      </c>
      <c r="V30" s="5">
        <v>44810563156</v>
      </c>
      <c r="W30" s="5">
        <v>45772154267</v>
      </c>
      <c r="X30" s="5">
        <v>48034022405</v>
      </c>
      <c r="Y30" s="5">
        <v>51470376546</v>
      </c>
      <c r="Z30" s="5">
        <v>55537722150</v>
      </c>
      <c r="AA30" s="5">
        <v>38196188122</v>
      </c>
      <c r="AB30" s="5">
        <v>38776985054</v>
      </c>
      <c r="AC30" s="5">
        <v>41075097228</v>
      </c>
      <c r="AD30" s="5">
        <v>45117370687</v>
      </c>
      <c r="AE30" s="5">
        <v>41596951185</v>
      </c>
      <c r="AF30" s="5">
        <v>45735788339</v>
      </c>
      <c r="AG30" s="5">
        <v>47103389737</v>
      </c>
      <c r="AH30" s="5">
        <v>50391945473</v>
      </c>
      <c r="AI30" s="5">
        <v>52095015441</v>
      </c>
      <c r="AJ30" s="5">
        <v>49205619205</v>
      </c>
      <c r="AK30" s="5">
        <v>51840480320</v>
      </c>
      <c r="AL30" s="5">
        <v>59036767363</v>
      </c>
      <c r="AM30" s="5">
        <v>41128086110</v>
      </c>
      <c r="AN30" s="5">
        <v>48329179570</v>
      </c>
      <c r="AO30" s="5">
        <v>52402682218</v>
      </c>
      <c r="AP30" s="5">
        <v>53638184536</v>
      </c>
      <c r="AQ30" s="5">
        <v>60097345927</v>
      </c>
      <c r="AR30" s="5">
        <v>64480604648</v>
      </c>
      <c r="AS30" s="5">
        <v>41973464763</v>
      </c>
      <c r="AT30" s="5">
        <v>46961151962</v>
      </c>
      <c r="AU30" s="5">
        <v>48551172726</v>
      </c>
      <c r="AV30" s="5">
        <v>56769861956</v>
      </c>
      <c r="AW30" s="5">
        <v>59919630029</v>
      </c>
      <c r="AX30" s="5">
        <v>32117157574</v>
      </c>
      <c r="AY30" s="6">
        <v>29084385847</v>
      </c>
      <c r="AZ30" s="6">
        <v>31458565079</v>
      </c>
      <c r="BA30" s="6">
        <v>32319903285</v>
      </c>
      <c r="BB30" s="6">
        <v>37507790105</v>
      </c>
      <c r="BC30" s="6">
        <v>46329177857</v>
      </c>
      <c r="BD30" s="6">
        <v>54840575232</v>
      </c>
      <c r="BE30" s="6">
        <v>64471140709</v>
      </c>
      <c r="BF30" s="6">
        <v>71635917962</v>
      </c>
      <c r="BG30" s="6">
        <v>42927415798</v>
      </c>
      <c r="BH30" s="6">
        <v>44075420678</v>
      </c>
      <c r="BI30" s="6">
        <v>43372545654</v>
      </c>
      <c r="BJ30" s="6">
        <v>41368771158</v>
      </c>
      <c r="BK30" s="6">
        <v>19547112019</v>
      </c>
      <c r="BL30" s="6">
        <v>21453377952</v>
      </c>
      <c r="BM30" s="6">
        <v>24154779219</v>
      </c>
      <c r="BN30" s="6">
        <v>25221641625</v>
      </c>
      <c r="BO30" s="6">
        <v>26322155642</v>
      </c>
      <c r="BP30" s="6">
        <v>31960741740</v>
      </c>
      <c r="BQ30" s="6">
        <v>45761413509</v>
      </c>
      <c r="BR30" s="6"/>
      <c r="BS30" s="6"/>
      <c r="BT30" s="6"/>
      <c r="BU30" s="6"/>
      <c r="BV30" s="6"/>
      <c r="BW30" s="6"/>
    </row>
    <row r="31" spans="1:75" ht="15" customHeight="1">
      <c r="A31" s="71">
        <v>28</v>
      </c>
      <c r="B31" s="76" t="s">
        <v>54</v>
      </c>
      <c r="C31" s="71">
        <v>5</v>
      </c>
      <c r="D31" s="3">
        <v>113920351</v>
      </c>
      <c r="E31" s="3">
        <v>94216760</v>
      </c>
      <c r="F31" s="3">
        <v>80384419</v>
      </c>
      <c r="G31" s="3">
        <v>60147078</v>
      </c>
      <c r="H31" s="3">
        <v>281847184</v>
      </c>
      <c r="I31" s="3">
        <v>255164290</v>
      </c>
      <c r="J31" s="3">
        <v>228481396</v>
      </c>
      <c r="K31" s="3">
        <v>201798502</v>
      </c>
      <c r="L31" s="3">
        <v>252235061</v>
      </c>
      <c r="M31" s="3">
        <v>260230306</v>
      </c>
      <c r="N31" s="3">
        <v>888993241</v>
      </c>
      <c r="O31" s="3">
        <v>907518876</v>
      </c>
      <c r="P31" s="3">
        <v>940252890</v>
      </c>
      <c r="Q31" s="3">
        <v>1040629462</v>
      </c>
      <c r="R31" s="3">
        <v>1046446719</v>
      </c>
      <c r="S31" s="3">
        <v>1010849671</v>
      </c>
      <c r="T31" s="3">
        <v>1471987794</v>
      </c>
      <c r="U31" s="3">
        <v>2225397509</v>
      </c>
      <c r="V31" s="3">
        <v>2354562379</v>
      </c>
      <c r="W31" s="3">
        <v>2407816714</v>
      </c>
      <c r="X31" s="3">
        <v>3022705182</v>
      </c>
      <c r="Y31" s="3">
        <v>2886832646</v>
      </c>
      <c r="Z31" s="3">
        <v>3574188446</v>
      </c>
      <c r="AA31" s="3">
        <v>2848864662</v>
      </c>
      <c r="AB31" s="3">
        <v>2433524948</v>
      </c>
      <c r="AC31" s="3">
        <v>2949595697</v>
      </c>
      <c r="AD31" s="3">
        <v>2636870885</v>
      </c>
      <c r="AE31" s="3">
        <v>2566632714</v>
      </c>
      <c r="AF31" s="3">
        <v>2509161957</v>
      </c>
      <c r="AG31" s="3">
        <v>2767731909</v>
      </c>
      <c r="AH31" s="3">
        <v>3160400459</v>
      </c>
      <c r="AI31" s="3">
        <v>3221096592</v>
      </c>
      <c r="AJ31" s="3">
        <v>3722160941</v>
      </c>
      <c r="AK31" s="3">
        <v>4095876199</v>
      </c>
      <c r="AL31" s="3">
        <v>5294410252</v>
      </c>
      <c r="AM31" s="3">
        <v>5769288291</v>
      </c>
      <c r="AN31" s="3">
        <v>6276274640</v>
      </c>
      <c r="AO31" s="3">
        <v>8206749833</v>
      </c>
      <c r="AP31" s="3">
        <v>7285401121</v>
      </c>
      <c r="AQ31" s="3">
        <v>8306063236</v>
      </c>
      <c r="AR31" s="3">
        <v>7856773292</v>
      </c>
      <c r="AS31" s="3">
        <v>9119226098</v>
      </c>
      <c r="AT31" s="3">
        <v>10668355095</v>
      </c>
      <c r="AU31" s="3">
        <v>10679688406</v>
      </c>
      <c r="AV31" s="3">
        <v>11891411206</v>
      </c>
      <c r="AW31" s="3">
        <v>10950384630</v>
      </c>
      <c r="AX31" s="3">
        <v>10029655608</v>
      </c>
      <c r="AY31" s="3">
        <v>8392710436</v>
      </c>
      <c r="AZ31" s="3">
        <v>8670624950</v>
      </c>
      <c r="BA31" s="3">
        <v>9360600777</v>
      </c>
      <c r="BB31" s="3">
        <v>8963443599</v>
      </c>
      <c r="BC31" s="3">
        <v>8040678677</v>
      </c>
      <c r="BD31" s="3">
        <v>6574180345</v>
      </c>
      <c r="BE31" s="3">
        <v>12024899748</v>
      </c>
      <c r="BF31" s="3">
        <v>13100177953</v>
      </c>
      <c r="BG31" s="3">
        <v>13938259781</v>
      </c>
      <c r="BH31" s="3">
        <v>11177477784</v>
      </c>
      <c r="BI31" s="3">
        <v>9268450110</v>
      </c>
      <c r="BJ31" s="3">
        <v>6953960350</v>
      </c>
      <c r="BK31" s="3">
        <v>6855293515</v>
      </c>
      <c r="BL31" s="3">
        <v>6232956370</v>
      </c>
      <c r="BM31" s="3">
        <v>5669668845</v>
      </c>
      <c r="BN31" s="3">
        <v>6281586071</v>
      </c>
      <c r="BO31" s="3">
        <v>7111878966</v>
      </c>
      <c r="BP31" s="3">
        <v>7978130611</v>
      </c>
      <c r="BQ31" s="3">
        <v>7520241462</v>
      </c>
      <c r="BR31" s="3"/>
      <c r="BS31" s="3"/>
      <c r="BT31" s="3"/>
      <c r="BU31" s="3"/>
      <c r="BV31" s="3"/>
      <c r="BW31" s="3"/>
    </row>
    <row r="32" spans="1:75" ht="15" customHeight="1">
      <c r="A32" s="71">
        <v>29</v>
      </c>
      <c r="B32" s="76" t="s">
        <v>55</v>
      </c>
      <c r="C32" s="71">
        <v>5</v>
      </c>
      <c r="D32" s="3">
        <v>4945420208</v>
      </c>
      <c r="E32" s="3">
        <v>5731579905</v>
      </c>
      <c r="F32" s="3">
        <v>5595059023</v>
      </c>
      <c r="G32" s="3">
        <v>6047726478</v>
      </c>
      <c r="H32" s="3">
        <v>8122893327</v>
      </c>
      <c r="I32" s="3">
        <v>8239577021</v>
      </c>
      <c r="J32" s="3">
        <v>8687658518</v>
      </c>
      <c r="K32" s="3">
        <v>26508614690</v>
      </c>
      <c r="L32" s="3">
        <v>27147647340</v>
      </c>
      <c r="M32" s="3">
        <v>26965911356</v>
      </c>
      <c r="N32" s="3">
        <v>27990814488</v>
      </c>
      <c r="O32" s="3">
        <v>29650114756</v>
      </c>
      <c r="P32" s="3">
        <v>30448966893</v>
      </c>
      <c r="Q32" s="3">
        <v>31146095221</v>
      </c>
      <c r="R32" s="3">
        <v>32787364769</v>
      </c>
      <c r="S32" s="3">
        <v>35763042504</v>
      </c>
      <c r="T32" s="3">
        <v>39429487284</v>
      </c>
      <c r="U32" s="3">
        <v>41426883673</v>
      </c>
      <c r="V32" s="3">
        <v>42456000777</v>
      </c>
      <c r="W32" s="3">
        <v>43364337553</v>
      </c>
      <c r="X32" s="3">
        <v>45011317223</v>
      </c>
      <c r="Y32" s="3">
        <v>48583543900</v>
      </c>
      <c r="Z32" s="3">
        <v>51963533704</v>
      </c>
      <c r="AA32" s="3">
        <v>35347323460</v>
      </c>
      <c r="AB32" s="3">
        <v>36343460106</v>
      </c>
      <c r="AC32" s="3">
        <v>38125501531</v>
      </c>
      <c r="AD32" s="3">
        <v>42480499802</v>
      </c>
      <c r="AE32" s="3">
        <v>37090547319</v>
      </c>
      <c r="AF32" s="3">
        <v>41231439376</v>
      </c>
      <c r="AG32" s="3">
        <v>44335657828</v>
      </c>
      <c r="AH32" s="3">
        <v>47231545014</v>
      </c>
      <c r="AI32" s="3">
        <v>48873918849</v>
      </c>
      <c r="AJ32" s="3">
        <v>45483458264</v>
      </c>
      <c r="AK32" s="3">
        <v>47744604121</v>
      </c>
      <c r="AL32" s="3">
        <v>53742357111</v>
      </c>
      <c r="AM32" s="3">
        <v>35358797819</v>
      </c>
      <c r="AN32" s="3">
        <v>42052904930</v>
      </c>
      <c r="AO32" s="3">
        <v>44107343223</v>
      </c>
      <c r="AP32" s="3">
        <v>46297685706</v>
      </c>
      <c r="AQ32" s="3">
        <v>51762654946</v>
      </c>
      <c r="AR32" s="3">
        <v>56579510013</v>
      </c>
      <c r="AS32" s="3">
        <v>32789088899</v>
      </c>
      <c r="AT32" s="3">
        <v>36250538837</v>
      </c>
      <c r="AU32" s="3">
        <v>37779613794</v>
      </c>
      <c r="AV32" s="3">
        <v>44829865745</v>
      </c>
      <c r="AW32" s="3">
        <v>48921405825</v>
      </c>
      <c r="AX32" s="3">
        <v>22042451541</v>
      </c>
      <c r="AY32" s="3">
        <v>20691675411</v>
      </c>
      <c r="AZ32" s="3">
        <v>22787940129</v>
      </c>
      <c r="BA32" s="3">
        <v>22955432475</v>
      </c>
      <c r="BB32" s="3">
        <v>28544346506</v>
      </c>
      <c r="BC32" s="3">
        <v>38288499180</v>
      </c>
      <c r="BD32" s="3">
        <v>48266394887</v>
      </c>
      <c r="BE32" s="3">
        <v>52446240961</v>
      </c>
      <c r="BF32" s="3">
        <v>58535740009</v>
      </c>
      <c r="BG32" s="3">
        <v>28989156017</v>
      </c>
      <c r="BH32" s="3">
        <v>32897942894</v>
      </c>
      <c r="BI32" s="3">
        <v>34104095544</v>
      </c>
      <c r="BJ32" s="3">
        <v>34414810808</v>
      </c>
      <c r="BK32" s="3">
        <v>12691818504</v>
      </c>
      <c r="BL32" s="3">
        <v>14900314879</v>
      </c>
      <c r="BM32" s="3">
        <v>18117486770</v>
      </c>
      <c r="BN32" s="3">
        <v>18457562435</v>
      </c>
      <c r="BO32" s="3">
        <v>18721692095</v>
      </c>
      <c r="BP32" s="3">
        <v>23467402224</v>
      </c>
      <c r="BQ32" s="3">
        <v>38241172047</v>
      </c>
      <c r="BR32" s="3"/>
      <c r="BS32" s="3"/>
      <c r="BT32" s="3"/>
      <c r="BU32" s="3"/>
      <c r="BV32" s="3"/>
      <c r="BW32" s="3"/>
    </row>
    <row r="33" spans="1:75" ht="15" customHeight="1">
      <c r="A33" s="71">
        <v>30</v>
      </c>
      <c r="B33" s="76" t="s">
        <v>56</v>
      </c>
      <c r="C33" s="71">
        <v>5</v>
      </c>
      <c r="D33" s="3">
        <v>254902839</v>
      </c>
      <c r="E33" s="3">
        <v>254902839</v>
      </c>
      <c r="F33" s="3">
        <v>0</v>
      </c>
      <c r="G33" s="3">
        <v>17565118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400545921</v>
      </c>
      <c r="P33" s="3">
        <v>0</v>
      </c>
      <c r="Q33" s="3">
        <v>0</v>
      </c>
      <c r="R33" s="3">
        <v>0</v>
      </c>
      <c r="S33" s="3">
        <v>0</v>
      </c>
      <c r="T33" s="3">
        <v>1249913</v>
      </c>
      <c r="U33" s="3">
        <v>1249913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1939771152</v>
      </c>
      <c r="AF33" s="3">
        <v>1995187006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88589162</v>
      </c>
      <c r="AP33" s="3">
        <v>55097709</v>
      </c>
      <c r="AQ33" s="3">
        <v>28627745</v>
      </c>
      <c r="AR33" s="3">
        <v>44321343</v>
      </c>
      <c r="AS33" s="3">
        <v>65149766</v>
      </c>
      <c r="AT33" s="3">
        <v>42258030</v>
      </c>
      <c r="AU33" s="3">
        <v>91870526</v>
      </c>
      <c r="AV33" s="3">
        <v>48585005</v>
      </c>
      <c r="AW33" s="3">
        <v>47839574</v>
      </c>
      <c r="AX33" s="3">
        <v>45050425</v>
      </c>
      <c r="AY33" s="3">
        <v>0</v>
      </c>
      <c r="AZ33" s="3">
        <v>0</v>
      </c>
      <c r="BA33" s="3">
        <v>3870033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/>
      <c r="BL33" s="3">
        <v>320106703</v>
      </c>
      <c r="BM33" s="3">
        <v>367623604</v>
      </c>
      <c r="BN33" s="3">
        <v>482493119</v>
      </c>
      <c r="BO33" s="3">
        <v>488584581</v>
      </c>
      <c r="BP33" s="3">
        <v>515208905</v>
      </c>
      <c r="BQ33" s="3"/>
      <c r="BR33" s="3"/>
      <c r="BS33" s="3"/>
      <c r="BT33" s="3"/>
      <c r="BU33" s="3"/>
      <c r="BV33" s="3"/>
      <c r="BW33" s="3"/>
    </row>
    <row r="34" spans="1:75" ht="15" customHeight="1">
      <c r="A34" s="71">
        <v>31</v>
      </c>
      <c r="B34" s="76" t="s">
        <v>57</v>
      </c>
      <c r="C34" s="71">
        <v>5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ht="15" customHeight="1">
      <c r="A35" s="71">
        <v>32</v>
      </c>
      <c r="B35" s="76" t="s">
        <v>58</v>
      </c>
      <c r="C35" s="71">
        <v>5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ht="13.8">
      <c r="A36" s="78">
        <v>33</v>
      </c>
      <c r="B36" s="79" t="s">
        <v>321</v>
      </c>
      <c r="C36" s="78">
        <v>5</v>
      </c>
      <c r="D36" s="7">
        <v>86880633442</v>
      </c>
      <c r="E36" s="7">
        <v>94747583376</v>
      </c>
      <c r="F36" s="7">
        <v>96067304286</v>
      </c>
      <c r="G36" s="7">
        <v>96848533626</v>
      </c>
      <c r="H36" s="7">
        <v>101230167312</v>
      </c>
      <c r="I36" s="7">
        <v>102383852541</v>
      </c>
      <c r="J36" s="7">
        <v>114536712032</v>
      </c>
      <c r="K36" s="7">
        <v>291833091169</v>
      </c>
      <c r="L36" s="7">
        <v>294902635908</v>
      </c>
      <c r="M36" s="7">
        <v>293648092565</v>
      </c>
      <c r="N36" s="7">
        <v>295080352755</v>
      </c>
      <c r="O36" s="7">
        <v>298129911569</v>
      </c>
      <c r="P36" s="7">
        <v>303264863543</v>
      </c>
      <c r="Q36" s="7">
        <v>303407795286</v>
      </c>
      <c r="R36" s="7">
        <v>301700774855</v>
      </c>
      <c r="S36" s="7">
        <v>308774390060</v>
      </c>
      <c r="T36" s="7">
        <v>316298750510</v>
      </c>
      <c r="U36" s="7">
        <v>323784583220</v>
      </c>
      <c r="V36" s="7">
        <v>329223426458</v>
      </c>
      <c r="W36" s="7">
        <v>334959181760</v>
      </c>
      <c r="X36" s="7">
        <v>349795170793</v>
      </c>
      <c r="Y36" s="7">
        <v>365984624129</v>
      </c>
      <c r="Z36" s="7">
        <v>378041902934</v>
      </c>
      <c r="AA36" s="7">
        <v>204283691303</v>
      </c>
      <c r="AB36" s="7">
        <v>208231581626</v>
      </c>
      <c r="AC36" s="7">
        <v>210978078121</v>
      </c>
      <c r="AD36" s="7">
        <v>216766563234</v>
      </c>
      <c r="AE36" s="7">
        <v>221271328748</v>
      </c>
      <c r="AF36" s="7">
        <v>239086746684</v>
      </c>
      <c r="AG36" s="7">
        <v>241129920093</v>
      </c>
      <c r="AH36" s="7">
        <v>246491575279</v>
      </c>
      <c r="AI36" s="7">
        <v>248549355566</v>
      </c>
      <c r="AJ36" s="7">
        <v>249202945670</v>
      </c>
      <c r="AK36" s="7">
        <v>260910890965</v>
      </c>
      <c r="AL36" s="7">
        <v>268719490169</v>
      </c>
      <c r="AM36" s="7">
        <f>AM44+AM66+AM76</f>
        <v>275488564192</v>
      </c>
      <c r="AN36" s="7">
        <v>274624562032</v>
      </c>
      <c r="AO36" s="7">
        <v>272308792463</v>
      </c>
      <c r="AP36" s="7">
        <v>271203283116</v>
      </c>
      <c r="AQ36" s="7">
        <v>270904814396</v>
      </c>
      <c r="AR36" s="7">
        <v>269907328559</v>
      </c>
      <c r="AS36" s="7">
        <v>270747087858</v>
      </c>
      <c r="AT36" s="7">
        <v>268779207254</v>
      </c>
      <c r="AU36" s="7">
        <v>274334422235</v>
      </c>
      <c r="AV36" s="7">
        <v>273134422792</v>
      </c>
      <c r="AW36" s="7">
        <v>272293558516</v>
      </c>
      <c r="AX36" s="7">
        <v>273153529742</v>
      </c>
      <c r="AY36" s="8">
        <v>285939000851</v>
      </c>
      <c r="AZ36" s="8">
        <v>289379194755</v>
      </c>
      <c r="BA36" s="8">
        <v>285515570351</v>
      </c>
      <c r="BB36" s="8">
        <v>287407502163</v>
      </c>
      <c r="BC36" s="8">
        <v>294777015341</v>
      </c>
      <c r="BD36" s="8">
        <v>299380289162</v>
      </c>
      <c r="BE36" s="8">
        <v>300166972168</v>
      </c>
      <c r="BF36" s="8">
        <v>296753996838</v>
      </c>
      <c r="BG36" s="8">
        <v>296192973827</v>
      </c>
      <c r="BH36" s="8">
        <v>304334630215</v>
      </c>
      <c r="BI36" s="8">
        <v>316482947135</v>
      </c>
      <c r="BJ36" s="8">
        <v>315796830828</v>
      </c>
      <c r="BK36" s="8">
        <v>320800563599</v>
      </c>
      <c r="BL36" s="8">
        <v>317415705891</v>
      </c>
      <c r="BM36" s="8">
        <v>337499929442</v>
      </c>
      <c r="BN36" s="8">
        <v>343594894451</v>
      </c>
      <c r="BO36" s="8">
        <v>365048803536</v>
      </c>
      <c r="BP36" s="8">
        <v>365314011891</v>
      </c>
      <c r="BQ36" s="8">
        <v>495399222088</v>
      </c>
      <c r="BR36" s="8"/>
      <c r="BS36" s="8"/>
      <c r="BT36" s="8"/>
      <c r="BU36" s="8"/>
      <c r="BV36" s="8"/>
      <c r="BW36" s="8"/>
    </row>
    <row r="37" spans="1:75" ht="15" customHeight="1">
      <c r="A37" s="75">
        <v>34</v>
      </c>
      <c r="B37" s="70" t="s">
        <v>60</v>
      </c>
      <c r="C37" s="75">
        <v>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6">
        <v>5600000000</v>
      </c>
      <c r="AZ37" s="6">
        <v>5600000000</v>
      </c>
      <c r="BA37" s="6">
        <v>5600000000</v>
      </c>
      <c r="BB37" s="6">
        <v>5600000000</v>
      </c>
      <c r="BC37" s="6">
        <v>5600000000</v>
      </c>
      <c r="BD37" s="6">
        <v>5600000000</v>
      </c>
      <c r="BE37" s="6">
        <v>5600000000</v>
      </c>
      <c r="BF37" s="6">
        <v>5600000000</v>
      </c>
      <c r="BG37" s="6">
        <v>5600000000</v>
      </c>
      <c r="BH37" s="6">
        <v>5600000000</v>
      </c>
      <c r="BI37" s="6">
        <v>5600000000</v>
      </c>
      <c r="BJ37" s="6">
        <v>5600000000</v>
      </c>
      <c r="BK37" s="6">
        <v>5600000000</v>
      </c>
      <c r="BL37" s="6">
        <v>5315314211</v>
      </c>
      <c r="BM37" s="6">
        <v>5315314211</v>
      </c>
      <c r="BN37" s="6">
        <v>5315314211</v>
      </c>
      <c r="BO37" s="6">
        <v>5315314210</v>
      </c>
      <c r="BP37" s="6">
        <v>5315314210</v>
      </c>
      <c r="BQ37" s="6">
        <v>5315314210</v>
      </c>
      <c r="BR37" s="6"/>
      <c r="BS37" s="6"/>
      <c r="BT37" s="6"/>
      <c r="BU37" s="6"/>
      <c r="BV37" s="6"/>
      <c r="BW37" s="6"/>
    </row>
    <row r="38" spans="1:75" ht="15" customHeight="1">
      <c r="A38" s="71">
        <v>35</v>
      </c>
      <c r="B38" s="72" t="s">
        <v>61</v>
      </c>
      <c r="C38" s="71">
        <v>5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 ht="15" customHeight="1">
      <c r="A39" s="71">
        <v>36</v>
      </c>
      <c r="B39" s="72" t="s">
        <v>62</v>
      </c>
      <c r="C39" s="71">
        <v>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 ht="15" customHeight="1">
      <c r="A40" s="71">
        <v>37</v>
      </c>
      <c r="B40" s="72" t="s">
        <v>63</v>
      </c>
      <c r="C40" s="71">
        <v>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ht="15" customHeight="1">
      <c r="A41" s="71">
        <v>38</v>
      </c>
      <c r="B41" s="72" t="s">
        <v>64</v>
      </c>
      <c r="C41" s="71">
        <v>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ht="15" customHeight="1">
      <c r="A42" s="71">
        <v>39</v>
      </c>
      <c r="B42" s="72" t="s">
        <v>65</v>
      </c>
      <c r="C42" s="71">
        <v>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5600000000</v>
      </c>
      <c r="AZ42" s="3">
        <v>5600000000</v>
      </c>
      <c r="BA42" s="3">
        <v>5600000000</v>
      </c>
      <c r="BB42" s="3">
        <v>5600000000</v>
      </c>
      <c r="BC42" s="3">
        <v>5600000000</v>
      </c>
      <c r="BD42" s="3">
        <v>5600000000</v>
      </c>
      <c r="BE42" s="3">
        <v>5600000000</v>
      </c>
      <c r="BF42" s="3">
        <v>5600000000</v>
      </c>
      <c r="BG42" s="3">
        <v>5600000000</v>
      </c>
      <c r="BH42" s="3">
        <v>5600000000</v>
      </c>
      <c r="BI42" s="3">
        <v>5600000000</v>
      </c>
      <c r="BJ42" s="3">
        <v>5600000000</v>
      </c>
      <c r="BK42" s="3">
        <v>5600000000</v>
      </c>
      <c r="BL42" s="3">
        <v>5315314211</v>
      </c>
      <c r="BM42" s="3">
        <v>5315314211</v>
      </c>
      <c r="BN42" s="3">
        <v>5315314211</v>
      </c>
      <c r="BO42" s="3">
        <v>5315314210</v>
      </c>
      <c r="BP42" s="3">
        <v>5315314210</v>
      </c>
      <c r="BQ42" s="3">
        <v>5315314210</v>
      </c>
      <c r="BR42" s="3"/>
      <c r="BS42" s="3"/>
      <c r="BT42" s="3"/>
      <c r="BU42" s="3"/>
      <c r="BV42" s="3"/>
      <c r="BW42" s="3"/>
    </row>
    <row r="43" spans="1:75" ht="15" customHeight="1">
      <c r="A43" s="71">
        <v>40</v>
      </c>
      <c r="B43" s="72" t="s">
        <v>66</v>
      </c>
      <c r="C43" s="71">
        <v>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ht="15" customHeight="1">
      <c r="A44" s="75">
        <v>41</v>
      </c>
      <c r="B44" s="80" t="s">
        <v>322</v>
      </c>
      <c r="C44" s="75">
        <v>5</v>
      </c>
      <c r="D44" s="5">
        <v>23619009901</v>
      </c>
      <c r="E44" s="5">
        <v>25016088100</v>
      </c>
      <c r="F44" s="5">
        <v>49763948248</v>
      </c>
      <c r="G44" s="5">
        <v>49597223876</v>
      </c>
      <c r="H44" s="5">
        <v>50829042712</v>
      </c>
      <c r="I44" s="5">
        <v>50629108185</v>
      </c>
      <c r="J44" s="5">
        <v>54890399597</v>
      </c>
      <c r="K44" s="5">
        <v>279071774641</v>
      </c>
      <c r="L44" s="5">
        <v>277032713430</v>
      </c>
      <c r="M44" s="5">
        <v>275778170087</v>
      </c>
      <c r="N44" s="5">
        <v>274130750226</v>
      </c>
      <c r="O44" s="5">
        <v>273205262317</v>
      </c>
      <c r="P44" s="5">
        <v>272377973790</v>
      </c>
      <c r="Q44" s="5">
        <v>270848160447</v>
      </c>
      <c r="R44" s="5">
        <v>268942944958</v>
      </c>
      <c r="S44" s="5">
        <v>267946903929</v>
      </c>
      <c r="T44" s="5">
        <v>267871693079</v>
      </c>
      <c r="U44" s="5">
        <v>267032884293</v>
      </c>
      <c r="V44" s="5">
        <v>269059796516</v>
      </c>
      <c r="W44" s="5">
        <v>293069402978</v>
      </c>
      <c r="X44" s="5">
        <v>299352041110</v>
      </c>
      <c r="Y44" s="5">
        <v>300083341706</v>
      </c>
      <c r="Z44" s="5">
        <v>314989042853</v>
      </c>
      <c r="AA44" s="5">
        <v>174414315289</v>
      </c>
      <c r="AB44" s="5">
        <v>172057873371</v>
      </c>
      <c r="AC44" s="5">
        <v>181414144601</v>
      </c>
      <c r="AD44" s="5">
        <v>185247648433</v>
      </c>
      <c r="AE44" s="5">
        <v>185119661882</v>
      </c>
      <c r="AF44" s="5">
        <v>183550835427</v>
      </c>
      <c r="AG44" s="5">
        <v>186791426572</v>
      </c>
      <c r="AH44" s="5">
        <v>186554681855</v>
      </c>
      <c r="AI44" s="5">
        <v>186140017498</v>
      </c>
      <c r="AJ44" s="5">
        <v>199458548244</v>
      </c>
      <c r="AK44" s="5">
        <v>197701621914</v>
      </c>
      <c r="AL44" s="5">
        <v>200439002848</v>
      </c>
      <c r="AM44" s="5">
        <v>200719408974</v>
      </c>
      <c r="AN44" s="5">
        <v>198013903445</v>
      </c>
      <c r="AO44" s="5">
        <v>195010544683</v>
      </c>
      <c r="AP44" s="5">
        <v>225730823955</v>
      </c>
      <c r="AQ44" s="5">
        <v>226001461052</v>
      </c>
      <c r="AR44" s="5">
        <v>224673388970</v>
      </c>
      <c r="AS44" s="5">
        <v>221428232280</v>
      </c>
      <c r="AT44" s="5">
        <v>219409735799</v>
      </c>
      <c r="AU44" s="5">
        <v>226228538916</v>
      </c>
      <c r="AV44" s="5">
        <v>223962123590</v>
      </c>
      <c r="AW44" s="5">
        <v>223016683107</v>
      </c>
      <c r="AX44" s="5">
        <v>238599188942</v>
      </c>
      <c r="AY44" s="6">
        <v>236902591180</v>
      </c>
      <c r="AZ44" s="6">
        <v>233135637012</v>
      </c>
      <c r="BA44" s="6">
        <v>239769028633</v>
      </c>
      <c r="BB44" s="6">
        <v>244837616747</v>
      </c>
      <c r="BC44" s="6">
        <v>241369190811</v>
      </c>
      <c r="BD44" s="6">
        <v>237349552865</v>
      </c>
      <c r="BE44" s="6">
        <v>233717444711</v>
      </c>
      <c r="BF44" s="6">
        <v>229848858132</v>
      </c>
      <c r="BG44" s="6">
        <v>248058151289</v>
      </c>
      <c r="BH44" s="6">
        <v>245902729429</v>
      </c>
      <c r="BI44" s="6">
        <v>244514286341</v>
      </c>
      <c r="BJ44" s="6">
        <v>247438859420</v>
      </c>
      <c r="BK44" s="6">
        <v>243859258508</v>
      </c>
      <c r="BL44" s="6">
        <v>243650467528</v>
      </c>
      <c r="BM44" s="6">
        <v>244965950858</v>
      </c>
      <c r="BN44" s="6">
        <v>265786488609</v>
      </c>
      <c r="BO44" s="6">
        <v>270226692853</v>
      </c>
      <c r="BP44" s="6">
        <v>268070715296</v>
      </c>
      <c r="BQ44" s="6">
        <v>274374041696</v>
      </c>
      <c r="BR44" s="6"/>
      <c r="BS44" s="6"/>
      <c r="BT44" s="6"/>
      <c r="BU44" s="6"/>
      <c r="BV44" s="6"/>
      <c r="BW44" s="6"/>
    </row>
    <row r="45" spans="1:75" ht="15" customHeight="1">
      <c r="A45" s="75">
        <v>42</v>
      </c>
      <c r="B45" s="81" t="s">
        <v>323</v>
      </c>
      <c r="C45" s="75">
        <v>5</v>
      </c>
      <c r="D45" s="5">
        <v>5012175397</v>
      </c>
      <c r="E45" s="5">
        <v>6450972956</v>
      </c>
      <c r="F45" s="5">
        <v>31240552464</v>
      </c>
      <c r="G45" s="5">
        <v>31115547451</v>
      </c>
      <c r="H45" s="5">
        <v>32389085647</v>
      </c>
      <c r="I45" s="5">
        <v>32230870480</v>
      </c>
      <c r="J45" s="5">
        <v>36533881252</v>
      </c>
      <c r="K45" s="5">
        <v>260026108687</v>
      </c>
      <c r="L45" s="5">
        <v>258041154411</v>
      </c>
      <c r="M45" s="5">
        <v>256840718004</v>
      </c>
      <c r="N45" s="5">
        <v>255247405079</v>
      </c>
      <c r="O45" s="5">
        <v>254376024104</v>
      </c>
      <c r="P45" s="5">
        <v>253602842513</v>
      </c>
      <c r="Q45" s="5">
        <v>252127136105</v>
      </c>
      <c r="R45" s="5">
        <v>250276027552</v>
      </c>
      <c r="S45" s="5">
        <v>249334093459</v>
      </c>
      <c r="T45" s="5">
        <v>249227840376</v>
      </c>
      <c r="U45" s="5">
        <v>248450879361</v>
      </c>
      <c r="V45" s="5">
        <v>250539639353</v>
      </c>
      <c r="W45" s="5">
        <v>274611093583</v>
      </c>
      <c r="X45" s="5">
        <v>279416322079</v>
      </c>
      <c r="Y45" s="5">
        <v>280229879304</v>
      </c>
      <c r="Z45" s="5">
        <v>295217837077</v>
      </c>
      <c r="AA45" s="5">
        <v>172372655369</v>
      </c>
      <c r="AB45" s="5">
        <v>170056750719</v>
      </c>
      <c r="AC45" s="5">
        <v>179334759218</v>
      </c>
      <c r="AD45" s="5">
        <v>183268200317</v>
      </c>
      <c r="AE45" s="5">
        <v>183240151035</v>
      </c>
      <c r="AF45" s="5">
        <v>181704121014</v>
      </c>
      <c r="AG45" s="5">
        <v>184977508596</v>
      </c>
      <c r="AH45" s="5">
        <v>184719690314</v>
      </c>
      <c r="AI45" s="5">
        <v>184338819984</v>
      </c>
      <c r="AJ45" s="5">
        <v>197691144757</v>
      </c>
      <c r="AK45" s="5">
        <v>195968012455</v>
      </c>
      <c r="AL45" s="5">
        <v>198739187416</v>
      </c>
      <c r="AM45" s="5">
        <v>199053387570</v>
      </c>
      <c r="AN45" s="5">
        <v>196381676069</v>
      </c>
      <c r="AO45" s="5">
        <v>193412111334</v>
      </c>
      <c r="AP45" s="5">
        <v>223734884594</v>
      </c>
      <c r="AQ45" s="5">
        <v>224051296275</v>
      </c>
      <c r="AR45" s="5">
        <v>222768998777</v>
      </c>
      <c r="AS45" s="5">
        <v>219569616674</v>
      </c>
      <c r="AT45" s="5">
        <v>217596894777</v>
      </c>
      <c r="AU45" s="5">
        <v>224461472477</v>
      </c>
      <c r="AV45" s="5">
        <v>222240831735</v>
      </c>
      <c r="AW45" s="5">
        <v>221341165837</v>
      </c>
      <c r="AX45" s="5">
        <v>211514900800</v>
      </c>
      <c r="AY45" s="6">
        <v>209868609863</v>
      </c>
      <c r="AZ45" s="6">
        <v>206695783278</v>
      </c>
      <c r="BA45" s="6">
        <v>213923302488</v>
      </c>
      <c r="BB45" s="6">
        <v>219098407403</v>
      </c>
      <c r="BC45" s="6">
        <v>216237653798</v>
      </c>
      <c r="BD45" s="6">
        <v>212825688182</v>
      </c>
      <c r="BE45" s="6">
        <v>209801252360</v>
      </c>
      <c r="BF45" s="6">
        <v>206540338107</v>
      </c>
      <c r="BG45" s="6">
        <v>225357303593</v>
      </c>
      <c r="BH45" s="6">
        <v>221869598924</v>
      </c>
      <c r="BI45" s="6">
        <v>221127752277</v>
      </c>
      <c r="BJ45" s="6">
        <v>224698921799</v>
      </c>
      <c r="BK45" s="6">
        <v>221765917329</v>
      </c>
      <c r="BL45" s="6">
        <v>222439215846</v>
      </c>
      <c r="BM45" s="6">
        <v>223939131389</v>
      </c>
      <c r="BN45" s="6">
        <v>244944101358</v>
      </c>
      <c r="BO45" s="6">
        <v>249568737825</v>
      </c>
      <c r="BP45" s="6">
        <v>247597192480</v>
      </c>
      <c r="BQ45" s="6">
        <v>254084951096</v>
      </c>
      <c r="BR45" s="6"/>
      <c r="BS45" s="6"/>
      <c r="BT45" s="6"/>
      <c r="BU45" s="6"/>
      <c r="BV45" s="6"/>
      <c r="BW45" s="6"/>
    </row>
    <row r="46" spans="1:75" ht="15" customHeight="1">
      <c r="A46" s="71">
        <v>43</v>
      </c>
      <c r="B46" s="82" t="s">
        <v>324</v>
      </c>
      <c r="C46" s="71">
        <v>5</v>
      </c>
      <c r="D46" s="3">
        <v>5353388782</v>
      </c>
      <c r="E46" s="3">
        <v>6876588782</v>
      </c>
      <c r="F46" s="3">
        <v>31771457543</v>
      </c>
      <c r="G46" s="3">
        <v>31843457543</v>
      </c>
      <c r="H46" s="3">
        <v>33336565043</v>
      </c>
      <c r="I46" s="3">
        <v>33399597043</v>
      </c>
      <c r="J46" s="3">
        <v>37978137919</v>
      </c>
      <c r="K46" s="3">
        <v>263570241170</v>
      </c>
      <c r="L46" s="3">
        <v>263683741170</v>
      </c>
      <c r="M46" s="3">
        <v>264603933170</v>
      </c>
      <c r="N46" s="3">
        <v>265129717020</v>
      </c>
      <c r="O46" s="3">
        <v>266402126632</v>
      </c>
      <c r="P46" s="3">
        <v>267785616064</v>
      </c>
      <c r="Q46" s="3">
        <v>268472854155</v>
      </c>
      <c r="R46" s="3">
        <v>268718067155</v>
      </c>
      <c r="S46" s="3">
        <v>269962587155</v>
      </c>
      <c r="T46" s="3">
        <v>272070177155</v>
      </c>
      <c r="U46" s="3">
        <v>273525793231</v>
      </c>
      <c r="V46" s="3">
        <v>277899672525</v>
      </c>
      <c r="W46" s="3">
        <v>304387081496</v>
      </c>
      <c r="X46" s="3">
        <v>311617096499</v>
      </c>
      <c r="Y46" s="3">
        <v>314922878251</v>
      </c>
      <c r="Z46" s="3">
        <v>332557727634</v>
      </c>
      <c r="AA46" s="3">
        <v>200307112557</v>
      </c>
      <c r="AB46" s="3">
        <v>199952126517</v>
      </c>
      <c r="AC46" s="3">
        <v>211350395220</v>
      </c>
      <c r="AD46" s="3">
        <v>217541022153</v>
      </c>
      <c r="AE46" s="3">
        <v>219918087838</v>
      </c>
      <c r="AF46" s="3">
        <v>220804558523</v>
      </c>
      <c r="AG46" s="3">
        <v>226533976537</v>
      </c>
      <c r="AH46" s="3">
        <v>228841919294</v>
      </c>
      <c r="AI46" s="3">
        <v>231167379866</v>
      </c>
      <c r="AJ46" s="3">
        <v>247327983466</v>
      </c>
      <c r="AK46" s="3">
        <v>248447356880</v>
      </c>
      <c r="AL46" s="3">
        <v>254065544433</v>
      </c>
      <c r="AM46" s="3">
        <v>257373867714</v>
      </c>
      <c r="AN46" s="3">
        <v>257666841694</v>
      </c>
      <c r="AO46" s="3">
        <v>257666841694</v>
      </c>
      <c r="AP46" s="3">
        <v>290954799860</v>
      </c>
      <c r="AQ46" s="3">
        <v>294406461356</v>
      </c>
      <c r="AR46" s="3">
        <v>296317113552</v>
      </c>
      <c r="AS46" s="3">
        <v>296312396885</v>
      </c>
      <c r="AT46" s="3">
        <v>297568396885</v>
      </c>
      <c r="AU46" s="3">
        <v>307504902865</v>
      </c>
      <c r="AV46" s="3">
        <v>308673199161</v>
      </c>
      <c r="AW46" s="3">
        <v>311019813374</v>
      </c>
      <c r="AX46" s="3">
        <v>288613480028</v>
      </c>
      <c r="AY46" s="3">
        <v>290150220028</v>
      </c>
      <c r="AZ46" s="3">
        <v>290186420028</v>
      </c>
      <c r="BA46" s="3">
        <v>300624510263</v>
      </c>
      <c r="BB46" s="3">
        <v>309208121569</v>
      </c>
      <c r="BC46" s="3">
        <v>309236016561</v>
      </c>
      <c r="BD46" s="3">
        <v>309308233601</v>
      </c>
      <c r="BE46" s="3">
        <v>309763593785</v>
      </c>
      <c r="BF46" s="3">
        <v>309740464757</v>
      </c>
      <c r="BG46" s="3">
        <v>331642753074</v>
      </c>
      <c r="BH46" s="3">
        <v>331956337304</v>
      </c>
      <c r="BI46" s="3">
        <v>334828750908</v>
      </c>
      <c r="BJ46" s="3">
        <v>342175274548</v>
      </c>
      <c r="BK46" s="3">
        <v>343037991979</v>
      </c>
      <c r="BL46" s="3">
        <v>346257196159</v>
      </c>
      <c r="BM46" s="3">
        <v>349675687977</v>
      </c>
      <c r="BN46" s="3">
        <v>372614337286</v>
      </c>
      <c r="BO46" s="3">
        <v>379332503103</v>
      </c>
      <c r="BP46" s="3">
        <v>379507503103</v>
      </c>
      <c r="BQ46" s="3">
        <v>388140591783</v>
      </c>
      <c r="BR46" s="3"/>
      <c r="BS46" s="3"/>
      <c r="BT46" s="3"/>
      <c r="BU46" s="3"/>
      <c r="BV46" s="3"/>
      <c r="BW46" s="3"/>
    </row>
    <row r="47" spans="1:75" ht="15" customHeight="1">
      <c r="A47" s="71">
        <v>44</v>
      </c>
      <c r="B47" s="82" t="s">
        <v>325</v>
      </c>
      <c r="C47" s="71">
        <v>5</v>
      </c>
      <c r="D47" s="3">
        <v>-341213385</v>
      </c>
      <c r="E47" s="3">
        <v>-425615826</v>
      </c>
      <c r="F47" s="3">
        <v>-530905079</v>
      </c>
      <c r="G47" s="3">
        <v>-727910092</v>
      </c>
      <c r="H47" s="3">
        <v>-947479396</v>
      </c>
      <c r="I47" s="3">
        <v>-1168726563</v>
      </c>
      <c r="J47" s="3">
        <v>-1444256667</v>
      </c>
      <c r="K47" s="3">
        <v>-3544132483</v>
      </c>
      <c r="L47" s="3">
        <v>-5642586759</v>
      </c>
      <c r="M47" s="3">
        <v>-7763215166</v>
      </c>
      <c r="N47" s="3">
        <v>-9882311941</v>
      </c>
      <c r="O47" s="3">
        <v>-12026102528</v>
      </c>
      <c r="P47" s="3">
        <v>-14182773551</v>
      </c>
      <c r="Q47" s="3">
        <v>-16345718050</v>
      </c>
      <c r="R47" s="3">
        <v>-18442039603</v>
      </c>
      <c r="S47" s="3">
        <v>-20628493696</v>
      </c>
      <c r="T47" s="3">
        <v>-22842336779</v>
      </c>
      <c r="U47" s="3">
        <v>-25074913870</v>
      </c>
      <c r="V47" s="3">
        <v>-27360033172</v>
      </c>
      <c r="W47" s="3">
        <v>-29775987913</v>
      </c>
      <c r="X47" s="3">
        <v>-32200774420</v>
      </c>
      <c r="Y47" s="3">
        <v>-34692998947</v>
      </c>
      <c r="Z47" s="3">
        <v>-37339890557</v>
      </c>
      <c r="AA47" s="3">
        <v>-27934457188</v>
      </c>
      <c r="AB47" s="3">
        <v>-29895375798</v>
      </c>
      <c r="AC47" s="3">
        <v>-32015636002</v>
      </c>
      <c r="AD47" s="3">
        <v>-34272821836</v>
      </c>
      <c r="AE47" s="3">
        <v>-36677936803</v>
      </c>
      <c r="AF47" s="3">
        <v>-39100437509</v>
      </c>
      <c r="AG47" s="3">
        <v>-41556467941</v>
      </c>
      <c r="AH47" s="3">
        <v>-44122228980</v>
      </c>
      <c r="AI47" s="3">
        <v>-46828559882</v>
      </c>
      <c r="AJ47" s="3">
        <v>-49636838709</v>
      </c>
      <c r="AK47" s="3">
        <v>-52479344425</v>
      </c>
      <c r="AL47" s="3">
        <v>-55326357017</v>
      </c>
      <c r="AM47" s="3">
        <v>-58320480144</v>
      </c>
      <c r="AN47" s="3">
        <v>-61285165625</v>
      </c>
      <c r="AO47" s="3">
        <v>-64254730360</v>
      </c>
      <c r="AP47" s="3">
        <v>-67219915266</v>
      </c>
      <c r="AQ47" s="3">
        <v>-70355165081</v>
      </c>
      <c r="AR47" s="3">
        <v>-73548114775</v>
      </c>
      <c r="AS47" s="3">
        <v>-76742780211</v>
      </c>
      <c r="AT47" s="3">
        <v>-79971502108</v>
      </c>
      <c r="AU47" s="3">
        <v>-83043430388</v>
      </c>
      <c r="AV47" s="3">
        <v>-86432367426</v>
      </c>
      <c r="AW47" s="3">
        <v>-89678647537</v>
      </c>
      <c r="AX47" s="3">
        <v>-77098579228</v>
      </c>
      <c r="AY47" s="3">
        <v>-80281610165</v>
      </c>
      <c r="AZ47" s="3">
        <v>-83490636750</v>
      </c>
      <c r="BA47" s="3">
        <v>-86701207775</v>
      </c>
      <c r="BB47" s="3">
        <v>-90109714166</v>
      </c>
      <c r="BC47" s="3">
        <v>-92998362763</v>
      </c>
      <c r="BD47" s="3">
        <v>-96482545419</v>
      </c>
      <c r="BE47" s="3">
        <v>-99962341425</v>
      </c>
      <c r="BF47" s="3">
        <v>-103200126650</v>
      </c>
      <c r="BG47" s="3">
        <v>-106285449481</v>
      </c>
      <c r="BH47" s="3">
        <v>-110086738380</v>
      </c>
      <c r="BI47" s="3">
        <v>-113700998631</v>
      </c>
      <c r="BJ47" s="3">
        <v>-117476352749</v>
      </c>
      <c r="BK47" s="3">
        <v>-121272074650</v>
      </c>
      <c r="BL47" s="3">
        <v>-123817980313</v>
      </c>
      <c r="BM47" s="3">
        <v>-125736556588</v>
      </c>
      <c r="BN47" s="3">
        <v>-127670235928</v>
      </c>
      <c r="BO47" s="3">
        <v>-129763765278</v>
      </c>
      <c r="BP47" s="3">
        <v>-131910310623</v>
      </c>
      <c r="BQ47" s="3">
        <v>-134055640687</v>
      </c>
      <c r="BR47" s="3"/>
      <c r="BS47" s="3"/>
      <c r="BT47" s="3"/>
      <c r="BU47" s="3"/>
      <c r="BV47" s="3"/>
      <c r="BW47" s="3"/>
    </row>
    <row r="48" spans="1:75" ht="15" customHeight="1">
      <c r="A48" s="75">
        <v>45</v>
      </c>
      <c r="B48" s="81" t="s">
        <v>71</v>
      </c>
      <c r="C48" s="75">
        <v>5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25454545455</v>
      </c>
      <c r="AY48" s="6">
        <v>24920890315</v>
      </c>
      <c r="AZ48" s="6">
        <v>24387235175</v>
      </c>
      <c r="BA48" s="6">
        <v>23853580028</v>
      </c>
      <c r="BB48" s="6">
        <v>23319924886</v>
      </c>
      <c r="BC48" s="6">
        <v>22786269743</v>
      </c>
      <c r="BD48" s="6">
        <v>22252614599</v>
      </c>
      <c r="BE48" s="6">
        <v>21718959455</v>
      </c>
      <c r="BF48" s="6">
        <v>21185304314</v>
      </c>
      <c r="BG48" s="6">
        <v>20651649171</v>
      </c>
      <c r="BH48" s="6">
        <v>20117994030</v>
      </c>
      <c r="BI48" s="6">
        <v>19584338888</v>
      </c>
      <c r="BJ48" s="6">
        <v>19050683744</v>
      </c>
      <c r="BK48" s="6">
        <v>18517028601</v>
      </c>
      <c r="BL48" s="6">
        <v>17684886028</v>
      </c>
      <c r="BM48" s="6">
        <v>17550400741</v>
      </c>
      <c r="BN48" s="6">
        <v>17415915447</v>
      </c>
      <c r="BO48" s="6">
        <v>17281430151</v>
      </c>
      <c r="BP48" s="6">
        <v>17146944864</v>
      </c>
      <c r="BQ48" s="6">
        <v>17012459573</v>
      </c>
      <c r="BR48" s="6"/>
      <c r="BS48" s="6"/>
      <c r="BT48" s="6"/>
      <c r="BU48" s="6"/>
      <c r="BV48" s="6"/>
      <c r="BW48" s="6"/>
    </row>
    <row r="49" spans="1:75" ht="15" customHeight="1">
      <c r="A49" s="71">
        <v>46</v>
      </c>
      <c r="B49" s="82" t="s">
        <v>326</v>
      </c>
      <c r="C49" s="71">
        <v>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25454545455</v>
      </c>
      <c r="AY49" s="3">
        <v>25454545455</v>
      </c>
      <c r="AZ49" s="3">
        <v>25454545455</v>
      </c>
      <c r="BA49" s="3">
        <v>25454545455</v>
      </c>
      <c r="BB49" s="3">
        <v>25454545455</v>
      </c>
      <c r="BC49" s="3">
        <v>25454545455</v>
      </c>
      <c r="BD49" s="3">
        <v>25454545455</v>
      </c>
      <c r="BE49" s="3">
        <v>25454545455</v>
      </c>
      <c r="BF49" s="3">
        <v>25454545455</v>
      </c>
      <c r="BG49" s="3">
        <v>25454545455</v>
      </c>
      <c r="BH49" s="3">
        <v>25454545455</v>
      </c>
      <c r="BI49" s="3">
        <v>25454545455</v>
      </c>
      <c r="BJ49" s="3">
        <v>25454545455</v>
      </c>
      <c r="BK49" s="3">
        <v>25454545455</v>
      </c>
      <c r="BL49" s="3">
        <v>24160519140</v>
      </c>
      <c r="BM49" s="3">
        <v>24160519140</v>
      </c>
      <c r="BN49" s="3">
        <v>24160519140</v>
      </c>
      <c r="BO49" s="3">
        <v>24160519140</v>
      </c>
      <c r="BP49" s="3">
        <v>24160519140</v>
      </c>
      <c r="BQ49" s="3">
        <v>24160519140</v>
      </c>
      <c r="BR49" s="3"/>
      <c r="BS49" s="3"/>
      <c r="BT49" s="3"/>
      <c r="BU49" s="3"/>
      <c r="BV49" s="3"/>
      <c r="BW49" s="3"/>
    </row>
    <row r="50" spans="1:75" ht="15" customHeight="1">
      <c r="A50" s="71">
        <v>47</v>
      </c>
      <c r="B50" s="82" t="s">
        <v>327</v>
      </c>
      <c r="C50" s="71">
        <v>5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-533655140</v>
      </c>
      <c r="AZ50" s="3">
        <v>-1067310280</v>
      </c>
      <c r="BA50" s="3">
        <v>-1600965427</v>
      </c>
      <c r="BB50" s="3">
        <v>-2134620569</v>
      </c>
      <c r="BC50" s="3">
        <v>-2668275712</v>
      </c>
      <c r="BD50" s="3">
        <v>-3201930856</v>
      </c>
      <c r="BE50" s="3">
        <v>-3735586000</v>
      </c>
      <c r="BF50" s="3">
        <v>-4269241141</v>
      </c>
      <c r="BG50" s="3">
        <v>-4802896284</v>
      </c>
      <c r="BH50" s="3">
        <v>-5336551425</v>
      </c>
      <c r="BI50" s="3">
        <v>-5870206567</v>
      </c>
      <c r="BJ50" s="3">
        <v>-6403861711</v>
      </c>
      <c r="BK50" s="3">
        <v>-6937516854</v>
      </c>
      <c r="BL50" s="3">
        <v>-6475633112</v>
      </c>
      <c r="BM50" s="3">
        <v>-6610118399</v>
      </c>
      <c r="BN50" s="3">
        <v>-6744603693</v>
      </c>
      <c r="BO50" s="3">
        <v>-6879088989</v>
      </c>
      <c r="BP50" s="3">
        <v>-7013574276</v>
      </c>
      <c r="BQ50" s="3">
        <v>-7148059567</v>
      </c>
      <c r="BR50" s="3"/>
      <c r="BS50" s="3"/>
      <c r="BT50" s="3"/>
      <c r="BU50" s="3"/>
      <c r="BV50" s="3"/>
      <c r="BW50" s="3"/>
    </row>
    <row r="51" spans="1:75" ht="15" customHeight="1">
      <c r="A51" s="75">
        <v>48</v>
      </c>
      <c r="B51" s="81" t="s">
        <v>72</v>
      </c>
      <c r="C51" s="75">
        <v>5</v>
      </c>
      <c r="D51" s="5">
        <v>18606834504</v>
      </c>
      <c r="E51" s="5">
        <v>18565115144</v>
      </c>
      <c r="F51" s="5">
        <v>18523395784</v>
      </c>
      <c r="G51" s="5">
        <v>18481676425</v>
      </c>
      <c r="H51" s="5">
        <v>18439957065</v>
      </c>
      <c r="I51" s="5">
        <v>18398237705</v>
      </c>
      <c r="J51" s="5">
        <v>18356518345</v>
      </c>
      <c r="K51" s="5">
        <v>19045665954</v>
      </c>
      <c r="L51" s="5">
        <v>18991559019</v>
      </c>
      <c r="M51" s="5">
        <v>18937452083</v>
      </c>
      <c r="N51" s="5">
        <v>18883345147</v>
      </c>
      <c r="O51" s="5">
        <v>18829238213</v>
      </c>
      <c r="P51" s="5">
        <v>18775131277</v>
      </c>
      <c r="Q51" s="5">
        <v>18721024342</v>
      </c>
      <c r="R51" s="5">
        <v>18666917406</v>
      </c>
      <c r="S51" s="5">
        <v>18612810470</v>
      </c>
      <c r="T51" s="5">
        <v>18643852703</v>
      </c>
      <c r="U51" s="5">
        <v>18582004932</v>
      </c>
      <c r="V51" s="5">
        <v>18520157163</v>
      </c>
      <c r="W51" s="5">
        <v>18458309395</v>
      </c>
      <c r="X51" s="5">
        <v>19935719031</v>
      </c>
      <c r="Y51" s="5">
        <v>19853462402</v>
      </c>
      <c r="Z51" s="5">
        <v>19771205776</v>
      </c>
      <c r="AA51" s="5">
        <v>2041659920</v>
      </c>
      <c r="AB51" s="5">
        <v>2001122652</v>
      </c>
      <c r="AC51" s="5">
        <v>2079385383</v>
      </c>
      <c r="AD51" s="5">
        <v>1979448116</v>
      </c>
      <c r="AE51" s="5">
        <v>1879510847</v>
      </c>
      <c r="AF51" s="5">
        <v>1846714413</v>
      </c>
      <c r="AG51" s="5">
        <v>1813917976</v>
      </c>
      <c r="AH51" s="5">
        <v>1834991541</v>
      </c>
      <c r="AI51" s="5">
        <v>1801197514</v>
      </c>
      <c r="AJ51" s="5">
        <v>1767403487</v>
      </c>
      <c r="AK51" s="5">
        <v>1733609459</v>
      </c>
      <c r="AL51" s="5">
        <v>1699815432</v>
      </c>
      <c r="AM51" s="5">
        <v>1666021404</v>
      </c>
      <c r="AN51" s="5">
        <v>1632227376</v>
      </c>
      <c r="AO51" s="5">
        <v>1598433349</v>
      </c>
      <c r="AP51" s="5">
        <v>1995939361</v>
      </c>
      <c r="AQ51" s="5">
        <v>1950164777</v>
      </c>
      <c r="AR51" s="5">
        <v>1904390193</v>
      </c>
      <c r="AS51" s="5">
        <v>1858615606</v>
      </c>
      <c r="AT51" s="5">
        <v>1812841022</v>
      </c>
      <c r="AU51" s="5">
        <v>1767066439</v>
      </c>
      <c r="AV51" s="5">
        <v>1721291855</v>
      </c>
      <c r="AW51" s="5">
        <v>1675517270</v>
      </c>
      <c r="AX51" s="5">
        <v>1629742687</v>
      </c>
      <c r="AY51" s="6">
        <v>2113091002</v>
      </c>
      <c r="AZ51" s="6">
        <v>2052618559</v>
      </c>
      <c r="BA51" s="6">
        <v>1992146117</v>
      </c>
      <c r="BB51" s="6">
        <v>2419284458</v>
      </c>
      <c r="BC51" s="6">
        <v>2345267270</v>
      </c>
      <c r="BD51" s="6">
        <v>2271250084</v>
      </c>
      <c r="BE51" s="6">
        <v>2197232896</v>
      </c>
      <c r="BF51" s="6">
        <v>2123215711</v>
      </c>
      <c r="BG51" s="6">
        <v>2049198525</v>
      </c>
      <c r="BH51" s="6">
        <v>3915136475</v>
      </c>
      <c r="BI51" s="6">
        <v>3802195176</v>
      </c>
      <c r="BJ51" s="6">
        <v>3689253877</v>
      </c>
      <c r="BK51" s="6">
        <v>3576312578</v>
      </c>
      <c r="BL51" s="6">
        <v>3526365654</v>
      </c>
      <c r="BM51" s="6">
        <v>3476418728</v>
      </c>
      <c r="BN51" s="6">
        <v>3426471804</v>
      </c>
      <c r="BO51" s="6">
        <v>3376524877</v>
      </c>
      <c r="BP51" s="6">
        <v>3326577952</v>
      </c>
      <c r="BQ51" s="6">
        <v>3276631027</v>
      </c>
      <c r="BR51" s="6"/>
      <c r="BS51" s="6"/>
      <c r="BT51" s="6"/>
      <c r="BU51" s="6"/>
      <c r="BV51" s="6"/>
      <c r="BW51" s="6"/>
    </row>
    <row r="52" spans="1:75" ht="15" customHeight="1">
      <c r="A52" s="71">
        <v>49</v>
      </c>
      <c r="B52" s="82" t="s">
        <v>328</v>
      </c>
      <c r="C52" s="71">
        <v>5</v>
      </c>
      <c r="D52" s="3">
        <v>24061372141</v>
      </c>
      <c r="E52" s="3">
        <v>24061372141</v>
      </c>
      <c r="F52" s="3">
        <v>24061372141</v>
      </c>
      <c r="G52" s="3">
        <v>24061372141</v>
      </c>
      <c r="H52" s="3">
        <v>24061372141</v>
      </c>
      <c r="I52" s="3">
        <v>24061372141</v>
      </c>
      <c r="J52" s="3">
        <v>24061372141</v>
      </c>
      <c r="K52" s="3">
        <v>24804626686</v>
      </c>
      <c r="L52" s="3">
        <v>24804626686</v>
      </c>
      <c r="M52" s="3">
        <v>24804626686</v>
      </c>
      <c r="N52" s="3">
        <v>24804626686</v>
      </c>
      <c r="O52" s="3">
        <v>24804626686</v>
      </c>
      <c r="P52" s="3">
        <v>24804626686</v>
      </c>
      <c r="Q52" s="3">
        <v>24804626686</v>
      </c>
      <c r="R52" s="3">
        <v>24804626686</v>
      </c>
      <c r="S52" s="3">
        <v>24804626686</v>
      </c>
      <c r="T52" s="3">
        <v>24897516686</v>
      </c>
      <c r="U52" s="3">
        <v>24897516686</v>
      </c>
      <c r="V52" s="3">
        <v>24897516686</v>
      </c>
      <c r="W52" s="3">
        <v>24897516686</v>
      </c>
      <c r="X52" s="3">
        <v>26457182951</v>
      </c>
      <c r="Y52" s="3">
        <v>26457182951</v>
      </c>
      <c r="Z52" s="3">
        <v>26457182951</v>
      </c>
      <c r="AA52" s="3">
        <v>2473365060</v>
      </c>
      <c r="AB52" s="3">
        <v>2473365060</v>
      </c>
      <c r="AC52" s="3">
        <v>2592165060</v>
      </c>
      <c r="AD52" s="3">
        <v>2592165060</v>
      </c>
      <c r="AE52" s="3">
        <v>2592165060</v>
      </c>
      <c r="AF52" s="3">
        <v>2592165060</v>
      </c>
      <c r="AG52" s="3">
        <v>2592165060</v>
      </c>
      <c r="AH52" s="3">
        <v>2646035060</v>
      </c>
      <c r="AI52" s="3">
        <v>2646035060</v>
      </c>
      <c r="AJ52" s="3">
        <v>2646035060</v>
      </c>
      <c r="AK52" s="3">
        <v>2646035060</v>
      </c>
      <c r="AL52" s="3">
        <v>2646035060</v>
      </c>
      <c r="AM52" s="3">
        <v>2646035060</v>
      </c>
      <c r="AN52" s="3">
        <v>2646035060</v>
      </c>
      <c r="AO52" s="3">
        <v>2646035060</v>
      </c>
      <c r="AP52" s="3">
        <v>3077335099</v>
      </c>
      <c r="AQ52" s="3">
        <v>3077335099</v>
      </c>
      <c r="AR52" s="3">
        <v>3077335099</v>
      </c>
      <c r="AS52" s="3">
        <v>3077335099</v>
      </c>
      <c r="AT52" s="3">
        <v>3077335099</v>
      </c>
      <c r="AU52" s="3">
        <v>3077335099</v>
      </c>
      <c r="AV52" s="3">
        <v>3077335099</v>
      </c>
      <c r="AW52" s="3">
        <v>3077335099</v>
      </c>
      <c r="AX52" s="3">
        <v>3077335099</v>
      </c>
      <c r="AY52" s="3">
        <v>3606457998</v>
      </c>
      <c r="AZ52" s="3">
        <v>3606457998</v>
      </c>
      <c r="BA52" s="3">
        <v>3606457998</v>
      </c>
      <c r="BB52" s="3">
        <v>4094068781</v>
      </c>
      <c r="BC52" s="3">
        <v>4094068781</v>
      </c>
      <c r="BD52" s="3">
        <v>4094068781</v>
      </c>
      <c r="BE52" s="3">
        <v>4094068781</v>
      </c>
      <c r="BF52" s="3">
        <v>4094068781</v>
      </c>
      <c r="BG52" s="3">
        <v>4094068781</v>
      </c>
      <c r="BH52" s="3">
        <v>6032562739</v>
      </c>
      <c r="BI52" s="3">
        <v>6032562739</v>
      </c>
      <c r="BJ52" s="3">
        <v>6032562739</v>
      </c>
      <c r="BK52" s="3">
        <v>6032562739</v>
      </c>
      <c r="BL52" s="3">
        <v>6032562739</v>
      </c>
      <c r="BM52" s="3">
        <v>6032562739</v>
      </c>
      <c r="BN52" s="3">
        <v>6032562739</v>
      </c>
      <c r="BO52" s="3">
        <v>6032562739</v>
      </c>
      <c r="BP52" s="3">
        <v>6032562739</v>
      </c>
      <c r="BQ52" s="3">
        <v>6032562739</v>
      </c>
      <c r="BR52" s="3"/>
      <c r="BS52" s="3"/>
      <c r="BT52" s="3"/>
      <c r="BU52" s="3"/>
      <c r="BV52" s="3"/>
      <c r="BW52" s="3"/>
    </row>
    <row r="53" spans="1:75" ht="15" customHeight="1">
      <c r="A53" s="71">
        <v>50</v>
      </c>
      <c r="B53" s="82" t="s">
        <v>329</v>
      </c>
      <c r="C53" s="71">
        <v>5</v>
      </c>
      <c r="D53" s="3">
        <v>-5454537637</v>
      </c>
      <c r="E53" s="3">
        <v>-5496256997</v>
      </c>
      <c r="F53" s="3">
        <v>-5537976357</v>
      </c>
      <c r="G53" s="3">
        <v>-5579695716</v>
      </c>
      <c r="H53" s="3">
        <v>-5621415076</v>
      </c>
      <c r="I53" s="3">
        <v>-5663134436</v>
      </c>
      <c r="J53" s="3">
        <v>-5704853796</v>
      </c>
      <c r="K53" s="3">
        <v>-5758960732</v>
      </c>
      <c r="L53" s="3">
        <v>-5813067667</v>
      </c>
      <c r="M53" s="3">
        <v>-5867174603</v>
      </c>
      <c r="N53" s="3">
        <v>-5921281539</v>
      </c>
      <c r="O53" s="3">
        <v>-5975388473</v>
      </c>
      <c r="P53" s="3">
        <v>-6029495409</v>
      </c>
      <c r="Q53" s="3">
        <v>-6083602344</v>
      </c>
      <c r="R53" s="3">
        <v>-6137709280</v>
      </c>
      <c r="S53" s="3">
        <v>-6191816216</v>
      </c>
      <c r="T53" s="3">
        <v>-6253663983</v>
      </c>
      <c r="U53" s="3">
        <v>-6315511754</v>
      </c>
      <c r="V53" s="3">
        <v>-6377359523</v>
      </c>
      <c r="W53" s="3">
        <v>-6439207291</v>
      </c>
      <c r="X53" s="3">
        <v>-6521463920</v>
      </c>
      <c r="Y53" s="3">
        <v>-6603720549</v>
      </c>
      <c r="Z53" s="3">
        <v>-6685977175</v>
      </c>
      <c r="AA53" s="3">
        <v>-431705140</v>
      </c>
      <c r="AB53" s="3">
        <v>-472242408</v>
      </c>
      <c r="AC53" s="3">
        <v>-512779677</v>
      </c>
      <c r="AD53" s="3">
        <v>-612716944</v>
      </c>
      <c r="AE53" s="3">
        <v>-712654213</v>
      </c>
      <c r="AF53" s="3">
        <v>-745450647</v>
      </c>
      <c r="AG53" s="3">
        <v>-778247084</v>
      </c>
      <c r="AH53" s="3">
        <v>-811043519</v>
      </c>
      <c r="AI53" s="3">
        <v>-844837546</v>
      </c>
      <c r="AJ53" s="3">
        <v>-878631573</v>
      </c>
      <c r="AK53" s="3">
        <v>-912425601</v>
      </c>
      <c r="AL53" s="3">
        <v>-946219628</v>
      </c>
      <c r="AM53" s="3">
        <v>-980013656</v>
      </c>
      <c r="AN53" s="3">
        <v>-1013807684</v>
      </c>
      <c r="AO53" s="3">
        <v>-1047601711</v>
      </c>
      <c r="AP53" s="3">
        <v>-1081395738</v>
      </c>
      <c r="AQ53" s="3">
        <v>-1127170322</v>
      </c>
      <c r="AR53" s="3">
        <v>-1172944906</v>
      </c>
      <c r="AS53" s="3">
        <v>-1218719493</v>
      </c>
      <c r="AT53" s="3">
        <v>-1264494077</v>
      </c>
      <c r="AU53" s="3">
        <v>-1310268660</v>
      </c>
      <c r="AV53" s="3">
        <v>-1356043244</v>
      </c>
      <c r="AW53" s="3">
        <v>-1401817829</v>
      </c>
      <c r="AX53" s="3">
        <v>-1447592412</v>
      </c>
      <c r="AY53" s="3">
        <v>-1493366996</v>
      </c>
      <c r="AZ53" s="3">
        <v>-1553839439</v>
      </c>
      <c r="BA53" s="3">
        <v>-1614311881</v>
      </c>
      <c r="BB53" s="3">
        <v>-1674784323</v>
      </c>
      <c r="BC53" s="3">
        <v>-1748801511</v>
      </c>
      <c r="BD53" s="3">
        <v>-1822818697</v>
      </c>
      <c r="BE53" s="3">
        <v>-1896835885</v>
      </c>
      <c r="BF53" s="3">
        <v>-1970853070</v>
      </c>
      <c r="BG53" s="3">
        <v>-2044870256</v>
      </c>
      <c r="BH53" s="3">
        <v>-2117426264</v>
      </c>
      <c r="BI53" s="3">
        <v>-2230367563</v>
      </c>
      <c r="BJ53" s="3">
        <v>-2343308862</v>
      </c>
      <c r="BK53" s="3">
        <v>-2456250161</v>
      </c>
      <c r="BL53" s="3">
        <v>-2506197085</v>
      </c>
      <c r="BM53" s="3">
        <v>-2556144011</v>
      </c>
      <c r="BN53" s="3">
        <v>-2606090935</v>
      </c>
      <c r="BO53" s="3">
        <v>-2656037862</v>
      </c>
      <c r="BP53" s="3">
        <v>-2705984787</v>
      </c>
      <c r="BQ53" s="3">
        <v>-2755931712</v>
      </c>
      <c r="BR53" s="3"/>
      <c r="BS53" s="3"/>
      <c r="BT53" s="3"/>
      <c r="BU53" s="3"/>
      <c r="BV53" s="3"/>
      <c r="BW53" s="3"/>
    </row>
    <row r="54" spans="1:75" ht="15" customHeight="1">
      <c r="A54" s="75">
        <v>51</v>
      </c>
      <c r="B54" s="80" t="s">
        <v>330</v>
      </c>
      <c r="C54" s="75">
        <v>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 spans="1:75" ht="15" customHeight="1">
      <c r="A55" s="71">
        <v>52</v>
      </c>
      <c r="B55" s="83" t="s">
        <v>74</v>
      </c>
      <c r="C55" s="71">
        <v>5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 ht="15" customHeight="1">
      <c r="A56" s="71">
        <v>53</v>
      </c>
      <c r="B56" s="82" t="s">
        <v>75</v>
      </c>
      <c r="C56" s="71">
        <v>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ht="15" customHeight="1">
      <c r="A57" s="71">
        <v>54</v>
      </c>
      <c r="B57" s="82" t="s">
        <v>76</v>
      </c>
      <c r="C57" s="71">
        <v>5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 ht="15" customHeight="1">
      <c r="A58" s="71">
        <v>55</v>
      </c>
      <c r="B58" s="84" t="s">
        <v>331</v>
      </c>
      <c r="C58" s="71">
        <v>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 ht="15" customHeight="1">
      <c r="A59" s="71">
        <v>56</v>
      </c>
      <c r="B59" s="84" t="s">
        <v>332</v>
      </c>
      <c r="C59" s="71">
        <v>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 ht="15" customHeight="1">
      <c r="A60" s="71">
        <v>57</v>
      </c>
      <c r="B60" s="83" t="s">
        <v>79</v>
      </c>
      <c r="C60" s="71">
        <v>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 ht="15" customHeight="1">
      <c r="A61" s="71">
        <v>58</v>
      </c>
      <c r="B61" s="83" t="s">
        <v>80</v>
      </c>
      <c r="C61" s="71">
        <v>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 ht="15" customHeight="1">
      <c r="A62" s="71">
        <v>59</v>
      </c>
      <c r="B62" s="83" t="s">
        <v>81</v>
      </c>
      <c r="C62" s="71">
        <v>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 ht="15" customHeight="1">
      <c r="A63" s="73">
        <v>60</v>
      </c>
      <c r="B63" s="80" t="s">
        <v>82</v>
      </c>
      <c r="C63" s="73">
        <v>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</row>
    <row r="64" spans="1:75" ht="15" customHeight="1">
      <c r="A64" s="71">
        <v>61</v>
      </c>
      <c r="B64" s="72" t="s">
        <v>333</v>
      </c>
      <c r="C64" s="71">
        <v>5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ht="15" customHeight="1">
      <c r="A65" s="71">
        <v>62</v>
      </c>
      <c r="B65" s="72" t="s">
        <v>334</v>
      </c>
      <c r="C65" s="71">
        <v>5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 ht="15" customHeight="1">
      <c r="A66" s="75">
        <v>63</v>
      </c>
      <c r="B66" s="80" t="s">
        <v>335</v>
      </c>
      <c r="C66" s="75">
        <v>5</v>
      </c>
      <c r="D66" s="5">
        <v>61751961263</v>
      </c>
      <c r="E66" s="5">
        <v>68221832998</v>
      </c>
      <c r="F66" s="5">
        <v>44793693760</v>
      </c>
      <c r="G66" s="5">
        <v>45741647472</v>
      </c>
      <c r="H66" s="5">
        <v>48891462322</v>
      </c>
      <c r="I66" s="5">
        <v>50245082078</v>
      </c>
      <c r="J66" s="5">
        <v>58136650157</v>
      </c>
      <c r="K66" s="5">
        <v>11251654250</v>
      </c>
      <c r="L66" s="5">
        <v>16360260200</v>
      </c>
      <c r="M66" s="5">
        <v>16360260200</v>
      </c>
      <c r="N66" s="5">
        <v>20131868795</v>
      </c>
      <c r="O66" s="5">
        <v>24169818113</v>
      </c>
      <c r="P66" s="5">
        <v>30194961209</v>
      </c>
      <c r="Q66" s="5">
        <v>31930608890</v>
      </c>
      <c r="R66" s="5">
        <v>32191706543</v>
      </c>
      <c r="S66" s="5">
        <v>40090979735</v>
      </c>
      <c r="T66" s="5">
        <v>47026331183</v>
      </c>
      <c r="U66" s="5">
        <v>54919027899</v>
      </c>
      <c r="V66" s="5">
        <v>58371749134</v>
      </c>
      <c r="W66" s="5">
        <v>39889442104</v>
      </c>
      <c r="X66" s="5">
        <v>48178201294</v>
      </c>
      <c r="Y66" s="5">
        <v>62098571186</v>
      </c>
      <c r="Z66" s="5">
        <v>59494515240</v>
      </c>
      <c r="AA66" s="5">
        <v>25942053472</v>
      </c>
      <c r="AB66" s="5">
        <v>32447867606</v>
      </c>
      <c r="AC66" s="5">
        <v>25783380098</v>
      </c>
      <c r="AD66" s="5">
        <v>27949001939</v>
      </c>
      <c r="AE66" s="5">
        <v>32782480397</v>
      </c>
      <c r="AF66" s="5">
        <v>52004302806</v>
      </c>
      <c r="AG66" s="5">
        <v>50723798252</v>
      </c>
      <c r="AH66" s="5">
        <v>56309319260</v>
      </c>
      <c r="AI66" s="5">
        <v>58915049461</v>
      </c>
      <c r="AJ66" s="5">
        <v>46439996334</v>
      </c>
      <c r="AK66" s="5">
        <v>60039828252</v>
      </c>
      <c r="AL66" s="5">
        <v>65105287777</v>
      </c>
      <c r="AM66" s="5">
        <v>70079611431</v>
      </c>
      <c r="AN66" s="5">
        <v>72055323550</v>
      </c>
      <c r="AO66" s="5">
        <v>72980475069</v>
      </c>
      <c r="AP66" s="5">
        <v>40128812389</v>
      </c>
      <c r="AQ66" s="5">
        <v>39230045474</v>
      </c>
      <c r="AR66" s="5">
        <v>39865836348</v>
      </c>
      <c r="AS66" s="5">
        <v>44061504995</v>
      </c>
      <c r="AT66" s="5">
        <v>43899012924</v>
      </c>
      <c r="AU66" s="5">
        <v>41659609551</v>
      </c>
      <c r="AV66" s="5">
        <v>42948598053</v>
      </c>
      <c r="AW66" s="5">
        <v>43281195517</v>
      </c>
      <c r="AX66" s="5">
        <v>28334087272</v>
      </c>
      <c r="AY66" s="6">
        <v>36580186980</v>
      </c>
      <c r="AZ66" s="6">
        <v>46014474364</v>
      </c>
      <c r="BA66" s="6">
        <v>32023614794</v>
      </c>
      <c r="BB66" s="6">
        <v>27191404987</v>
      </c>
      <c r="BC66" s="6">
        <v>38355899298</v>
      </c>
      <c r="BD66" s="6">
        <v>47426115769</v>
      </c>
      <c r="BE66" s="6">
        <v>51797910397</v>
      </c>
      <c r="BF66" s="6">
        <v>52765546898</v>
      </c>
      <c r="BG66" s="6">
        <v>34461951167</v>
      </c>
      <c r="BH66" s="6">
        <v>44577925963</v>
      </c>
      <c r="BI66" s="6">
        <v>57717770751</v>
      </c>
      <c r="BJ66" s="6">
        <v>54221172817</v>
      </c>
      <c r="BK66" s="6">
        <v>63080533813</v>
      </c>
      <c r="BL66" s="6">
        <v>61387421408</v>
      </c>
      <c r="BM66" s="6">
        <v>80647695075</v>
      </c>
      <c r="BN66" s="6">
        <v>66362060607</v>
      </c>
      <c r="BO66" s="6">
        <v>83813282245</v>
      </c>
      <c r="BP66" s="6">
        <v>86222726568</v>
      </c>
      <c r="BQ66" s="6">
        <v>210450570441</v>
      </c>
      <c r="BR66" s="6"/>
      <c r="BS66" s="6"/>
      <c r="BT66" s="6"/>
      <c r="BU66" s="6"/>
      <c r="BV66" s="6"/>
      <c r="BW66" s="6"/>
    </row>
    <row r="67" spans="1:75" ht="15" customHeight="1">
      <c r="A67" s="71">
        <v>64</v>
      </c>
      <c r="B67" s="72" t="s">
        <v>85</v>
      </c>
      <c r="C67" s="71">
        <v>5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 ht="15" customHeight="1">
      <c r="A68" s="71">
        <v>65</v>
      </c>
      <c r="B68" s="72" t="s">
        <v>86</v>
      </c>
      <c r="C68" s="71">
        <v>5</v>
      </c>
      <c r="D68" s="3">
        <v>61751961263</v>
      </c>
      <c r="E68" s="3">
        <v>68221832998</v>
      </c>
      <c r="F68" s="3">
        <v>44793693760</v>
      </c>
      <c r="G68" s="3">
        <v>45741647472</v>
      </c>
      <c r="H68" s="3">
        <v>48891462322</v>
      </c>
      <c r="I68" s="3">
        <v>50245082078</v>
      </c>
      <c r="J68" s="3">
        <v>58136650157</v>
      </c>
      <c r="K68" s="3">
        <v>11251654250</v>
      </c>
      <c r="L68" s="3">
        <v>16360260200</v>
      </c>
      <c r="M68" s="3">
        <v>16360260200</v>
      </c>
      <c r="N68" s="3">
        <v>20131868795</v>
      </c>
      <c r="O68" s="3">
        <v>24169818113</v>
      </c>
      <c r="P68" s="3">
        <v>30194961209</v>
      </c>
      <c r="Q68" s="3">
        <v>31930608890</v>
      </c>
      <c r="R68" s="3">
        <v>32191706543</v>
      </c>
      <c r="S68" s="3">
        <v>40090979735</v>
      </c>
      <c r="T68" s="3">
        <v>47026331183</v>
      </c>
      <c r="U68" s="3">
        <v>54919027899</v>
      </c>
      <c r="V68" s="3">
        <v>58371749134</v>
      </c>
      <c r="W68" s="3">
        <v>39889442104</v>
      </c>
      <c r="X68" s="3">
        <v>48178201294</v>
      </c>
      <c r="Y68" s="3">
        <v>62098571186</v>
      </c>
      <c r="Z68" s="3">
        <v>59494515240</v>
      </c>
      <c r="AA68" s="3">
        <v>25942053472</v>
      </c>
      <c r="AB68" s="3">
        <v>32447867606</v>
      </c>
      <c r="AC68" s="3">
        <v>25783380098</v>
      </c>
      <c r="AD68" s="3">
        <v>27949001939</v>
      </c>
      <c r="AE68" s="3">
        <v>32782480397</v>
      </c>
      <c r="AF68" s="3">
        <v>52004302806</v>
      </c>
      <c r="AG68" s="3">
        <v>50723798252</v>
      </c>
      <c r="AH68" s="3">
        <v>56309319260</v>
      </c>
      <c r="AI68" s="3">
        <v>58915049461</v>
      </c>
      <c r="AJ68" s="3">
        <v>46439996334</v>
      </c>
      <c r="AK68" s="3">
        <v>60039828252</v>
      </c>
      <c r="AL68" s="3">
        <v>65105287777</v>
      </c>
      <c r="AM68" s="3">
        <v>70079611431</v>
      </c>
      <c r="AN68" s="3">
        <v>72055323550</v>
      </c>
      <c r="AO68" s="3">
        <v>72980475069</v>
      </c>
      <c r="AP68" s="3">
        <v>40128812389</v>
      </c>
      <c r="AQ68" s="3">
        <v>39230045474</v>
      </c>
      <c r="AR68" s="3">
        <v>39865836348</v>
      </c>
      <c r="AS68" s="3">
        <v>44061504995</v>
      </c>
      <c r="AT68" s="3">
        <v>43899012924</v>
      </c>
      <c r="AU68" s="3">
        <v>41659609551</v>
      </c>
      <c r="AV68" s="3">
        <v>42948598053</v>
      </c>
      <c r="AW68" s="3">
        <v>43281195517</v>
      </c>
      <c r="AX68" s="3">
        <v>28334087272</v>
      </c>
      <c r="AY68" s="3">
        <v>36580186980</v>
      </c>
      <c r="AZ68" s="3">
        <v>46014474364</v>
      </c>
      <c r="BA68" s="3">
        <v>32023614794</v>
      </c>
      <c r="BB68" s="3">
        <v>27191404987</v>
      </c>
      <c r="BC68" s="3">
        <v>38355899298</v>
      </c>
      <c r="BD68" s="3">
        <v>47426115769</v>
      </c>
      <c r="BE68" s="3">
        <v>51797910397</v>
      </c>
      <c r="BF68" s="3">
        <v>52765546898</v>
      </c>
      <c r="BG68" s="3">
        <v>34461951167</v>
      </c>
      <c r="BH68" s="3">
        <v>44577925963</v>
      </c>
      <c r="BI68" s="3">
        <v>57717770751</v>
      </c>
      <c r="BJ68" s="3">
        <v>54221172817</v>
      </c>
      <c r="BK68" s="3">
        <v>63080533813</v>
      </c>
      <c r="BL68" s="3">
        <v>61387421408</v>
      </c>
      <c r="BM68" s="3">
        <v>80647695075</v>
      </c>
      <c r="BN68" s="3">
        <v>66362060607</v>
      </c>
      <c r="BO68" s="3">
        <v>83813282245</v>
      </c>
      <c r="BP68" s="3">
        <v>86222726568</v>
      </c>
      <c r="BQ68" s="3">
        <v>210450570441</v>
      </c>
      <c r="BR68" s="3"/>
      <c r="BS68" s="3"/>
      <c r="BT68" s="3"/>
      <c r="BU68" s="3"/>
      <c r="BV68" s="3"/>
      <c r="BW68" s="3"/>
    </row>
    <row r="69" spans="1:75" ht="15" customHeight="1">
      <c r="A69" s="75">
        <v>66</v>
      </c>
      <c r="B69" s="85" t="s">
        <v>336</v>
      </c>
      <c r="C69" s="75">
        <v>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15" customHeight="1">
      <c r="A70" s="71">
        <v>67</v>
      </c>
      <c r="B70" s="72" t="s">
        <v>88</v>
      </c>
      <c r="C70" s="71">
        <v>5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 ht="15" customHeight="1">
      <c r="A71" s="71">
        <v>68</v>
      </c>
      <c r="B71" s="72" t="s">
        <v>89</v>
      </c>
      <c r="C71" s="71">
        <v>5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 ht="15" customHeight="1">
      <c r="A72" s="71">
        <v>69</v>
      </c>
      <c r="B72" s="72" t="s">
        <v>90</v>
      </c>
      <c r="C72" s="71">
        <v>5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ht="15" customHeight="1">
      <c r="A73" s="71">
        <v>70</v>
      </c>
      <c r="B73" s="72" t="s">
        <v>91</v>
      </c>
      <c r="C73" s="71">
        <v>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 ht="15" customHeight="1">
      <c r="A74" s="71">
        <v>71</v>
      </c>
      <c r="B74" s="74" t="s">
        <v>92</v>
      </c>
      <c r="C74" s="71">
        <v>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 ht="15" customHeight="1">
      <c r="A75" s="71">
        <v>72</v>
      </c>
      <c r="B75" s="74" t="s">
        <v>93</v>
      </c>
      <c r="C75" s="71">
        <v>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 s="87" customFormat="1" ht="15" customHeight="1">
      <c r="A76" s="75">
        <v>73</v>
      </c>
      <c r="B76" s="86" t="s">
        <v>337</v>
      </c>
      <c r="C76" s="75">
        <v>5</v>
      </c>
      <c r="D76" s="5">
        <v>1509662278</v>
      </c>
      <c r="E76" s="5">
        <v>1509662278</v>
      </c>
      <c r="F76" s="5">
        <v>1509662278</v>
      </c>
      <c r="G76" s="5">
        <v>1509662278</v>
      </c>
      <c r="H76" s="5">
        <v>1509662278</v>
      </c>
      <c r="I76" s="5">
        <v>1509662278</v>
      </c>
      <c r="J76" s="5">
        <v>1509662278</v>
      </c>
      <c r="K76" s="5">
        <v>1509662278</v>
      </c>
      <c r="L76" s="5">
        <v>1509662278</v>
      </c>
      <c r="M76" s="5">
        <v>1509662278</v>
      </c>
      <c r="N76" s="5">
        <v>817733734</v>
      </c>
      <c r="O76" s="5">
        <v>754831139</v>
      </c>
      <c r="P76" s="5">
        <v>691928544</v>
      </c>
      <c r="Q76" s="5">
        <v>629025949</v>
      </c>
      <c r="R76" s="5">
        <v>566123354</v>
      </c>
      <c r="S76" s="5">
        <v>736506396</v>
      </c>
      <c r="T76" s="5">
        <v>1400726248</v>
      </c>
      <c r="U76" s="5">
        <v>1832671028</v>
      </c>
      <c r="V76" s="5">
        <v>1791880808</v>
      </c>
      <c r="W76" s="5">
        <v>2000336678</v>
      </c>
      <c r="X76" s="5">
        <v>2264928389</v>
      </c>
      <c r="Y76" s="5">
        <v>3802711237</v>
      </c>
      <c r="Z76" s="5">
        <v>3558344841</v>
      </c>
      <c r="AA76" s="5">
        <v>3927322542</v>
      </c>
      <c r="AB76" s="5">
        <v>3725840649</v>
      </c>
      <c r="AC76" s="5">
        <v>3780553422</v>
      </c>
      <c r="AD76" s="5">
        <v>3569912862</v>
      </c>
      <c r="AE76" s="5">
        <v>3369186469</v>
      </c>
      <c r="AF76" s="5">
        <v>3531608451</v>
      </c>
      <c r="AG76" s="5">
        <v>3614695269</v>
      </c>
      <c r="AH76" s="5">
        <v>3627574164</v>
      </c>
      <c r="AI76" s="5">
        <v>3494288607</v>
      </c>
      <c r="AJ76" s="5">
        <v>3304401092</v>
      </c>
      <c r="AK76" s="5">
        <v>3169440799</v>
      </c>
      <c r="AL76" s="5">
        <v>3175199544</v>
      </c>
      <c r="AM76" s="5">
        <v>4689543787</v>
      </c>
      <c r="AN76" s="5">
        <v>4555335037</v>
      </c>
      <c r="AO76" s="5">
        <v>4317772711</v>
      </c>
      <c r="AP76" s="5">
        <v>5343646772</v>
      </c>
      <c r="AQ76" s="5">
        <v>5673307870</v>
      </c>
      <c r="AR76" s="5">
        <v>5368103241</v>
      </c>
      <c r="AS76" s="5">
        <v>5257350583</v>
      </c>
      <c r="AT76" s="5">
        <v>5470458531</v>
      </c>
      <c r="AU76" s="5">
        <v>6446273768</v>
      </c>
      <c r="AV76" s="5">
        <v>6223701149</v>
      </c>
      <c r="AW76" s="5">
        <v>5995679892</v>
      </c>
      <c r="AX76" s="5">
        <v>6220253528</v>
      </c>
      <c r="AY76" s="6">
        <v>6856222691</v>
      </c>
      <c r="AZ76" s="6">
        <v>4629083379</v>
      </c>
      <c r="BA76" s="6">
        <v>8122926924</v>
      </c>
      <c r="BB76" s="6">
        <v>9778480429</v>
      </c>
      <c r="BC76" s="6">
        <v>9451925232</v>
      </c>
      <c r="BD76" s="6">
        <v>9004620528</v>
      </c>
      <c r="BE76" s="6">
        <v>9051617060</v>
      </c>
      <c r="BF76" s="6">
        <v>8539591808</v>
      </c>
      <c r="BG76" s="6">
        <v>8072871371</v>
      </c>
      <c r="BH76" s="6">
        <v>8253974823</v>
      </c>
      <c r="BI76" s="6">
        <v>8650890043</v>
      </c>
      <c r="BJ76" s="6">
        <v>8536798591</v>
      </c>
      <c r="BK76" s="6">
        <v>8260771278</v>
      </c>
      <c r="BL76" s="6">
        <v>7062502744</v>
      </c>
      <c r="BM76" s="6">
        <v>6570969298</v>
      </c>
      <c r="BN76" s="6">
        <v>6131031024</v>
      </c>
      <c r="BO76" s="6">
        <v>5693514228</v>
      </c>
      <c r="BP76" s="6">
        <v>5705255817</v>
      </c>
      <c r="BQ76" s="6">
        <v>5259295741</v>
      </c>
      <c r="BR76" s="6"/>
      <c r="BS76" s="6"/>
      <c r="BT76" s="6"/>
      <c r="BU76" s="6"/>
      <c r="BV76" s="6"/>
      <c r="BW76" s="6"/>
    </row>
    <row r="77" spans="1:75" ht="15" customHeight="1">
      <c r="A77" s="71">
        <v>74</v>
      </c>
      <c r="B77" s="76" t="s">
        <v>95</v>
      </c>
      <c r="C77" s="71">
        <v>5</v>
      </c>
      <c r="D77" s="3">
        <v>1509662278</v>
      </c>
      <c r="E77" s="3">
        <v>1509662278</v>
      </c>
      <c r="F77" s="3">
        <v>1509662278</v>
      </c>
      <c r="G77" s="3">
        <v>1509662278</v>
      </c>
      <c r="H77" s="3">
        <v>1509662278</v>
      </c>
      <c r="I77" s="3">
        <v>1509662278</v>
      </c>
      <c r="J77" s="3">
        <v>1509662278</v>
      </c>
      <c r="K77" s="3">
        <v>1509662278</v>
      </c>
      <c r="L77" s="3">
        <v>1509662278</v>
      </c>
      <c r="M77" s="3">
        <v>1509662278</v>
      </c>
      <c r="N77" s="3">
        <v>817733734</v>
      </c>
      <c r="O77" s="3">
        <v>754831139</v>
      </c>
      <c r="P77" s="3">
        <v>691928544</v>
      </c>
      <c r="Q77" s="3">
        <v>629025949</v>
      </c>
      <c r="R77" s="3">
        <v>566123354</v>
      </c>
      <c r="S77" s="3">
        <v>736506396</v>
      </c>
      <c r="T77" s="3">
        <v>1400726248</v>
      </c>
      <c r="U77" s="3">
        <v>1832671028</v>
      </c>
      <c r="V77" s="3">
        <v>1791880808</v>
      </c>
      <c r="W77" s="3">
        <v>2000336678</v>
      </c>
      <c r="X77" s="3">
        <v>2264928389</v>
      </c>
      <c r="Y77" s="3">
        <v>3802711237</v>
      </c>
      <c r="Z77" s="3">
        <v>3558344841</v>
      </c>
      <c r="AA77" s="3">
        <v>3927322542</v>
      </c>
      <c r="AB77" s="3">
        <v>3725840649</v>
      </c>
      <c r="AC77" s="3">
        <v>3780553422</v>
      </c>
      <c r="AD77" s="3">
        <v>3569912862</v>
      </c>
      <c r="AE77" s="3">
        <v>3369186469</v>
      </c>
      <c r="AF77" s="3">
        <v>3531608451</v>
      </c>
      <c r="AG77" s="3">
        <v>3614695269</v>
      </c>
      <c r="AH77" s="3">
        <v>3627574164</v>
      </c>
      <c r="AI77" s="3">
        <v>3494288607</v>
      </c>
      <c r="AJ77" s="3">
        <v>3304401092</v>
      </c>
      <c r="AK77" s="3">
        <v>3169440799</v>
      </c>
      <c r="AL77" s="3">
        <v>3175199544</v>
      </c>
      <c r="AM77" s="3">
        <v>4689543787</v>
      </c>
      <c r="AN77" s="3">
        <v>4555335037</v>
      </c>
      <c r="AO77" s="3">
        <v>4317772711</v>
      </c>
      <c r="AP77" s="3">
        <v>5343646772</v>
      </c>
      <c r="AQ77" s="3">
        <v>5673307870</v>
      </c>
      <c r="AR77" s="3">
        <v>5368103241</v>
      </c>
      <c r="AS77" s="3">
        <v>5257350583</v>
      </c>
      <c r="AT77" s="3">
        <v>5470458531</v>
      </c>
      <c r="AU77" s="3">
        <v>6446273768</v>
      </c>
      <c r="AV77" s="3">
        <v>6223701149</v>
      </c>
      <c r="AW77" s="3">
        <v>5995679892</v>
      </c>
      <c r="AX77" s="3">
        <v>6220253528</v>
      </c>
      <c r="AY77" s="3">
        <v>6856222691</v>
      </c>
      <c r="AZ77" s="3">
        <v>6468024689</v>
      </c>
      <c r="BA77" s="3">
        <v>9953825234</v>
      </c>
      <c r="BB77" s="3">
        <v>9749118739</v>
      </c>
      <c r="BC77" s="3">
        <v>9422563542</v>
      </c>
      <c r="BD77" s="3">
        <v>8975258838</v>
      </c>
      <c r="BE77" s="3">
        <v>9022255370</v>
      </c>
      <c r="BF77" s="3">
        <v>8539591808</v>
      </c>
      <c r="BG77" s="3">
        <v>8072871371</v>
      </c>
      <c r="BH77" s="3">
        <v>8253974823</v>
      </c>
      <c r="BI77" s="3">
        <v>8650890043</v>
      </c>
      <c r="BJ77" s="3">
        <v>8536798591</v>
      </c>
      <c r="BK77" s="3">
        <v>8260771278</v>
      </c>
      <c r="BL77" s="3">
        <v>7062502744</v>
      </c>
      <c r="BM77" s="3">
        <v>6570969298</v>
      </c>
      <c r="BN77" s="3">
        <v>6131031024</v>
      </c>
      <c r="BO77" s="3">
        <v>5693514228</v>
      </c>
      <c r="BP77" s="3">
        <v>5705255817</v>
      </c>
      <c r="BQ77" s="3">
        <v>5259295741</v>
      </c>
      <c r="BR77" s="3"/>
      <c r="BS77" s="3"/>
      <c r="BT77" s="3"/>
      <c r="BU77" s="3"/>
      <c r="BV77" s="3"/>
      <c r="BW77" s="3"/>
    </row>
    <row r="78" spans="1:75" ht="15" customHeight="1">
      <c r="A78" s="71">
        <v>75</v>
      </c>
      <c r="B78" s="76" t="s">
        <v>96</v>
      </c>
      <c r="C78" s="71">
        <v>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-1838941310</v>
      </c>
      <c r="BA78" s="3">
        <v>-1830898310</v>
      </c>
      <c r="BB78" s="3">
        <v>29361690</v>
      </c>
      <c r="BC78" s="3">
        <v>29361690</v>
      </c>
      <c r="BD78" s="3">
        <v>29361690</v>
      </c>
      <c r="BE78" s="3">
        <v>29361690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 ht="15" customHeight="1">
      <c r="A79" s="71">
        <v>76</v>
      </c>
      <c r="B79" s="76" t="s">
        <v>97</v>
      </c>
      <c r="C79" s="71">
        <v>5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 ht="15" customHeight="1">
      <c r="A80" s="71">
        <v>77</v>
      </c>
      <c r="B80" s="76" t="s">
        <v>98</v>
      </c>
      <c r="C80" s="71">
        <v>5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 s="90" customFormat="1" ht="15" customHeight="1">
      <c r="A81" s="88">
        <v>78</v>
      </c>
      <c r="B81" s="89" t="s">
        <v>338</v>
      </c>
      <c r="C81" s="88">
        <v>5</v>
      </c>
      <c r="D81" s="10">
        <v>701373726033</v>
      </c>
      <c r="E81" s="10">
        <v>704632325523</v>
      </c>
      <c r="F81" s="10">
        <v>711365330495</v>
      </c>
      <c r="G81" s="10">
        <v>725023303982</v>
      </c>
      <c r="H81" s="10">
        <v>734864260539</v>
      </c>
      <c r="I81" s="10">
        <v>736826000657</v>
      </c>
      <c r="J81" s="10">
        <v>756001934149</v>
      </c>
      <c r="K81" s="10">
        <v>753102394660</v>
      </c>
      <c r="L81" s="10">
        <v>759238087269</v>
      </c>
      <c r="M81" s="10">
        <v>759094526986</v>
      </c>
      <c r="N81" s="10">
        <v>769647066690</v>
      </c>
      <c r="O81" s="10">
        <v>776933763105</v>
      </c>
      <c r="P81" s="10">
        <v>794468132179</v>
      </c>
      <c r="Q81" s="10">
        <v>798518130349</v>
      </c>
      <c r="R81" s="10">
        <v>808110795127</v>
      </c>
      <c r="S81" s="10">
        <v>849864718615</v>
      </c>
      <c r="T81" s="10">
        <v>873481481467</v>
      </c>
      <c r="U81" s="10">
        <v>891363754606</v>
      </c>
      <c r="V81" s="10">
        <v>882603624562</v>
      </c>
      <c r="W81" s="10">
        <v>910588886247</v>
      </c>
      <c r="X81" s="10">
        <v>931223812753</v>
      </c>
      <c r="Y81" s="10">
        <v>945311368331</v>
      </c>
      <c r="Z81" s="10">
        <v>948196711170</v>
      </c>
      <c r="AA81" s="10">
        <v>842899635906</v>
      </c>
      <c r="AB81" s="10">
        <v>838624488703</v>
      </c>
      <c r="AC81" s="10">
        <v>846789415983</v>
      </c>
      <c r="AD81" s="10">
        <v>832358719704</v>
      </c>
      <c r="AE81" s="10">
        <v>812844217459</v>
      </c>
      <c r="AF81" s="10">
        <v>815732288563</v>
      </c>
      <c r="AG81" s="10">
        <v>868767124021</v>
      </c>
      <c r="AH81" s="10">
        <v>891509315744</v>
      </c>
      <c r="AI81" s="10">
        <v>873167455978</v>
      </c>
      <c r="AJ81" s="10">
        <v>857107570729</v>
      </c>
      <c r="AK81" s="10">
        <v>916472332878</v>
      </c>
      <c r="AL81" s="10">
        <v>960382808384</v>
      </c>
      <c r="AM81" s="10">
        <f>AM36+AM4</f>
        <v>1010751275431</v>
      </c>
      <c r="AN81" s="10">
        <v>1057106496455</v>
      </c>
      <c r="AO81" s="10">
        <v>1040899556726</v>
      </c>
      <c r="AP81" s="10">
        <v>1086669152157</v>
      </c>
      <c r="AQ81" s="10">
        <v>1148318840816</v>
      </c>
      <c r="AR81" s="10">
        <v>1198063045295</v>
      </c>
      <c r="AS81" s="10">
        <v>1227310309881</v>
      </c>
      <c r="AT81" s="10">
        <v>1174913086353</v>
      </c>
      <c r="AU81" s="10">
        <v>1123552712261</v>
      </c>
      <c r="AV81" s="10">
        <v>1164304769268</v>
      </c>
      <c r="AW81" s="10">
        <v>1184459048233</v>
      </c>
      <c r="AX81" s="10">
        <v>1262755141991</v>
      </c>
      <c r="AY81" s="11">
        <v>1255526266731</v>
      </c>
      <c r="AZ81" s="11">
        <v>1184167227046</v>
      </c>
      <c r="BA81" s="11">
        <v>1099673392126</v>
      </c>
      <c r="BB81" s="11">
        <v>1153710875298</v>
      </c>
      <c r="BC81" s="11">
        <v>1224376777626</v>
      </c>
      <c r="BD81" s="11">
        <v>1280979662011</v>
      </c>
      <c r="BE81" s="11">
        <v>1310961670922</v>
      </c>
      <c r="BF81" s="11">
        <v>1296565798277</v>
      </c>
      <c r="BG81" s="11">
        <v>1356526045802</v>
      </c>
      <c r="BH81" s="11">
        <v>1344912228849</v>
      </c>
      <c r="BI81" s="11">
        <v>1299331457948</v>
      </c>
      <c r="BJ81" s="11">
        <v>1275169884404</v>
      </c>
      <c r="BK81" s="11">
        <v>1266017714532</v>
      </c>
      <c r="BL81" s="11">
        <v>1211566398236</v>
      </c>
      <c r="BM81" s="11">
        <v>1233002251518</v>
      </c>
      <c r="BN81" s="11">
        <v>1192063370403</v>
      </c>
      <c r="BO81" s="11">
        <v>1173001139790</v>
      </c>
      <c r="BP81" s="11">
        <v>1251902380916</v>
      </c>
      <c r="BQ81" s="11">
        <v>1315618995207</v>
      </c>
      <c r="BR81" s="11"/>
      <c r="BS81" s="11"/>
      <c r="BT81" s="11"/>
      <c r="BU81" s="11"/>
      <c r="BV81" s="11"/>
      <c r="BW81" s="11"/>
    </row>
    <row r="82" spans="1:75" ht="15" customHeight="1">
      <c r="A82" s="78">
        <v>79</v>
      </c>
      <c r="B82" s="68" t="s">
        <v>339</v>
      </c>
      <c r="C82" s="78">
        <v>5</v>
      </c>
      <c r="D82" s="7">
        <v>43176223445</v>
      </c>
      <c r="E82" s="7">
        <v>46696689053</v>
      </c>
      <c r="F82" s="7">
        <v>51936187191</v>
      </c>
      <c r="G82" s="7">
        <v>64581605720</v>
      </c>
      <c r="H82" s="7">
        <v>74649626597</v>
      </c>
      <c r="I82" s="7">
        <v>76327765276</v>
      </c>
      <c r="J82" s="7">
        <v>85793742139</v>
      </c>
      <c r="K82" s="7">
        <v>82040230454</v>
      </c>
      <c r="L82" s="7">
        <v>86472678622</v>
      </c>
      <c r="M82" s="7">
        <v>85633998961</v>
      </c>
      <c r="N82" s="7">
        <v>96197297015</v>
      </c>
      <c r="O82" s="7">
        <v>101057033810</v>
      </c>
      <c r="P82" s="7">
        <v>114601504988</v>
      </c>
      <c r="Q82" s="7">
        <v>119840072424</v>
      </c>
      <c r="R82" s="7">
        <v>130816310637</v>
      </c>
      <c r="S82" s="7">
        <v>171755491613</v>
      </c>
      <c r="T82" s="7">
        <v>193542715071</v>
      </c>
      <c r="U82" s="7">
        <v>209713594152</v>
      </c>
      <c r="V82" s="7">
        <v>199760279210</v>
      </c>
      <c r="W82" s="7">
        <v>224940558967</v>
      </c>
      <c r="X82" s="7">
        <v>244427684089</v>
      </c>
      <c r="Y82" s="7">
        <v>258051659625</v>
      </c>
      <c r="Z82" s="7">
        <v>258833539302</v>
      </c>
      <c r="AA82" s="7">
        <v>142920124753</v>
      </c>
      <c r="AB82" s="7">
        <v>138065007483</v>
      </c>
      <c r="AC82" s="7">
        <v>148884720582</v>
      </c>
      <c r="AD82" s="7">
        <v>141678644644</v>
      </c>
      <c r="AE82" s="7">
        <v>125109958172</v>
      </c>
      <c r="AF82" s="7">
        <v>125215205152</v>
      </c>
      <c r="AG82" s="7">
        <v>145025394886</v>
      </c>
      <c r="AH82" s="7">
        <v>164224409520</v>
      </c>
      <c r="AI82" s="7">
        <v>137287515033</v>
      </c>
      <c r="AJ82" s="7">
        <v>102906481003</v>
      </c>
      <c r="AK82" s="7">
        <v>148262688565</v>
      </c>
      <c r="AL82" s="7">
        <v>184813073323</v>
      </c>
      <c r="AM82" s="7">
        <f>AM83+AM99</f>
        <v>209508966223</v>
      </c>
      <c r="AN82" s="7">
        <v>253938447634</v>
      </c>
      <c r="AO82" s="7">
        <v>243002156702</v>
      </c>
      <c r="AP82" s="7">
        <v>291731061734</v>
      </c>
      <c r="AQ82" s="7">
        <v>350905503653</v>
      </c>
      <c r="AR82" s="7">
        <v>404803110472</v>
      </c>
      <c r="AS82" s="7">
        <v>444265823125</v>
      </c>
      <c r="AT82" s="7">
        <v>405393285090</v>
      </c>
      <c r="AU82" s="7">
        <v>362315858983</v>
      </c>
      <c r="AV82" s="7">
        <v>393394647873</v>
      </c>
      <c r="AW82" s="7">
        <v>418527112069</v>
      </c>
      <c r="AX82" s="7">
        <v>500065225953</v>
      </c>
      <c r="AY82" s="8">
        <v>400766610864</v>
      </c>
      <c r="AZ82" s="8">
        <v>324510490627</v>
      </c>
      <c r="BA82" s="8">
        <v>222615858978</v>
      </c>
      <c r="BB82" s="8">
        <v>269555093091</v>
      </c>
      <c r="BC82" s="8">
        <v>336470011934</v>
      </c>
      <c r="BD82" s="8">
        <v>383542692015</v>
      </c>
      <c r="BE82" s="8">
        <v>412452200169</v>
      </c>
      <c r="BF82" s="8">
        <v>397016809667</v>
      </c>
      <c r="BG82" s="8">
        <v>456883837461</v>
      </c>
      <c r="BH82" s="8">
        <v>455472175159</v>
      </c>
      <c r="BI82" s="8">
        <v>414576062308</v>
      </c>
      <c r="BJ82" s="8">
        <v>397334986611</v>
      </c>
      <c r="BK82" s="8">
        <v>385521303731</v>
      </c>
      <c r="BL82" s="8">
        <v>332763448171</v>
      </c>
      <c r="BM82" s="8">
        <v>360618515191</v>
      </c>
      <c r="BN82" s="8">
        <v>326345040700</v>
      </c>
      <c r="BO82" s="8">
        <v>303579055875</v>
      </c>
      <c r="BP82" s="8">
        <v>374252871584</v>
      </c>
      <c r="BQ82" s="8">
        <v>431216915015</v>
      </c>
      <c r="BR82" s="8"/>
      <c r="BS82" s="8"/>
      <c r="BT82" s="8"/>
      <c r="BU82" s="8"/>
      <c r="BV82" s="8"/>
      <c r="BW82" s="8"/>
    </row>
    <row r="83" spans="1:75" ht="15" customHeight="1">
      <c r="A83" s="75">
        <v>80</v>
      </c>
      <c r="B83" s="70" t="s">
        <v>340</v>
      </c>
      <c r="C83" s="75">
        <v>5</v>
      </c>
      <c r="D83" s="5">
        <v>15168675833</v>
      </c>
      <c r="E83" s="5">
        <v>14359854491</v>
      </c>
      <c r="F83" s="5">
        <v>18701743229</v>
      </c>
      <c r="G83" s="5">
        <v>25308204205</v>
      </c>
      <c r="H83" s="5">
        <v>25548631423</v>
      </c>
      <c r="I83" s="5">
        <v>25462777121</v>
      </c>
      <c r="J83" s="5">
        <v>28622839037</v>
      </c>
      <c r="K83" s="5">
        <v>24869327352</v>
      </c>
      <c r="L83" s="5">
        <v>29301775520</v>
      </c>
      <c r="M83" s="5">
        <v>24093386856</v>
      </c>
      <c r="N83" s="5">
        <v>29498540050</v>
      </c>
      <c r="O83" s="5">
        <v>26338963896</v>
      </c>
      <c r="P83" s="5">
        <v>32049566896</v>
      </c>
      <c r="Q83" s="5">
        <v>31096887926</v>
      </c>
      <c r="R83" s="5">
        <v>31185669667</v>
      </c>
      <c r="S83" s="5">
        <v>54884247810</v>
      </c>
      <c r="T83" s="5">
        <v>55358789337</v>
      </c>
      <c r="U83" s="5">
        <v>62344222537</v>
      </c>
      <c r="V83" s="5">
        <v>47997206480</v>
      </c>
      <c r="W83" s="5">
        <v>66485378318</v>
      </c>
      <c r="X83" s="5">
        <v>71872814743</v>
      </c>
      <c r="Y83" s="5">
        <v>69673599368</v>
      </c>
      <c r="Z83" s="5">
        <v>70455479045</v>
      </c>
      <c r="AA83" s="5">
        <v>142920124753</v>
      </c>
      <c r="AB83" s="5">
        <v>138065007483</v>
      </c>
      <c r="AC83" s="5">
        <v>145415894312</v>
      </c>
      <c r="AD83" s="5">
        <v>131402790374</v>
      </c>
      <c r="AE83" s="5">
        <v>107639103902</v>
      </c>
      <c r="AF83" s="5">
        <v>93794952882</v>
      </c>
      <c r="AG83" s="5">
        <v>110836142616</v>
      </c>
      <c r="AH83" s="5">
        <v>126347157250</v>
      </c>
      <c r="AI83" s="5">
        <v>94984750763</v>
      </c>
      <c r="AJ83" s="5">
        <v>56029716733</v>
      </c>
      <c r="AK83" s="5">
        <v>91517924295</v>
      </c>
      <c r="AL83" s="5">
        <v>116947497053</v>
      </c>
      <c r="AM83" s="5">
        <f>SUM(AM84:AM98)</f>
        <v>150684629953</v>
      </c>
      <c r="AN83" s="5">
        <v>176322036564</v>
      </c>
      <c r="AO83" s="5">
        <v>165479805632</v>
      </c>
      <c r="AP83" s="5">
        <v>214267710664</v>
      </c>
      <c r="AQ83" s="5">
        <v>273737345975</v>
      </c>
      <c r="AR83" s="5">
        <v>329588242794</v>
      </c>
      <c r="AS83" s="5">
        <v>367721787447</v>
      </c>
      <c r="AT83" s="5">
        <v>328736442804</v>
      </c>
      <c r="AU83" s="5">
        <v>286316076697</v>
      </c>
      <c r="AV83" s="5">
        <v>316799865587</v>
      </c>
      <c r="AW83" s="5">
        <v>341708523175</v>
      </c>
      <c r="AX83" s="5">
        <v>396620697059</v>
      </c>
      <c r="AY83" s="6">
        <v>316029265342</v>
      </c>
      <c r="AZ83" s="6">
        <v>216100148681</v>
      </c>
      <c r="BA83" s="6">
        <v>118453354810</v>
      </c>
      <c r="BB83" s="6">
        <v>166229366701</v>
      </c>
      <c r="BC83" s="6">
        <v>234217256714</v>
      </c>
      <c r="BD83" s="6">
        <v>285537774573</v>
      </c>
      <c r="BE83" s="6">
        <v>335330408775</v>
      </c>
      <c r="BF83" s="6">
        <v>320967989443</v>
      </c>
      <c r="BG83" s="6">
        <v>382420327015</v>
      </c>
      <c r="BH83" s="6">
        <v>381845442491</v>
      </c>
      <c r="BI83" s="6">
        <v>346002928366</v>
      </c>
      <c r="BJ83" s="6">
        <v>327703613669</v>
      </c>
      <c r="BK83" s="6">
        <v>335139049377</v>
      </c>
      <c r="BL83" s="6">
        <v>283290606756</v>
      </c>
      <c r="BM83" s="6">
        <v>289218173776</v>
      </c>
      <c r="BN83" s="6">
        <v>246244699285</v>
      </c>
      <c r="BO83" s="6">
        <v>223478714460</v>
      </c>
      <c r="BP83" s="6">
        <v>219319635169</v>
      </c>
      <c r="BQ83" s="6">
        <v>276283678600</v>
      </c>
      <c r="BR83" s="6"/>
      <c r="BS83" s="6"/>
      <c r="BT83" s="6"/>
      <c r="BU83" s="6"/>
      <c r="BV83" s="6"/>
      <c r="BW83" s="6"/>
    </row>
    <row r="84" spans="1:75" ht="15" customHeight="1">
      <c r="A84" s="71">
        <v>81</v>
      </c>
      <c r="B84" s="91" t="s">
        <v>103</v>
      </c>
      <c r="C84" s="71">
        <v>5</v>
      </c>
      <c r="D84" s="3">
        <v>7869147564</v>
      </c>
      <c r="E84" s="3">
        <v>7031630489</v>
      </c>
      <c r="F84" s="3">
        <v>9384469882</v>
      </c>
      <c r="G84" s="3">
        <v>14083960588</v>
      </c>
      <c r="H84" s="3">
        <v>21369809301</v>
      </c>
      <c r="I84" s="3">
        <v>20879785099</v>
      </c>
      <c r="J84" s="3">
        <v>21923728968</v>
      </c>
      <c r="K84" s="3">
        <v>18499116244</v>
      </c>
      <c r="L84" s="3">
        <v>22304923039</v>
      </c>
      <c r="M84" s="3">
        <v>18478287536</v>
      </c>
      <c r="N84" s="3">
        <v>21665123801</v>
      </c>
      <c r="O84" s="3">
        <v>20643717339</v>
      </c>
      <c r="P84" s="3">
        <v>18933200262</v>
      </c>
      <c r="Q84" s="3">
        <v>16637008012</v>
      </c>
      <c r="R84" s="3">
        <v>14159563168</v>
      </c>
      <c r="S84" s="3">
        <v>12827193363</v>
      </c>
      <c r="T84" s="3">
        <v>21388038259</v>
      </c>
      <c r="U84" s="3">
        <v>30408231864</v>
      </c>
      <c r="V84" s="3">
        <v>25547136426</v>
      </c>
      <c r="W84" s="3">
        <v>22632581849</v>
      </c>
      <c r="X84" s="3">
        <v>33200101862</v>
      </c>
      <c r="Y84" s="3">
        <v>34152280248</v>
      </c>
      <c r="Z84" s="3">
        <v>34183119345</v>
      </c>
      <c r="AA84" s="3">
        <v>54715201675</v>
      </c>
      <c r="AB84" s="3">
        <v>37263084219</v>
      </c>
      <c r="AC84" s="3">
        <v>45267228558</v>
      </c>
      <c r="AD84" s="3">
        <v>55217890739</v>
      </c>
      <c r="AE84" s="3">
        <v>48398479428</v>
      </c>
      <c r="AF84" s="3">
        <v>52963055109</v>
      </c>
      <c r="AG84" s="3">
        <v>63609921991</v>
      </c>
      <c r="AH84" s="3">
        <v>75516302247</v>
      </c>
      <c r="AI84" s="3">
        <v>72059615531</v>
      </c>
      <c r="AJ84" s="3">
        <v>23842169712</v>
      </c>
      <c r="AK84" s="3">
        <v>35852278853</v>
      </c>
      <c r="AL84" s="3">
        <v>31442797226</v>
      </c>
      <c r="AM84" s="3">
        <v>72583785390</v>
      </c>
      <c r="AN84" s="3">
        <v>54353400004</v>
      </c>
      <c r="AO84" s="3">
        <v>57459904781</v>
      </c>
      <c r="AP84" s="3">
        <v>71666676062</v>
      </c>
      <c r="AQ84" s="3">
        <v>72717166254</v>
      </c>
      <c r="AR84" s="3">
        <v>82570066775</v>
      </c>
      <c r="AS84" s="3">
        <v>116097944870</v>
      </c>
      <c r="AT84" s="3">
        <v>90497312556</v>
      </c>
      <c r="AU84" s="3">
        <v>104998329522</v>
      </c>
      <c r="AV84" s="3">
        <v>141548339763</v>
      </c>
      <c r="AW84" s="3">
        <v>140860659227</v>
      </c>
      <c r="AX84" s="3">
        <v>150120296949</v>
      </c>
      <c r="AY84" s="3">
        <v>38854336196</v>
      </c>
      <c r="AZ84" s="3">
        <v>17080396612</v>
      </c>
      <c r="BA84" s="3">
        <v>15854922544</v>
      </c>
      <c r="BB84" s="3">
        <v>36651877076</v>
      </c>
      <c r="BC84" s="3">
        <v>36646554722</v>
      </c>
      <c r="BD84" s="3">
        <v>36688096679</v>
      </c>
      <c r="BE84" s="3">
        <v>50235234736</v>
      </c>
      <c r="BF84" s="3">
        <v>4297727379</v>
      </c>
      <c r="BG84" s="3">
        <v>15019964770</v>
      </c>
      <c r="BH84" s="3">
        <v>22979794050</v>
      </c>
      <c r="BI84" s="3">
        <v>34152918116</v>
      </c>
      <c r="BJ84" s="3">
        <v>22550645996</v>
      </c>
      <c r="BK84" s="3">
        <v>15762773405</v>
      </c>
      <c r="BL84" s="3">
        <v>12939623311</v>
      </c>
      <c r="BM84" s="3">
        <v>16340093986</v>
      </c>
      <c r="BN84" s="3">
        <v>28822406885</v>
      </c>
      <c r="BO84" s="3">
        <v>28647773855</v>
      </c>
      <c r="BP84" s="3">
        <v>51638550700</v>
      </c>
      <c r="BQ84" s="3">
        <v>61275711917</v>
      </c>
      <c r="BR84" s="3"/>
      <c r="BS84" s="3"/>
      <c r="BT84" s="3"/>
      <c r="BU84" s="3"/>
      <c r="BV84" s="3"/>
      <c r="BW84" s="3"/>
    </row>
    <row r="85" spans="1:75" ht="15" customHeight="1">
      <c r="A85" s="71">
        <v>82</v>
      </c>
      <c r="B85" s="91" t="s">
        <v>104</v>
      </c>
      <c r="C85" s="71">
        <v>5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17818880422</v>
      </c>
      <c r="X85" s="3">
        <v>11349591484</v>
      </c>
      <c r="Y85" s="3">
        <v>7264641138</v>
      </c>
      <c r="Z85" s="3">
        <v>5998683900</v>
      </c>
      <c r="AA85" s="3">
        <v>0</v>
      </c>
      <c r="AB85" s="3">
        <v>0</v>
      </c>
      <c r="AC85" s="3">
        <v>0</v>
      </c>
      <c r="AD85" s="3">
        <v>7673599840</v>
      </c>
      <c r="AE85" s="3">
        <v>32041236730</v>
      </c>
      <c r="AF85" s="3">
        <v>24658895322</v>
      </c>
      <c r="AG85" s="3">
        <v>24848124028</v>
      </c>
      <c r="AH85" s="3">
        <v>25851353102</v>
      </c>
      <c r="AI85" s="3">
        <v>218095380</v>
      </c>
      <c r="AJ85" s="3">
        <v>1665987985</v>
      </c>
      <c r="AK85" s="3">
        <v>1665987985</v>
      </c>
      <c r="AL85" s="3">
        <v>23030226075</v>
      </c>
      <c r="AM85" s="3">
        <v>18217851600</v>
      </c>
      <c r="AN85" s="3">
        <v>4031903040</v>
      </c>
      <c r="AO85" s="3">
        <v>0</v>
      </c>
      <c r="AP85" s="3">
        <v>-540918440</v>
      </c>
      <c r="AQ85" s="3">
        <v>4278155246</v>
      </c>
      <c r="AR85" s="3">
        <v>14749203650</v>
      </c>
      <c r="AS85" s="3">
        <v>36030101433</v>
      </c>
      <c r="AT85" s="3">
        <v>34757495667</v>
      </c>
      <c r="AU85" s="3">
        <v>14991723009</v>
      </c>
      <c r="AV85" s="3">
        <v>39469513</v>
      </c>
      <c r="AW85" s="3">
        <v>9371572336</v>
      </c>
      <c r="AX85" s="3">
        <v>34895916928</v>
      </c>
      <c r="AY85" s="3">
        <v>41546475913</v>
      </c>
      <c r="AZ85" s="3">
        <v>33988016157</v>
      </c>
      <c r="BA85" s="3">
        <v>18937903421</v>
      </c>
      <c r="BB85" s="3">
        <v>15058088135</v>
      </c>
      <c r="BC85" s="3">
        <v>3447698110</v>
      </c>
      <c r="BD85" s="3">
        <v>75365353</v>
      </c>
      <c r="BE85" s="3">
        <v>14926125753</v>
      </c>
      <c r="BF85" s="3">
        <v>23340035157</v>
      </c>
      <c r="BG85" s="3">
        <v>20961721533</v>
      </c>
      <c r="BH85" s="3">
        <v>14431985238</v>
      </c>
      <c r="BI85" s="3">
        <v>8912711658</v>
      </c>
      <c r="BJ85" s="3">
        <v>5995670638</v>
      </c>
      <c r="BK85" s="3">
        <v>17509392514</v>
      </c>
      <c r="BL85" s="3">
        <v>11995200530</v>
      </c>
      <c r="BM85" s="3">
        <v>6213138401</v>
      </c>
      <c r="BN85" s="3">
        <v>6298509550</v>
      </c>
      <c r="BO85" s="3">
        <v>10025771454</v>
      </c>
      <c r="BP85" s="3">
        <v>14080108614</v>
      </c>
      <c r="BQ85" s="3">
        <v>34213188294</v>
      </c>
      <c r="BR85" s="3"/>
      <c r="BS85" s="3"/>
      <c r="BT85" s="3"/>
      <c r="BU85" s="3"/>
      <c r="BV85" s="3"/>
      <c r="BW85" s="3"/>
    </row>
    <row r="86" spans="1:75" ht="15" customHeight="1">
      <c r="A86" s="71">
        <v>83</v>
      </c>
      <c r="B86" s="91" t="s">
        <v>105</v>
      </c>
      <c r="C86" s="71">
        <v>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 ht="15" customHeight="1">
      <c r="A87" s="71">
        <v>84</v>
      </c>
      <c r="B87" s="91" t="s">
        <v>106</v>
      </c>
      <c r="C87" s="71">
        <v>5</v>
      </c>
      <c r="D87" s="3">
        <v>134897786</v>
      </c>
      <c r="E87" s="3">
        <v>169163266</v>
      </c>
      <c r="F87" s="3">
        <v>285299970</v>
      </c>
      <c r="G87" s="3">
        <v>371612610</v>
      </c>
      <c r="H87" s="3">
        <v>407631656</v>
      </c>
      <c r="I87" s="3">
        <v>491580057</v>
      </c>
      <c r="J87" s="3">
        <v>2926207394</v>
      </c>
      <c r="K87" s="3">
        <v>3089788816</v>
      </c>
      <c r="L87" s="3">
        <v>3517318240</v>
      </c>
      <c r="M87" s="3">
        <v>709335738</v>
      </c>
      <c r="N87" s="3">
        <v>741628871</v>
      </c>
      <c r="O87" s="3">
        <v>74374300</v>
      </c>
      <c r="P87" s="3">
        <v>1022113431</v>
      </c>
      <c r="Q87" s="3">
        <v>988086773</v>
      </c>
      <c r="R87" s="3">
        <v>942371452</v>
      </c>
      <c r="S87" s="3">
        <v>1129056403</v>
      </c>
      <c r="T87" s="3">
        <v>1640392841</v>
      </c>
      <c r="U87" s="3">
        <v>1852669874</v>
      </c>
      <c r="V87" s="3">
        <v>1157754100</v>
      </c>
      <c r="W87" s="3">
        <v>1921380863</v>
      </c>
      <c r="X87" s="3">
        <v>2208331209</v>
      </c>
      <c r="Y87" s="3">
        <v>1347620221</v>
      </c>
      <c r="Z87" s="3">
        <v>1891903018</v>
      </c>
      <c r="AA87" s="3">
        <v>17285052915</v>
      </c>
      <c r="AB87" s="3">
        <v>17887360770</v>
      </c>
      <c r="AC87" s="3">
        <v>4697672280</v>
      </c>
      <c r="AD87" s="3">
        <v>4813106718</v>
      </c>
      <c r="AE87" s="3">
        <v>0</v>
      </c>
      <c r="AF87" s="3">
        <v>0</v>
      </c>
      <c r="AG87" s="3">
        <v>3263749312</v>
      </c>
      <c r="AH87" s="3">
        <v>4153075475</v>
      </c>
      <c r="AI87" s="3">
        <v>6695983130</v>
      </c>
      <c r="AJ87" s="3">
        <v>11255215323</v>
      </c>
      <c r="AK87" s="3">
        <v>14752310408</v>
      </c>
      <c r="AL87" s="3">
        <v>16565877384</v>
      </c>
      <c r="AM87" s="3">
        <v>8313923152</v>
      </c>
      <c r="AN87" s="3">
        <v>8898739732</v>
      </c>
      <c r="AO87" s="3">
        <v>1567041590</v>
      </c>
      <c r="AP87" s="3">
        <v>1567041590</v>
      </c>
      <c r="AQ87" s="3">
        <v>145412873</v>
      </c>
      <c r="AR87" s="3">
        <v>2526331</v>
      </c>
      <c r="AS87" s="3">
        <v>17283890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7646385732</v>
      </c>
      <c r="AZ87" s="3">
        <v>2773116077</v>
      </c>
      <c r="BA87" s="3">
        <v>4518229531</v>
      </c>
      <c r="BB87" s="3">
        <v>6886686516</v>
      </c>
      <c r="BC87" s="3">
        <v>7470833894</v>
      </c>
      <c r="BD87" s="3">
        <v>12458087898</v>
      </c>
      <c r="BE87" s="3">
        <v>9494100798</v>
      </c>
      <c r="BF87" s="3">
        <v>5591611785</v>
      </c>
      <c r="BG87" s="3">
        <v>5843676544</v>
      </c>
      <c r="BH87" s="3">
        <v>4494183632</v>
      </c>
      <c r="BI87" s="3">
        <v>3950455452</v>
      </c>
      <c r="BJ87" s="3">
        <v>3074628856</v>
      </c>
      <c r="BK87" s="3">
        <v>6575593057</v>
      </c>
      <c r="BL87" s="3">
        <v>2125485230</v>
      </c>
      <c r="BM87" s="3">
        <v>2202657518</v>
      </c>
      <c r="BN87" s="3">
        <v>687237014</v>
      </c>
      <c r="BO87" s="3">
        <v>681723426</v>
      </c>
      <c r="BP87" s="3">
        <v>841764804</v>
      </c>
      <c r="BQ87" s="3">
        <v>1683178383</v>
      </c>
      <c r="BR87" s="3"/>
      <c r="BS87" s="3"/>
      <c r="BT87" s="3"/>
      <c r="BU87" s="3"/>
      <c r="BV87" s="3"/>
      <c r="BW87" s="3"/>
    </row>
    <row r="88" spans="1:75" ht="15" customHeight="1">
      <c r="A88" s="71">
        <v>85</v>
      </c>
      <c r="B88" s="91" t="s">
        <v>107</v>
      </c>
      <c r="C88" s="71">
        <v>5</v>
      </c>
      <c r="D88" s="3">
        <v>554968182</v>
      </c>
      <c r="E88" s="3">
        <v>697343066</v>
      </c>
      <c r="F88" s="3">
        <v>721543641</v>
      </c>
      <c r="G88" s="3">
        <v>1063497666</v>
      </c>
      <c r="H88" s="3">
        <v>993181301</v>
      </c>
      <c r="I88" s="3">
        <v>785433523</v>
      </c>
      <c r="J88" s="3">
        <v>462948488</v>
      </c>
      <c r="K88" s="3">
        <v>321083094</v>
      </c>
      <c r="L88" s="3">
        <v>355426673</v>
      </c>
      <c r="M88" s="3">
        <v>831001268</v>
      </c>
      <c r="N88" s="3">
        <v>1220531394</v>
      </c>
      <c r="O88" s="3">
        <v>1349347609</v>
      </c>
      <c r="P88" s="3">
        <v>350104810</v>
      </c>
      <c r="Q88" s="3">
        <v>1486935780</v>
      </c>
      <c r="R88" s="3">
        <v>1822214959</v>
      </c>
      <c r="S88" s="3">
        <v>2326143380</v>
      </c>
      <c r="T88" s="3">
        <v>2370944746</v>
      </c>
      <c r="U88" s="3">
        <v>2642569462</v>
      </c>
      <c r="V88" s="3">
        <v>2437166002</v>
      </c>
      <c r="W88" s="3">
        <v>2934192885</v>
      </c>
      <c r="X88" s="3">
        <v>3166789067</v>
      </c>
      <c r="Y88" s="3">
        <v>3369909455</v>
      </c>
      <c r="Z88" s="3">
        <v>3625277741</v>
      </c>
      <c r="AA88" s="3">
        <v>5816094573</v>
      </c>
      <c r="AB88" s="3">
        <v>4202914580</v>
      </c>
      <c r="AC88" s="3">
        <v>4010590788</v>
      </c>
      <c r="AD88" s="3">
        <v>4184221690</v>
      </c>
      <c r="AE88" s="3">
        <v>5033150240</v>
      </c>
      <c r="AF88" s="3">
        <v>5048649993</v>
      </c>
      <c r="AG88" s="3">
        <v>5133281084</v>
      </c>
      <c r="AH88" s="3">
        <v>5076894562</v>
      </c>
      <c r="AI88" s="3">
        <v>0</v>
      </c>
      <c r="AJ88" s="3">
        <v>5397181503</v>
      </c>
      <c r="AK88" s="3">
        <v>5352208319</v>
      </c>
      <c r="AL88" s="3">
        <v>5475786153</v>
      </c>
      <c r="AM88" s="3">
        <v>9617654559</v>
      </c>
      <c r="AN88" s="3">
        <v>10128031033</v>
      </c>
      <c r="AO88" s="3">
        <v>6218009406</v>
      </c>
      <c r="AP88" s="3">
        <v>6555513609</v>
      </c>
      <c r="AQ88" s="3">
        <v>7649364322</v>
      </c>
      <c r="AR88" s="3">
        <v>7249642948</v>
      </c>
      <c r="AS88" s="3">
        <v>7169425301</v>
      </c>
      <c r="AT88" s="3">
        <v>6912460758</v>
      </c>
      <c r="AU88" s="3">
        <v>456962693</v>
      </c>
      <c r="AV88" s="3">
        <v>7439470114</v>
      </c>
      <c r="AW88" s="3">
        <v>7375957571</v>
      </c>
      <c r="AX88" s="3">
        <v>7548660274</v>
      </c>
      <c r="AY88" s="3">
        <v>11760267089</v>
      </c>
      <c r="AZ88" s="3">
        <v>7452851745</v>
      </c>
      <c r="BA88" s="3">
        <v>7981672191</v>
      </c>
      <c r="BB88" s="3">
        <v>8135040430</v>
      </c>
      <c r="BC88" s="3">
        <v>505632229</v>
      </c>
      <c r="BD88" s="3">
        <v>9296428166</v>
      </c>
      <c r="BE88" s="3">
        <v>9543385489</v>
      </c>
      <c r="BF88" s="3">
        <v>9205268728</v>
      </c>
      <c r="BG88" s="3">
        <v>9535380096</v>
      </c>
      <c r="BH88" s="3">
        <v>10074815641</v>
      </c>
      <c r="BI88" s="3">
        <v>9365267323</v>
      </c>
      <c r="BJ88" s="3">
        <v>9132322907</v>
      </c>
      <c r="BK88" s="3">
        <v>9289786517</v>
      </c>
      <c r="BL88" s="3">
        <v>17091977517</v>
      </c>
      <c r="BM88" s="3">
        <v>8616217662</v>
      </c>
      <c r="BN88" s="3">
        <v>8622933213</v>
      </c>
      <c r="BO88" s="3">
        <v>10380484365</v>
      </c>
      <c r="BP88" s="3">
        <v>8734302003</v>
      </c>
      <c r="BQ88" s="3">
        <v>9489882545</v>
      </c>
      <c r="BR88" s="3"/>
      <c r="BS88" s="3"/>
      <c r="BT88" s="3"/>
      <c r="BU88" s="3"/>
      <c r="BV88" s="3"/>
      <c r="BW88" s="3"/>
    </row>
    <row r="89" spans="1:75" ht="15" customHeight="1">
      <c r="A89" s="71">
        <v>86</v>
      </c>
      <c r="B89" s="91" t="s">
        <v>108</v>
      </c>
      <c r="C89" s="71">
        <v>5</v>
      </c>
      <c r="D89" s="3">
        <v>5012567515</v>
      </c>
      <c r="E89" s="3">
        <v>4797839634</v>
      </c>
      <c r="F89" s="3">
        <v>4880030620</v>
      </c>
      <c r="G89" s="3">
        <v>5018671303</v>
      </c>
      <c r="H89" s="3">
        <v>835966829</v>
      </c>
      <c r="I89" s="3">
        <v>999809780</v>
      </c>
      <c r="J89" s="3">
        <v>1109469583</v>
      </c>
      <c r="K89" s="3">
        <v>1221142152</v>
      </c>
      <c r="L89" s="3">
        <v>1272568188</v>
      </c>
      <c r="M89" s="3">
        <v>2211932934</v>
      </c>
      <c r="N89" s="3">
        <v>2026624454</v>
      </c>
      <c r="O89" s="3">
        <v>1946017852</v>
      </c>
      <c r="P89" s="3">
        <v>1064762807</v>
      </c>
      <c r="Q89" s="3">
        <v>1289758349</v>
      </c>
      <c r="R89" s="3">
        <v>2474115112</v>
      </c>
      <c r="S89" s="3">
        <v>5062905478</v>
      </c>
      <c r="T89" s="3">
        <v>3538939169</v>
      </c>
      <c r="U89" s="3">
        <v>1614653991</v>
      </c>
      <c r="V89" s="3">
        <v>2578607052</v>
      </c>
      <c r="W89" s="3">
        <v>2478285320</v>
      </c>
      <c r="X89" s="3">
        <v>3238570913</v>
      </c>
      <c r="Y89" s="3">
        <v>3906544866</v>
      </c>
      <c r="Z89" s="3">
        <v>4511880014</v>
      </c>
      <c r="AA89" s="3">
        <v>3428704752</v>
      </c>
      <c r="AB89" s="3">
        <v>776003978</v>
      </c>
      <c r="AC89" s="3">
        <v>1754256892</v>
      </c>
      <c r="AD89" s="3">
        <v>2747112908</v>
      </c>
      <c r="AE89" s="3">
        <v>3088774819</v>
      </c>
      <c r="AF89" s="3">
        <v>4260551218</v>
      </c>
      <c r="AG89" s="3">
        <v>4913789642</v>
      </c>
      <c r="AH89" s="3">
        <v>5981449353</v>
      </c>
      <c r="AI89" s="3">
        <v>7240095424</v>
      </c>
      <c r="AJ89" s="3">
        <v>8362193377</v>
      </c>
      <c r="AK89" s="3">
        <v>9183985999</v>
      </c>
      <c r="AL89" s="3">
        <v>11973366181</v>
      </c>
      <c r="AM89" s="3">
        <v>16002159781</v>
      </c>
      <c r="AN89" s="3">
        <v>15355121373</v>
      </c>
      <c r="AO89" s="3">
        <v>22067539102</v>
      </c>
      <c r="AP89" s="3">
        <v>6522564543</v>
      </c>
      <c r="AQ89" s="3">
        <v>16391725866</v>
      </c>
      <c r="AR89" s="3">
        <v>25887367165</v>
      </c>
      <c r="AS89" s="3">
        <v>8854068160</v>
      </c>
      <c r="AT89" s="3">
        <v>18522703687</v>
      </c>
      <c r="AU89" s="3">
        <v>31289196795</v>
      </c>
      <c r="AV89" s="3">
        <v>16810846632</v>
      </c>
      <c r="AW89" s="3">
        <v>24050388306</v>
      </c>
      <c r="AX89" s="3">
        <v>32028968920</v>
      </c>
      <c r="AY89" s="3">
        <v>16521426792</v>
      </c>
      <c r="AZ89" s="3">
        <v>12992485838</v>
      </c>
      <c r="BA89" s="3">
        <v>18140837282</v>
      </c>
      <c r="BB89" s="3">
        <v>-6247336694</v>
      </c>
      <c r="BC89" s="3">
        <v>-4221870182</v>
      </c>
      <c r="BD89" s="3">
        <v>-636813506</v>
      </c>
      <c r="BE89" s="3">
        <v>209989120</v>
      </c>
      <c r="BF89" s="3">
        <v>16596396339</v>
      </c>
      <c r="BG89" s="3">
        <v>22300697137</v>
      </c>
      <c r="BH89" s="3">
        <v>15233456716</v>
      </c>
      <c r="BI89" s="3">
        <v>21020315535</v>
      </c>
      <c r="BJ89" s="3">
        <v>25722544862</v>
      </c>
      <c r="BK89" s="3">
        <v>18860860041</v>
      </c>
      <c r="BL89" s="3">
        <v>17463423609</v>
      </c>
      <c r="BM89" s="3">
        <v>17173577929</v>
      </c>
      <c r="BN89" s="3">
        <v>16192573933</v>
      </c>
      <c r="BO89" s="3">
        <v>20408777583</v>
      </c>
      <c r="BP89" s="3">
        <v>21161124363</v>
      </c>
      <c r="BQ89" s="3">
        <v>22511017257</v>
      </c>
      <c r="BR89" s="3"/>
      <c r="BS89" s="3"/>
      <c r="BT89" s="3"/>
      <c r="BU89" s="3"/>
      <c r="BV89" s="3"/>
      <c r="BW89" s="3"/>
    </row>
    <row r="90" spans="1:75" ht="15" customHeight="1">
      <c r="A90" s="71">
        <v>87</v>
      </c>
      <c r="B90" s="91" t="s">
        <v>109</v>
      </c>
      <c r="C90" s="71">
        <v>5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 ht="15" customHeight="1">
      <c r="A91" s="71">
        <v>88</v>
      </c>
      <c r="B91" s="91" t="s">
        <v>110</v>
      </c>
      <c r="C91" s="71">
        <v>5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/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 ht="15" customHeight="1">
      <c r="A92" s="71">
        <v>89</v>
      </c>
      <c r="B92" s="91" t="s">
        <v>111</v>
      </c>
      <c r="C92" s="71">
        <v>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 ht="15" customHeight="1">
      <c r="A93" s="71">
        <v>90</v>
      </c>
      <c r="B93" s="91" t="s">
        <v>112</v>
      </c>
      <c r="C93" s="71">
        <v>5</v>
      </c>
      <c r="D93" s="3">
        <v>100376455</v>
      </c>
      <c r="E93" s="3">
        <v>167159705</v>
      </c>
      <c r="F93" s="3">
        <v>1933680785</v>
      </c>
      <c r="G93" s="3">
        <v>3273743707</v>
      </c>
      <c r="H93" s="3">
        <v>445324005</v>
      </c>
      <c r="I93" s="3">
        <v>809450331</v>
      </c>
      <c r="J93" s="3">
        <v>703766273</v>
      </c>
      <c r="K93" s="3">
        <v>241478715</v>
      </c>
      <c r="L93" s="3">
        <v>354821049</v>
      </c>
      <c r="M93" s="3">
        <v>366111049</v>
      </c>
      <c r="N93" s="3">
        <v>2347913199</v>
      </c>
      <c r="O93" s="3">
        <v>828788465</v>
      </c>
      <c r="P93" s="3">
        <v>5202594805</v>
      </c>
      <c r="Q93" s="3">
        <v>5218308231</v>
      </c>
      <c r="R93" s="3">
        <v>6310614195</v>
      </c>
      <c r="S93" s="3">
        <v>28027064445</v>
      </c>
      <c r="T93" s="3">
        <v>20908589581</v>
      </c>
      <c r="U93" s="3">
        <v>20314212605</v>
      </c>
      <c r="V93" s="3">
        <v>6764658159</v>
      </c>
      <c r="W93" s="3">
        <v>9188172238</v>
      </c>
      <c r="X93" s="3">
        <v>10197545467</v>
      </c>
      <c r="Y93" s="3">
        <v>11120718699</v>
      </c>
      <c r="Z93" s="3">
        <v>11732730286</v>
      </c>
      <c r="AA93" s="3">
        <v>56163186097</v>
      </c>
      <c r="AB93" s="3">
        <v>76788925605</v>
      </c>
      <c r="AC93" s="3">
        <v>79268841408</v>
      </c>
      <c r="AD93" s="3">
        <v>43184479917</v>
      </c>
      <c r="AE93" s="3">
        <v>5718178285</v>
      </c>
      <c r="AF93" s="3">
        <v>6180566740</v>
      </c>
      <c r="AG93" s="3">
        <v>8625319144</v>
      </c>
      <c r="AH93" s="3">
        <v>9578297644</v>
      </c>
      <c r="AI93" s="3">
        <v>3967521436</v>
      </c>
      <c r="AJ93" s="3">
        <v>4407617246</v>
      </c>
      <c r="AK93" s="3">
        <v>19650158527</v>
      </c>
      <c r="AL93" s="3">
        <v>14984940324</v>
      </c>
      <c r="AM93" s="3">
        <v>1228291395</v>
      </c>
      <c r="AN93" s="3">
        <v>20355282311</v>
      </c>
      <c r="AO93" s="3">
        <v>20072661932</v>
      </c>
      <c r="AP93" s="3">
        <v>26417436937</v>
      </c>
      <c r="AQ93" s="3">
        <v>27331419185</v>
      </c>
      <c r="AR93" s="3">
        <v>19976705931</v>
      </c>
      <c r="AS93" s="3">
        <v>8557631012</v>
      </c>
      <c r="AT93" s="3">
        <v>8921341505</v>
      </c>
      <c r="AU93" s="3">
        <v>8305034290</v>
      </c>
      <c r="AV93" s="3">
        <v>10611497755</v>
      </c>
      <c r="AW93" s="3">
        <v>3332301431</v>
      </c>
      <c r="AX93" s="3">
        <v>5092624624</v>
      </c>
      <c r="AY93" s="3">
        <v>5848302182</v>
      </c>
      <c r="AZ93" s="3">
        <v>5950478281</v>
      </c>
      <c r="BA93" s="3">
        <v>8480710843</v>
      </c>
      <c r="BB93" s="3">
        <v>6827325037</v>
      </c>
      <c r="BC93" s="3">
        <v>16529834801</v>
      </c>
      <c r="BD93" s="3">
        <v>26083619575</v>
      </c>
      <c r="BE93" s="3">
        <v>11626227888</v>
      </c>
      <c r="BF93" s="3">
        <v>10463806809</v>
      </c>
      <c r="BG93" s="3">
        <v>13245650719</v>
      </c>
      <c r="BH93" s="3">
        <v>3578074988</v>
      </c>
      <c r="BI93" s="3">
        <v>3829811224</v>
      </c>
      <c r="BJ93" s="3">
        <v>5090463265</v>
      </c>
      <c r="BK93" s="3">
        <v>3480132139</v>
      </c>
      <c r="BL93" s="3">
        <v>3689065948</v>
      </c>
      <c r="BM93" s="3">
        <v>5696728028</v>
      </c>
      <c r="BN93" s="3">
        <v>3793714105</v>
      </c>
      <c r="BO93" s="3">
        <v>3685561052</v>
      </c>
      <c r="BP93" s="3">
        <v>4140002885</v>
      </c>
      <c r="BQ93" s="3">
        <v>5089506387</v>
      </c>
      <c r="BR93" s="3"/>
      <c r="BS93" s="3"/>
      <c r="BT93" s="3"/>
      <c r="BU93" s="3"/>
      <c r="BV93" s="3"/>
      <c r="BW93" s="3"/>
    </row>
    <row r="94" spans="1:75" ht="15" customHeight="1">
      <c r="A94" s="71">
        <v>91</v>
      </c>
      <c r="B94" s="91" t="s">
        <v>113</v>
      </c>
      <c r="C94" s="71">
        <v>5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4330072450</v>
      </c>
      <c r="Q94" s="3">
        <v>4330072450</v>
      </c>
      <c r="R94" s="3">
        <v>4330072450</v>
      </c>
      <c r="S94" s="3">
        <v>4365166410</v>
      </c>
      <c r="T94" s="3">
        <v>4365166410</v>
      </c>
      <c r="U94" s="3">
        <v>4365166410</v>
      </c>
      <c r="V94" s="3">
        <v>8365166410</v>
      </c>
      <c r="W94" s="3">
        <v>8365166410</v>
      </c>
      <c r="X94" s="3">
        <v>7365166410</v>
      </c>
      <c r="Y94" s="3">
        <v>7365166410</v>
      </c>
      <c r="Z94" s="3">
        <v>7365166410</v>
      </c>
      <c r="AA94" s="3">
        <v>4365166410</v>
      </c>
      <c r="AB94" s="3">
        <v>0</v>
      </c>
      <c r="AC94" s="3">
        <v>9270586055</v>
      </c>
      <c r="AD94" s="3">
        <v>12435660231</v>
      </c>
      <c r="AE94" s="3">
        <v>12435660231</v>
      </c>
      <c r="AF94" s="3">
        <v>0</v>
      </c>
      <c r="AG94" s="3">
        <v>0</v>
      </c>
      <c r="AH94" s="3">
        <v>0</v>
      </c>
      <c r="AI94" s="3">
        <v>3428447309</v>
      </c>
      <c r="AJ94" s="3">
        <v>0</v>
      </c>
      <c r="AK94" s="3">
        <v>4244366780</v>
      </c>
      <c r="AL94" s="3">
        <v>12931910250</v>
      </c>
      <c r="AM94" s="3">
        <v>24344150250</v>
      </c>
      <c r="AN94" s="3">
        <v>62822745245</v>
      </c>
      <c r="AO94" s="3">
        <v>57847834995</v>
      </c>
      <c r="AP94" s="3">
        <v>101832582537</v>
      </c>
      <c r="AQ94" s="3">
        <v>144977288403</v>
      </c>
      <c r="AR94" s="3">
        <v>178905916168</v>
      </c>
      <c r="AS94" s="3">
        <v>190748518955</v>
      </c>
      <c r="AT94" s="3">
        <v>168894814805</v>
      </c>
      <c r="AU94" s="3">
        <v>126048766562</v>
      </c>
      <c r="AV94" s="3">
        <v>139654417984</v>
      </c>
      <c r="AW94" s="3">
        <v>155306260478</v>
      </c>
      <c r="AX94" s="3">
        <v>165536679982</v>
      </c>
      <c r="AY94" s="3">
        <v>192629821718</v>
      </c>
      <c r="AZ94" s="3">
        <v>134925554251</v>
      </c>
      <c r="BA94" s="3">
        <v>43611829278</v>
      </c>
      <c r="BB94" s="3">
        <v>98003020481</v>
      </c>
      <c r="BC94" s="3">
        <v>172928907420</v>
      </c>
      <c r="BD94" s="3">
        <v>200666324688</v>
      </c>
      <c r="BE94" s="3">
        <v>238388679271</v>
      </c>
      <c r="BF94" s="3">
        <v>250573370780</v>
      </c>
      <c r="BG94" s="3">
        <v>294832243750</v>
      </c>
      <c r="BH94" s="3">
        <v>309616499760</v>
      </c>
      <c r="BI94" s="3">
        <v>263334816592</v>
      </c>
      <c r="BJ94" s="3">
        <v>254700704679</v>
      </c>
      <c r="BK94" s="3">
        <v>262225979238</v>
      </c>
      <c r="BL94" s="3">
        <v>216818798145</v>
      </c>
      <c r="BM94" s="3">
        <v>231846507077</v>
      </c>
      <c r="BN94" s="3">
        <v>179737111410</v>
      </c>
      <c r="BO94" s="3">
        <v>147514569550</v>
      </c>
      <c r="BP94" s="3">
        <v>116595603825</v>
      </c>
      <c r="BQ94" s="3">
        <v>139893015842</v>
      </c>
      <c r="BR94" s="3"/>
      <c r="BS94" s="3"/>
      <c r="BT94" s="3"/>
      <c r="BU94" s="3"/>
      <c r="BV94" s="3"/>
      <c r="BW94" s="3"/>
    </row>
    <row r="95" spans="1:75" ht="15" customHeight="1">
      <c r="A95" s="71">
        <v>92</v>
      </c>
      <c r="B95" s="91" t="s">
        <v>114</v>
      </c>
      <c r="C95" s="71">
        <v>5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 ht="15" customHeight="1">
      <c r="A96" s="71">
        <v>93</v>
      </c>
      <c r="B96" s="91" t="s">
        <v>115</v>
      </c>
      <c r="C96" s="71">
        <v>5</v>
      </c>
      <c r="D96" s="3">
        <v>1496718331</v>
      </c>
      <c r="E96" s="3">
        <v>1496718331</v>
      </c>
      <c r="F96" s="3">
        <v>1496718331</v>
      </c>
      <c r="G96" s="3">
        <v>1496718331</v>
      </c>
      <c r="H96" s="3">
        <v>1496718331</v>
      </c>
      <c r="I96" s="3">
        <v>1496718331</v>
      </c>
      <c r="J96" s="3">
        <v>1496718331</v>
      </c>
      <c r="K96" s="3">
        <v>1496718331</v>
      </c>
      <c r="L96" s="3">
        <v>1496718331</v>
      </c>
      <c r="M96" s="3">
        <v>1496718331</v>
      </c>
      <c r="N96" s="3">
        <v>1496718331</v>
      </c>
      <c r="O96" s="3">
        <v>1496718331</v>
      </c>
      <c r="P96" s="3">
        <v>1146718331</v>
      </c>
      <c r="Q96" s="3">
        <v>1146718331</v>
      </c>
      <c r="R96" s="3">
        <v>1146718331</v>
      </c>
      <c r="S96" s="3">
        <v>1146718331</v>
      </c>
      <c r="T96" s="3">
        <v>1146718331</v>
      </c>
      <c r="U96" s="3">
        <v>1146718331</v>
      </c>
      <c r="V96" s="3">
        <v>1146718331</v>
      </c>
      <c r="W96" s="3">
        <v>1146718331</v>
      </c>
      <c r="X96" s="3">
        <v>1146718331</v>
      </c>
      <c r="Y96" s="3">
        <v>1146718331</v>
      </c>
      <c r="Z96" s="3">
        <v>1146718331</v>
      </c>
      <c r="AA96" s="3">
        <v>1146718331</v>
      </c>
      <c r="AB96" s="3">
        <v>1146718331</v>
      </c>
      <c r="AC96" s="3">
        <v>1146718331</v>
      </c>
      <c r="AD96" s="3">
        <v>1146718331</v>
      </c>
      <c r="AE96" s="3">
        <v>923624169</v>
      </c>
      <c r="AF96" s="3">
        <v>683234500</v>
      </c>
      <c r="AG96" s="3">
        <v>441957415</v>
      </c>
      <c r="AH96" s="3">
        <v>189784867</v>
      </c>
      <c r="AI96" s="3">
        <v>1374992553</v>
      </c>
      <c r="AJ96" s="3">
        <v>1099351587</v>
      </c>
      <c r="AK96" s="3">
        <v>816627424</v>
      </c>
      <c r="AL96" s="3">
        <v>542593460</v>
      </c>
      <c r="AM96" s="3">
        <v>376813826</v>
      </c>
      <c r="AN96" s="3">
        <v>376813826</v>
      </c>
      <c r="AO96" s="3">
        <v>246813826</v>
      </c>
      <c r="AP96" s="3">
        <v>246813826</v>
      </c>
      <c r="AQ96" s="3">
        <v>246813826</v>
      </c>
      <c r="AR96" s="3">
        <v>246813826</v>
      </c>
      <c r="AS96" s="3">
        <v>246813826</v>
      </c>
      <c r="AT96" s="3">
        <v>230313826</v>
      </c>
      <c r="AU96" s="3">
        <v>226063826</v>
      </c>
      <c r="AV96" s="3">
        <v>695823826</v>
      </c>
      <c r="AW96" s="3">
        <v>1411383826</v>
      </c>
      <c r="AX96" s="3">
        <v>1397549382</v>
      </c>
      <c r="AY96" s="3">
        <v>1222249720</v>
      </c>
      <c r="AZ96" s="3">
        <v>937249720</v>
      </c>
      <c r="BA96" s="3">
        <v>927249720</v>
      </c>
      <c r="BB96" s="3">
        <v>914665720</v>
      </c>
      <c r="BC96" s="3">
        <v>909665720</v>
      </c>
      <c r="BD96" s="3">
        <v>906665720</v>
      </c>
      <c r="BE96" s="3">
        <v>906665720</v>
      </c>
      <c r="BF96" s="3">
        <v>899772466</v>
      </c>
      <c r="BG96" s="3">
        <v>680992466</v>
      </c>
      <c r="BH96" s="3">
        <v>1436632466</v>
      </c>
      <c r="BI96" s="3">
        <v>1436632466</v>
      </c>
      <c r="BJ96" s="3">
        <v>1436632466</v>
      </c>
      <c r="BK96" s="3">
        <v>1434532466</v>
      </c>
      <c r="BL96" s="3">
        <v>1167032466</v>
      </c>
      <c r="BM96" s="3">
        <v>1129253175</v>
      </c>
      <c r="BN96" s="3">
        <v>2090213175</v>
      </c>
      <c r="BO96" s="3">
        <v>2134053175</v>
      </c>
      <c r="BP96" s="3">
        <v>2128177975</v>
      </c>
      <c r="BQ96" s="3">
        <v>2128177975</v>
      </c>
      <c r="BR96" s="3"/>
      <c r="BS96" s="3"/>
      <c r="BT96" s="3"/>
      <c r="BU96" s="3"/>
      <c r="BV96" s="3"/>
      <c r="BW96" s="3"/>
    </row>
    <row r="97" spans="1:75" ht="15" customHeight="1">
      <c r="A97" s="71">
        <v>94</v>
      </c>
      <c r="B97" s="92" t="s">
        <v>116</v>
      </c>
      <c r="C97" s="71">
        <v>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 ht="15" customHeight="1">
      <c r="A98" s="71">
        <v>95</v>
      </c>
      <c r="B98" s="92" t="s">
        <v>117</v>
      </c>
      <c r="C98" s="71">
        <v>5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15" customHeight="1">
      <c r="A99" s="75">
        <v>96</v>
      </c>
      <c r="B99" s="80" t="s">
        <v>341</v>
      </c>
      <c r="C99" s="75">
        <v>5</v>
      </c>
      <c r="D99" s="5">
        <v>28007547612</v>
      </c>
      <c r="E99" s="5">
        <v>32336834562</v>
      </c>
      <c r="F99" s="5">
        <v>33234443962</v>
      </c>
      <c r="G99" s="5">
        <v>39273401515</v>
      </c>
      <c r="H99" s="5">
        <v>49100995174</v>
      </c>
      <c r="I99" s="5">
        <v>50864988155</v>
      </c>
      <c r="J99" s="5">
        <v>57170903102</v>
      </c>
      <c r="K99" s="5">
        <v>57170903102</v>
      </c>
      <c r="L99" s="5">
        <v>57170903102</v>
      </c>
      <c r="M99" s="5">
        <v>61540612105</v>
      </c>
      <c r="N99" s="5">
        <v>66698756965</v>
      </c>
      <c r="O99" s="5">
        <v>74718069914</v>
      </c>
      <c r="P99" s="5">
        <v>82551938092</v>
      </c>
      <c r="Q99" s="5">
        <v>88743184498</v>
      </c>
      <c r="R99" s="5">
        <v>99630640970</v>
      </c>
      <c r="S99" s="5">
        <v>116871243803</v>
      </c>
      <c r="T99" s="5">
        <v>138183925734</v>
      </c>
      <c r="U99" s="5">
        <v>147369371615</v>
      </c>
      <c r="V99" s="5">
        <v>151763072730</v>
      </c>
      <c r="W99" s="5">
        <v>158455180649</v>
      </c>
      <c r="X99" s="5">
        <v>172554869346</v>
      </c>
      <c r="Y99" s="5">
        <v>188378060257</v>
      </c>
      <c r="Z99" s="5">
        <v>188378060257</v>
      </c>
      <c r="AA99" s="5">
        <v>0</v>
      </c>
      <c r="AB99" s="5">
        <v>0</v>
      </c>
      <c r="AC99" s="5">
        <v>3468826270</v>
      </c>
      <c r="AD99" s="5">
        <v>10275854270</v>
      </c>
      <c r="AE99" s="5">
        <v>17470854270</v>
      </c>
      <c r="AF99" s="5">
        <v>31420252270</v>
      </c>
      <c r="AG99" s="5">
        <v>34189252270</v>
      </c>
      <c r="AH99" s="5">
        <v>37877252270</v>
      </c>
      <c r="AI99" s="5">
        <v>42302764270</v>
      </c>
      <c r="AJ99" s="5">
        <v>46876764270</v>
      </c>
      <c r="AK99" s="5">
        <v>56744764270</v>
      </c>
      <c r="AL99" s="5">
        <v>67865576270</v>
      </c>
      <c r="AM99" s="5">
        <v>58824336270</v>
      </c>
      <c r="AN99" s="5">
        <v>77616411070</v>
      </c>
      <c r="AO99" s="5">
        <v>77522351070</v>
      </c>
      <c r="AP99" s="5">
        <v>77463351070</v>
      </c>
      <c r="AQ99" s="5">
        <v>77168157678</v>
      </c>
      <c r="AR99" s="5">
        <v>75214867678</v>
      </c>
      <c r="AS99" s="5">
        <v>76544035678</v>
      </c>
      <c r="AT99" s="5">
        <v>76656842286</v>
      </c>
      <c r="AU99" s="5">
        <v>75999782286</v>
      </c>
      <c r="AV99" s="5">
        <v>76594782286</v>
      </c>
      <c r="AW99" s="5">
        <v>76818588894</v>
      </c>
      <c r="AX99" s="5">
        <v>103444528894</v>
      </c>
      <c r="AY99" s="6">
        <v>84737345522</v>
      </c>
      <c r="AZ99" s="6">
        <v>108410341946</v>
      </c>
      <c r="BA99" s="6">
        <v>104162504168</v>
      </c>
      <c r="BB99" s="6">
        <v>103325726390</v>
      </c>
      <c r="BC99" s="6">
        <v>102252755220</v>
      </c>
      <c r="BD99" s="6">
        <v>98004917442</v>
      </c>
      <c r="BE99" s="6">
        <v>77121791394</v>
      </c>
      <c r="BF99" s="6">
        <v>76048820224</v>
      </c>
      <c r="BG99" s="6">
        <v>74463510446</v>
      </c>
      <c r="BH99" s="6">
        <v>73626732668</v>
      </c>
      <c r="BI99" s="6">
        <v>68573133942</v>
      </c>
      <c r="BJ99" s="6">
        <v>69631372942</v>
      </c>
      <c r="BK99" s="6">
        <v>50382254354</v>
      </c>
      <c r="BL99" s="6">
        <v>49472841415</v>
      </c>
      <c r="BM99" s="6">
        <v>71400341415</v>
      </c>
      <c r="BN99" s="6">
        <v>80100341415</v>
      </c>
      <c r="BO99" s="6">
        <v>80100341415</v>
      </c>
      <c r="BP99" s="6">
        <v>154933236415</v>
      </c>
      <c r="BQ99" s="6">
        <v>154933236415</v>
      </c>
      <c r="BR99" s="6"/>
      <c r="BS99" s="6"/>
      <c r="BT99" s="6"/>
      <c r="BU99" s="6"/>
      <c r="BV99" s="6"/>
      <c r="BW99" s="6"/>
    </row>
    <row r="100" spans="1:75" ht="15" customHeight="1">
      <c r="A100" s="71">
        <v>97</v>
      </c>
      <c r="B100" s="91" t="s">
        <v>119</v>
      </c>
      <c r="C100" s="71">
        <v>5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15" customHeight="1">
      <c r="A101" s="71">
        <v>98</v>
      </c>
      <c r="B101" s="91" t="s">
        <v>120</v>
      </c>
      <c r="C101" s="71">
        <v>5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15" customHeight="1">
      <c r="A102" s="71">
        <v>99</v>
      </c>
      <c r="B102" s="91" t="s">
        <v>121</v>
      </c>
      <c r="C102" s="71">
        <v>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>
        <v>0</v>
      </c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15" customHeight="1">
      <c r="A103" s="71">
        <v>100</v>
      </c>
      <c r="B103" s="91" t="s">
        <v>122</v>
      </c>
      <c r="C103" s="71">
        <v>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15" customHeight="1">
      <c r="A104" s="71">
        <v>101</v>
      </c>
      <c r="B104" s="91" t="s">
        <v>123</v>
      </c>
      <c r="C104" s="71">
        <v>5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15" customHeight="1">
      <c r="A105" s="71">
        <v>102</v>
      </c>
      <c r="B105" s="91" t="s">
        <v>124</v>
      </c>
      <c r="C105" s="71">
        <v>5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15" customHeight="1">
      <c r="A106" s="71">
        <v>103</v>
      </c>
      <c r="B106" s="91" t="s">
        <v>125</v>
      </c>
      <c r="C106" s="71">
        <v>5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15" customHeight="1">
      <c r="A107" s="71">
        <v>104</v>
      </c>
      <c r="B107" s="91" t="s">
        <v>126</v>
      </c>
      <c r="C107" s="71">
        <v>5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15" customHeight="1">
      <c r="A108" s="71">
        <v>105</v>
      </c>
      <c r="B108" s="91" t="s">
        <v>342</v>
      </c>
      <c r="C108" s="71">
        <v>5</v>
      </c>
      <c r="D108" s="3">
        <v>28007547612</v>
      </c>
      <c r="E108" s="3">
        <v>32336834562</v>
      </c>
      <c r="F108" s="3">
        <v>33234443962</v>
      </c>
      <c r="G108" s="3">
        <v>39273401515</v>
      </c>
      <c r="H108" s="3">
        <v>49100995174</v>
      </c>
      <c r="I108" s="3">
        <v>50864988155</v>
      </c>
      <c r="J108" s="3">
        <v>57170903102</v>
      </c>
      <c r="K108" s="3">
        <v>57170903102</v>
      </c>
      <c r="L108" s="3">
        <v>57170903102</v>
      </c>
      <c r="M108" s="3">
        <v>61540612105</v>
      </c>
      <c r="N108" s="3">
        <v>66698756965</v>
      </c>
      <c r="O108" s="3">
        <v>74718069914</v>
      </c>
      <c r="P108" s="3">
        <v>82551938092</v>
      </c>
      <c r="Q108" s="3">
        <v>88743184498</v>
      </c>
      <c r="R108" s="3">
        <v>99630640970</v>
      </c>
      <c r="S108" s="3">
        <v>116871243803</v>
      </c>
      <c r="T108" s="3">
        <v>138183925734</v>
      </c>
      <c r="U108" s="3">
        <v>147369371615</v>
      </c>
      <c r="V108" s="3">
        <v>151763072730</v>
      </c>
      <c r="W108" s="3">
        <v>158455180649</v>
      </c>
      <c r="X108" s="3">
        <v>172554869346</v>
      </c>
      <c r="Y108" s="3">
        <v>188378060257</v>
      </c>
      <c r="Z108" s="3">
        <v>188378060257</v>
      </c>
      <c r="AA108" s="3">
        <v>0</v>
      </c>
      <c r="AB108" s="3">
        <v>0</v>
      </c>
      <c r="AC108" s="3">
        <v>3468826270</v>
      </c>
      <c r="AD108" s="3">
        <v>10275854270</v>
      </c>
      <c r="AE108" s="3">
        <v>17470854270</v>
      </c>
      <c r="AF108" s="3">
        <v>31420252270</v>
      </c>
      <c r="AG108" s="3">
        <v>34189252270</v>
      </c>
      <c r="AH108" s="3">
        <v>37877252270</v>
      </c>
      <c r="AI108" s="3">
        <v>42302764270</v>
      </c>
      <c r="AJ108" s="3">
        <v>46876764270</v>
      </c>
      <c r="AK108" s="3">
        <v>56744764270</v>
      </c>
      <c r="AL108" s="3">
        <v>67865576270</v>
      </c>
      <c r="AM108" s="3">
        <v>58824336270</v>
      </c>
      <c r="AN108" s="3">
        <v>77616411070</v>
      </c>
      <c r="AO108" s="3">
        <v>77522351070</v>
      </c>
      <c r="AP108" s="3">
        <v>77463351070</v>
      </c>
      <c r="AQ108" s="3">
        <v>77168157678</v>
      </c>
      <c r="AR108" s="3">
        <v>75214867678</v>
      </c>
      <c r="AS108" s="3">
        <v>76544035678</v>
      </c>
      <c r="AT108" s="3">
        <v>76656842286</v>
      </c>
      <c r="AU108" s="3">
        <v>75999782286</v>
      </c>
      <c r="AV108" s="3">
        <v>76594782286</v>
      </c>
      <c r="AW108" s="3">
        <v>76818588894</v>
      </c>
      <c r="AX108" s="3">
        <v>103444528894</v>
      </c>
      <c r="AY108" s="3">
        <v>82898404212</v>
      </c>
      <c r="AZ108" s="3">
        <v>108410341946</v>
      </c>
      <c r="BA108" s="3">
        <v>104162504168</v>
      </c>
      <c r="BB108" s="3">
        <v>103325726390</v>
      </c>
      <c r="BC108" s="3">
        <v>102252755220</v>
      </c>
      <c r="BD108" s="3">
        <v>98004917442</v>
      </c>
      <c r="BE108" s="3">
        <v>77121791394</v>
      </c>
      <c r="BF108" s="3">
        <v>76048820224</v>
      </c>
      <c r="BG108" s="3">
        <v>74463510446</v>
      </c>
      <c r="BH108" s="3">
        <v>73626732668</v>
      </c>
      <c r="BI108" s="3">
        <v>68573133942</v>
      </c>
      <c r="BJ108" s="3">
        <v>69631372942</v>
      </c>
      <c r="BK108" s="3">
        <v>50382254354</v>
      </c>
      <c r="BL108" s="3">
        <v>49472841415</v>
      </c>
      <c r="BM108" s="3">
        <v>71400341415</v>
      </c>
      <c r="BN108" s="3">
        <v>80100341415</v>
      </c>
      <c r="BO108" s="3">
        <v>80100341415</v>
      </c>
      <c r="BP108" s="3">
        <v>154933236415</v>
      </c>
      <c r="BQ108" s="3">
        <v>154933236415</v>
      </c>
      <c r="BR108" s="3"/>
      <c r="BS108" s="3"/>
      <c r="BT108" s="3"/>
      <c r="BU108" s="3"/>
      <c r="BV108" s="3"/>
      <c r="BW108" s="3"/>
    </row>
    <row r="109" spans="1:75" ht="15" customHeight="1">
      <c r="A109" s="71">
        <v>106</v>
      </c>
      <c r="B109" s="91" t="s">
        <v>128</v>
      </c>
      <c r="C109" s="71">
        <v>5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15" customHeight="1">
      <c r="A110" s="71">
        <v>107</v>
      </c>
      <c r="B110" s="91" t="s">
        <v>129</v>
      </c>
      <c r="C110" s="71">
        <v>5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15" customHeight="1">
      <c r="A111" s="71">
        <v>108</v>
      </c>
      <c r="B111" s="91" t="s">
        <v>130</v>
      </c>
      <c r="C111" s="71">
        <v>5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1838941310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15" customHeight="1">
      <c r="A112" s="71">
        <v>109</v>
      </c>
      <c r="B112" s="91" t="s">
        <v>131</v>
      </c>
      <c r="C112" s="71">
        <v>5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15" customHeight="1">
      <c r="A113" s="71">
        <v>110</v>
      </c>
      <c r="B113" s="91" t="s">
        <v>132</v>
      </c>
      <c r="C113" s="71">
        <v>5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15" customHeight="1">
      <c r="A114" s="78">
        <v>111</v>
      </c>
      <c r="B114" s="68" t="s">
        <v>343</v>
      </c>
      <c r="C114" s="78">
        <v>5</v>
      </c>
      <c r="D114" s="7">
        <v>658197502588</v>
      </c>
      <c r="E114" s="7">
        <v>657935636470</v>
      </c>
      <c r="F114" s="7">
        <v>659429143304</v>
      </c>
      <c r="G114" s="7">
        <v>660441698262</v>
      </c>
      <c r="H114" s="7">
        <v>660214633942</v>
      </c>
      <c r="I114" s="7">
        <v>660498235381</v>
      </c>
      <c r="J114" s="7">
        <v>670208192010</v>
      </c>
      <c r="K114" s="7">
        <v>671062164206</v>
      </c>
      <c r="L114" s="7">
        <v>672765408647</v>
      </c>
      <c r="M114" s="7">
        <v>673460528025</v>
      </c>
      <c r="N114" s="7">
        <v>673449769675</v>
      </c>
      <c r="O114" s="7">
        <v>675876729295</v>
      </c>
      <c r="P114" s="7">
        <v>679866627191</v>
      </c>
      <c r="Q114" s="7">
        <v>678678057925</v>
      </c>
      <c r="R114" s="7">
        <v>677294484490</v>
      </c>
      <c r="S114" s="7">
        <v>678109227002</v>
      </c>
      <c r="T114" s="7">
        <v>679938766396</v>
      </c>
      <c r="U114" s="7">
        <v>681650160454</v>
      </c>
      <c r="V114" s="7">
        <v>682843345352</v>
      </c>
      <c r="W114" s="7">
        <v>685648327280</v>
      </c>
      <c r="X114" s="7">
        <v>686796128664</v>
      </c>
      <c r="Y114" s="7">
        <v>687259708706</v>
      </c>
      <c r="Z114" s="7">
        <v>689363171868</v>
      </c>
      <c r="AA114" s="7">
        <v>699979511153</v>
      </c>
      <c r="AB114" s="7">
        <v>700559481220</v>
      </c>
      <c r="AC114" s="7">
        <v>697904695401</v>
      </c>
      <c r="AD114" s="7">
        <v>690680075060</v>
      </c>
      <c r="AE114" s="7">
        <v>687734259287</v>
      </c>
      <c r="AF114" s="7">
        <v>690517083411</v>
      </c>
      <c r="AG114" s="7">
        <v>723741729135</v>
      </c>
      <c r="AH114" s="7">
        <v>727284906224</v>
      </c>
      <c r="AI114" s="7">
        <v>735879940945</v>
      </c>
      <c r="AJ114" s="7">
        <v>754201089726</v>
      </c>
      <c r="AK114" s="7">
        <v>768209644313</v>
      </c>
      <c r="AL114" s="7">
        <v>775569735061</v>
      </c>
      <c r="AM114" s="7">
        <v>801242309208</v>
      </c>
      <c r="AN114" s="7">
        <v>803168048821</v>
      </c>
      <c r="AO114" s="7">
        <v>797897400024</v>
      </c>
      <c r="AP114" s="7">
        <v>794938090423</v>
      </c>
      <c r="AQ114" s="7">
        <v>797413337163</v>
      </c>
      <c r="AR114" s="7">
        <v>793259934823</v>
      </c>
      <c r="AS114" s="7">
        <v>783044486756</v>
      </c>
      <c r="AT114" s="7">
        <v>769519801263</v>
      </c>
      <c r="AU114" s="7">
        <v>761236853278</v>
      </c>
      <c r="AV114" s="7">
        <v>770910121395</v>
      </c>
      <c r="AW114" s="7">
        <v>765931936164</v>
      </c>
      <c r="AX114" s="7">
        <v>762689916038</v>
      </c>
      <c r="AY114" s="8">
        <v>854759655867</v>
      </c>
      <c r="AZ114" s="8">
        <v>859656736419</v>
      </c>
      <c r="BA114" s="8">
        <v>877057533148</v>
      </c>
      <c r="BB114" s="8">
        <v>884155782207</v>
      </c>
      <c r="BC114" s="8">
        <v>887906765692</v>
      </c>
      <c r="BD114" s="8">
        <v>897436969996</v>
      </c>
      <c r="BE114" s="8">
        <v>898509470753</v>
      </c>
      <c r="BF114" s="8">
        <v>899548988610</v>
      </c>
      <c r="BG114" s="8">
        <v>899642208341</v>
      </c>
      <c r="BH114" s="8">
        <v>889440053690</v>
      </c>
      <c r="BI114" s="8">
        <v>884755395640</v>
      </c>
      <c r="BJ114" s="8">
        <v>877834897793</v>
      </c>
      <c r="BK114" s="8">
        <v>880496410801</v>
      </c>
      <c r="BL114" s="8">
        <v>878802950065</v>
      </c>
      <c r="BM114" s="8">
        <v>872383736327</v>
      </c>
      <c r="BN114" s="8">
        <v>865718329703</v>
      </c>
      <c r="BO114" s="8">
        <v>869422083915</v>
      </c>
      <c r="BP114" s="8">
        <v>877649509332</v>
      </c>
      <c r="BQ114" s="8">
        <v>884402080192</v>
      </c>
      <c r="BR114" s="8"/>
      <c r="BS114" s="8"/>
      <c r="BT114" s="8"/>
      <c r="BU114" s="8"/>
      <c r="BV114" s="8"/>
      <c r="BW114" s="8"/>
    </row>
    <row r="115" spans="1:75" ht="15" customHeight="1">
      <c r="A115" s="71">
        <v>112</v>
      </c>
      <c r="B115" s="91" t="s">
        <v>134</v>
      </c>
      <c r="C115" s="71">
        <v>5</v>
      </c>
      <c r="D115" s="3">
        <v>650000000000</v>
      </c>
      <c r="E115" s="3">
        <v>650000000000</v>
      </c>
      <c r="F115" s="3">
        <v>650000000000</v>
      </c>
      <c r="G115" s="3">
        <v>650000000000</v>
      </c>
      <c r="H115" s="3">
        <v>650000000000</v>
      </c>
      <c r="I115" s="3">
        <v>650000000000</v>
      </c>
      <c r="J115" s="3">
        <v>650000000000</v>
      </c>
      <c r="K115" s="3">
        <v>650000000000</v>
      </c>
      <c r="L115" s="3">
        <v>650000000000</v>
      </c>
      <c r="M115" s="3">
        <v>650000000000</v>
      </c>
      <c r="N115" s="3">
        <v>650000000000</v>
      </c>
      <c r="O115" s="3">
        <v>650000000000</v>
      </c>
      <c r="P115" s="3">
        <v>650000000000</v>
      </c>
      <c r="Q115" s="3">
        <v>650000000000</v>
      </c>
      <c r="R115" s="3">
        <v>650000000000</v>
      </c>
      <c r="S115" s="3">
        <v>650000000000</v>
      </c>
      <c r="T115" s="3">
        <v>650000000000</v>
      </c>
      <c r="U115" s="3">
        <v>650000000000</v>
      </c>
      <c r="V115" s="3">
        <v>650000000000</v>
      </c>
      <c r="W115" s="3">
        <v>650000000000</v>
      </c>
      <c r="X115" s="3">
        <v>650000000000</v>
      </c>
      <c r="Y115" s="3">
        <v>650000000000</v>
      </c>
      <c r="Z115" s="3">
        <v>650000000000</v>
      </c>
      <c r="AA115" s="3">
        <v>650000000000</v>
      </c>
      <c r="AB115" s="3">
        <v>650000000000</v>
      </c>
      <c r="AC115" s="3">
        <v>650000000000</v>
      </c>
      <c r="AD115" s="3">
        <v>650000000000</v>
      </c>
      <c r="AE115" s="3">
        <v>650000000000</v>
      </c>
      <c r="AF115" s="3">
        <v>650000000000</v>
      </c>
      <c r="AG115" s="3">
        <v>650000000000</v>
      </c>
      <c r="AH115" s="3">
        <v>650000000000</v>
      </c>
      <c r="AI115" s="3">
        <v>650000000000</v>
      </c>
      <c r="AJ115" s="3">
        <v>650000000000</v>
      </c>
      <c r="AK115" s="3">
        <v>650000000000</v>
      </c>
      <c r="AL115" s="3">
        <v>650000000000</v>
      </c>
      <c r="AM115" s="3">
        <v>650000000000</v>
      </c>
      <c r="AN115" s="3">
        <v>650000000000</v>
      </c>
      <c r="AO115" s="3">
        <v>650000000000</v>
      </c>
      <c r="AP115" s="3">
        <v>650000000000</v>
      </c>
      <c r="AQ115" s="3">
        <v>650000000000</v>
      </c>
      <c r="AR115" s="3">
        <v>650000000000</v>
      </c>
      <c r="AS115" s="3">
        <v>650000000000</v>
      </c>
      <c r="AT115" s="3">
        <v>650000000000</v>
      </c>
      <c r="AU115" s="3">
        <v>650000000000</v>
      </c>
      <c r="AV115" s="3">
        <v>650000000000</v>
      </c>
      <c r="AW115" s="3">
        <v>650000000000</v>
      </c>
      <c r="AX115" s="3">
        <v>650000000000</v>
      </c>
      <c r="AY115" s="3">
        <v>650000000000</v>
      </c>
      <c r="AZ115" s="3">
        <v>650000000000</v>
      </c>
      <c r="BA115" s="3">
        <v>650000000000</v>
      </c>
      <c r="BB115" s="3">
        <v>650000000000</v>
      </c>
      <c r="BC115" s="3">
        <v>650000000000</v>
      </c>
      <c r="BD115" s="3">
        <v>650000000000</v>
      </c>
      <c r="BE115" s="3">
        <v>650000000000</v>
      </c>
      <c r="BF115" s="3">
        <v>650000000000</v>
      </c>
      <c r="BG115" s="3">
        <v>650000000000</v>
      </c>
      <c r="BH115" s="3">
        <v>650000000000</v>
      </c>
      <c r="BI115" s="3">
        <v>650000000000</v>
      </c>
      <c r="BJ115" s="3">
        <v>650000000000</v>
      </c>
      <c r="BK115" s="3">
        <v>650000000000</v>
      </c>
      <c r="BL115" s="3">
        <v>650000000000</v>
      </c>
      <c r="BM115" s="3">
        <v>650000000000</v>
      </c>
      <c r="BN115" s="3">
        <v>650000000000</v>
      </c>
      <c r="BO115" s="3">
        <v>650000000000</v>
      </c>
      <c r="BP115" s="3">
        <v>650000000000</v>
      </c>
      <c r="BQ115" s="3">
        <v>650000000000</v>
      </c>
      <c r="BR115" s="3"/>
      <c r="BS115" s="3"/>
      <c r="BT115" s="3"/>
      <c r="BU115" s="3"/>
      <c r="BV115" s="3"/>
      <c r="BW115" s="3"/>
    </row>
    <row r="116" spans="1:75" ht="15" customHeight="1">
      <c r="A116" s="71">
        <v>113</v>
      </c>
      <c r="B116" s="91" t="s">
        <v>135</v>
      </c>
      <c r="C116" s="71">
        <v>5</v>
      </c>
      <c r="D116" s="3">
        <v>650000000000</v>
      </c>
      <c r="E116" s="3">
        <v>650000000000</v>
      </c>
      <c r="F116" s="3">
        <v>650000000000</v>
      </c>
      <c r="G116" s="3">
        <v>650000000000</v>
      </c>
      <c r="H116" s="3">
        <v>650000000000</v>
      </c>
      <c r="I116" s="3">
        <v>650000000000</v>
      </c>
      <c r="J116" s="3">
        <v>650000000000</v>
      </c>
      <c r="K116" s="3">
        <v>650000000000</v>
      </c>
      <c r="L116" s="3">
        <v>650000000000</v>
      </c>
      <c r="M116" s="3">
        <v>650000000000</v>
      </c>
      <c r="N116" s="3">
        <v>650000000000</v>
      </c>
      <c r="O116" s="3">
        <v>650000000000</v>
      </c>
      <c r="P116" s="3">
        <v>650000000000</v>
      </c>
      <c r="Q116" s="3">
        <v>650000000000</v>
      </c>
      <c r="R116" s="3">
        <v>650000000000</v>
      </c>
      <c r="S116" s="3">
        <v>650000000000</v>
      </c>
      <c r="T116" s="3">
        <v>650000000000</v>
      </c>
      <c r="U116" s="3">
        <v>650000000000</v>
      </c>
      <c r="V116" s="3">
        <v>650000000000</v>
      </c>
      <c r="W116" s="3">
        <v>650000000000</v>
      </c>
      <c r="X116" s="3">
        <v>650000000000</v>
      </c>
      <c r="Y116" s="3">
        <v>650000000000</v>
      </c>
      <c r="Z116" s="3">
        <v>650000000000</v>
      </c>
      <c r="AA116" s="3">
        <v>650000000000</v>
      </c>
      <c r="AB116" s="3">
        <v>650000000000</v>
      </c>
      <c r="AC116" s="3">
        <v>650000000000</v>
      </c>
      <c r="AD116" s="3">
        <v>650000000000</v>
      </c>
      <c r="AE116" s="3">
        <v>650000000000</v>
      </c>
      <c r="AF116" s="3">
        <v>650000000000</v>
      </c>
      <c r="AG116" s="3">
        <v>650000000000</v>
      </c>
      <c r="AH116" s="3">
        <v>650000000000</v>
      </c>
      <c r="AI116" s="3">
        <v>650000000000</v>
      </c>
      <c r="AJ116" s="3">
        <v>650000000000</v>
      </c>
      <c r="AK116" s="3">
        <v>650000000000</v>
      </c>
      <c r="AL116" s="3">
        <v>650000000000</v>
      </c>
      <c r="AM116" s="3">
        <v>650000000000</v>
      </c>
      <c r="AN116" s="3">
        <v>650000000000</v>
      </c>
      <c r="AO116" s="3">
        <v>650000000000</v>
      </c>
      <c r="AP116" s="3">
        <v>650000000000</v>
      </c>
      <c r="AQ116" s="3">
        <v>650000000000</v>
      </c>
      <c r="AR116" s="3">
        <v>650000000000</v>
      </c>
      <c r="AS116" s="3">
        <v>650000000000</v>
      </c>
      <c r="AT116" s="3">
        <v>650000000000</v>
      </c>
      <c r="AU116" s="3">
        <v>650000000000</v>
      </c>
      <c r="AV116" s="3">
        <v>650000000000</v>
      </c>
      <c r="AW116" s="3">
        <v>650000000000</v>
      </c>
      <c r="AX116" s="3">
        <v>650000000000</v>
      </c>
      <c r="AY116" s="3">
        <v>650000000000</v>
      </c>
      <c r="AZ116" s="3">
        <v>650000000000</v>
      </c>
      <c r="BA116" s="3">
        <v>650000000000</v>
      </c>
      <c r="BB116" s="3">
        <v>650000000000</v>
      </c>
      <c r="BC116" s="3">
        <v>650000000000</v>
      </c>
      <c r="BD116" s="3">
        <v>650000000000</v>
      </c>
      <c r="BE116" s="3">
        <v>650000000000</v>
      </c>
      <c r="BF116" s="3">
        <v>650000000000</v>
      </c>
      <c r="BG116" s="3">
        <v>650000000000</v>
      </c>
      <c r="BH116" s="3">
        <v>650000000000</v>
      </c>
      <c r="BI116" s="3">
        <v>650000000000</v>
      </c>
      <c r="BJ116" s="3">
        <v>650000000000</v>
      </c>
      <c r="BK116" s="3">
        <v>650000000000</v>
      </c>
      <c r="BL116" s="3">
        <v>650000000000</v>
      </c>
      <c r="BM116" s="3">
        <v>650000000000</v>
      </c>
      <c r="BN116" s="3">
        <v>650000000000</v>
      </c>
      <c r="BO116" s="3">
        <v>650000000000</v>
      </c>
      <c r="BP116" s="3">
        <v>650000000000</v>
      </c>
      <c r="BQ116" s="3">
        <v>650000000000</v>
      </c>
      <c r="BR116" s="3"/>
      <c r="BS116" s="3"/>
      <c r="BT116" s="3"/>
      <c r="BU116" s="3"/>
      <c r="BV116" s="3"/>
      <c r="BW116" s="3"/>
    </row>
    <row r="117" spans="1:75" ht="15" customHeight="1">
      <c r="A117" s="71">
        <v>114</v>
      </c>
      <c r="B117" s="91" t="s">
        <v>136</v>
      </c>
      <c r="C117" s="71">
        <v>5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15" customHeight="1">
      <c r="A118" s="71">
        <v>115</v>
      </c>
      <c r="B118" s="91" t="s">
        <v>137</v>
      </c>
      <c r="C118" s="71">
        <v>5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15" customHeight="1">
      <c r="A119" s="71">
        <v>116</v>
      </c>
      <c r="B119" s="91" t="s">
        <v>138</v>
      </c>
      <c r="C119" s="71">
        <v>5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15" customHeight="1">
      <c r="A120" s="71">
        <v>117</v>
      </c>
      <c r="B120" s="91" t="s">
        <v>139</v>
      </c>
      <c r="C120" s="71">
        <v>5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15" customHeight="1">
      <c r="A121" s="71">
        <v>118</v>
      </c>
      <c r="B121" s="91" t="s">
        <v>140</v>
      </c>
      <c r="C121" s="71">
        <v>5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15" customHeight="1">
      <c r="A122" s="71">
        <v>119</v>
      </c>
      <c r="B122" s="91" t="s">
        <v>141</v>
      </c>
      <c r="C122" s="71">
        <v>5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15" customHeight="1">
      <c r="A123" s="71">
        <v>120</v>
      </c>
      <c r="B123" s="91" t="s">
        <v>142</v>
      </c>
      <c r="C123" s="71">
        <v>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15" customHeight="1">
      <c r="A124" s="71">
        <v>121</v>
      </c>
      <c r="B124" s="91" t="s">
        <v>143</v>
      </c>
      <c r="C124" s="71">
        <v>5</v>
      </c>
      <c r="D124" s="3">
        <v>1331388501</v>
      </c>
      <c r="E124" s="3">
        <v>1331388501</v>
      </c>
      <c r="F124" s="3">
        <v>1331388501</v>
      </c>
      <c r="G124" s="3">
        <v>1331388501</v>
      </c>
      <c r="H124" s="3">
        <v>1331388501</v>
      </c>
      <c r="I124" s="3">
        <v>1331388501</v>
      </c>
      <c r="J124" s="3">
        <v>1331388501</v>
      </c>
      <c r="K124" s="3">
        <v>1331388501</v>
      </c>
      <c r="L124" s="3">
        <v>1331388501</v>
      </c>
      <c r="M124" s="3">
        <v>1331388501</v>
      </c>
      <c r="N124" s="3">
        <v>1331388501</v>
      </c>
      <c r="O124" s="3">
        <v>1331388501</v>
      </c>
      <c r="P124" s="3">
        <v>1331388501</v>
      </c>
      <c r="Q124" s="3">
        <v>1331388501</v>
      </c>
      <c r="R124" s="3">
        <v>1331388501</v>
      </c>
      <c r="S124" s="3">
        <v>1331388501</v>
      </c>
      <c r="T124" s="3">
        <v>1331388501</v>
      </c>
      <c r="U124" s="3">
        <v>1331388501</v>
      </c>
      <c r="V124" s="3">
        <v>1331388501</v>
      </c>
      <c r="W124" s="3">
        <v>1331388501</v>
      </c>
      <c r="X124" s="3">
        <v>1331388501</v>
      </c>
      <c r="Y124" s="3">
        <v>1331388501</v>
      </c>
      <c r="Z124" s="3">
        <v>1331388501</v>
      </c>
      <c r="AA124" s="3">
        <v>1331388501</v>
      </c>
      <c r="AB124" s="3">
        <v>1331388501</v>
      </c>
      <c r="AC124" s="3">
        <v>1331388501</v>
      </c>
      <c r="AD124" s="3">
        <v>1331388501</v>
      </c>
      <c r="AE124" s="3">
        <v>1331388501</v>
      </c>
      <c r="AF124" s="3">
        <v>1331388501</v>
      </c>
      <c r="AG124" s="3">
        <v>1331388501</v>
      </c>
      <c r="AH124" s="3">
        <v>1331388501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15" customHeight="1">
      <c r="A125" s="71">
        <v>122</v>
      </c>
      <c r="B125" s="91" t="s">
        <v>144</v>
      </c>
      <c r="C125" s="71">
        <v>5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15" customHeight="1">
      <c r="A126" s="93">
        <v>123</v>
      </c>
      <c r="B126" s="94" t="s">
        <v>145</v>
      </c>
      <c r="C126" s="93">
        <v>5</v>
      </c>
      <c r="D126" s="12">
        <v>6866114087</v>
      </c>
      <c r="E126" s="12">
        <v>6604247969</v>
      </c>
      <c r="F126" s="12">
        <v>8097754803</v>
      </c>
      <c r="G126" s="12">
        <v>9110309761</v>
      </c>
      <c r="H126" s="12">
        <v>8883245441</v>
      </c>
      <c r="I126" s="12">
        <v>9166846880</v>
      </c>
      <c r="J126" s="12">
        <v>18876803509</v>
      </c>
      <c r="K126" s="12">
        <v>19730775705</v>
      </c>
      <c r="L126" s="12">
        <v>21434020146</v>
      </c>
      <c r="M126" s="12">
        <v>22129139524</v>
      </c>
      <c r="N126" s="12">
        <v>22118381174</v>
      </c>
      <c r="O126" s="12">
        <v>24545340794</v>
      </c>
      <c r="P126" s="12">
        <v>28535238690</v>
      </c>
      <c r="Q126" s="12">
        <v>27346669424</v>
      </c>
      <c r="R126" s="12">
        <v>25963095989</v>
      </c>
      <c r="S126" s="12">
        <v>26777838501</v>
      </c>
      <c r="T126" s="12">
        <v>28607377895</v>
      </c>
      <c r="U126" s="12">
        <v>30318771953</v>
      </c>
      <c r="V126" s="12">
        <v>31511956851</v>
      </c>
      <c r="W126" s="12">
        <v>34316938779</v>
      </c>
      <c r="X126" s="12">
        <v>35464740163</v>
      </c>
      <c r="Y126" s="12">
        <v>35928320205</v>
      </c>
      <c r="Z126" s="12">
        <v>38031783367</v>
      </c>
      <c r="AA126" s="12">
        <v>48648122652</v>
      </c>
      <c r="AB126" s="12">
        <v>49228092719</v>
      </c>
      <c r="AC126" s="12">
        <v>46573306900</v>
      </c>
      <c r="AD126" s="12">
        <v>39348686559</v>
      </c>
      <c r="AE126" s="12">
        <v>36402870786</v>
      </c>
      <c r="AF126" s="12">
        <v>39185694910</v>
      </c>
      <c r="AG126" s="12">
        <v>72410340634</v>
      </c>
      <c r="AH126" s="12">
        <v>75953517723</v>
      </c>
      <c r="AI126" s="12">
        <v>85879940945</v>
      </c>
      <c r="AJ126" s="12">
        <v>104201089726</v>
      </c>
      <c r="AK126" s="12">
        <v>118209644313</v>
      </c>
      <c r="AL126" s="12">
        <v>125569735061</v>
      </c>
      <c r="AM126" s="12">
        <v>151242309208</v>
      </c>
      <c r="AN126" s="12">
        <v>153168048821</v>
      </c>
      <c r="AO126" s="12">
        <v>147897400024</v>
      </c>
      <c r="AP126" s="12">
        <v>144938090423</v>
      </c>
      <c r="AQ126" s="12">
        <v>147413337163</v>
      </c>
      <c r="AR126" s="12">
        <v>143259934823</v>
      </c>
      <c r="AS126" s="12">
        <v>133044486756</v>
      </c>
      <c r="AT126" s="12">
        <v>119519801263</v>
      </c>
      <c r="AU126" s="12">
        <v>111236853278</v>
      </c>
      <c r="AV126" s="12">
        <v>120910121395</v>
      </c>
      <c r="AW126" s="12">
        <v>115931936164</v>
      </c>
      <c r="AX126" s="12">
        <v>112689916038</v>
      </c>
      <c r="AY126" s="12">
        <v>204759655867</v>
      </c>
      <c r="AZ126" s="12">
        <v>209656736419</v>
      </c>
      <c r="BA126" s="12">
        <v>227057533148</v>
      </c>
      <c r="BB126" s="12">
        <v>234155782207</v>
      </c>
      <c r="BC126" s="12">
        <v>237906765692</v>
      </c>
      <c r="BD126" s="12">
        <v>247436969996</v>
      </c>
      <c r="BE126" s="12">
        <v>248509470753</v>
      </c>
      <c r="BF126" s="12">
        <v>249548988610</v>
      </c>
      <c r="BG126" s="12">
        <v>249642208341</v>
      </c>
      <c r="BH126" s="12">
        <v>239440053690</v>
      </c>
      <c r="BI126" s="12">
        <v>234755395640</v>
      </c>
      <c r="BJ126" s="12">
        <v>227834897793</v>
      </c>
      <c r="BK126" s="12">
        <v>230496410801</v>
      </c>
      <c r="BL126" s="12">
        <v>228802950065</v>
      </c>
      <c r="BM126" s="12">
        <v>222383736327</v>
      </c>
      <c r="BN126" s="12">
        <v>215718329703</v>
      </c>
      <c r="BO126" s="12">
        <v>219422083915</v>
      </c>
      <c r="BP126" s="12">
        <v>227649509332</v>
      </c>
      <c r="BQ126" s="12">
        <v>234402080192</v>
      </c>
      <c r="BR126" s="12"/>
      <c r="BS126" s="12"/>
      <c r="BT126" s="12"/>
      <c r="BU126" s="12"/>
      <c r="BV126" s="12"/>
      <c r="BW126" s="12"/>
    </row>
    <row r="127" spans="1:75" ht="15" customHeight="1">
      <c r="A127" s="71">
        <v>124</v>
      </c>
      <c r="B127" s="95" t="s">
        <v>146</v>
      </c>
      <c r="C127" s="71">
        <v>5</v>
      </c>
      <c r="D127" s="3">
        <v>7011434016</v>
      </c>
      <c r="E127" s="3">
        <v>6866114087</v>
      </c>
      <c r="F127" s="3">
        <v>6604247969</v>
      </c>
      <c r="G127" s="3">
        <v>8097754802</v>
      </c>
      <c r="H127" s="3">
        <v>9110309761</v>
      </c>
      <c r="I127" s="3">
        <v>8883245441</v>
      </c>
      <c r="J127" s="3">
        <v>9166846880</v>
      </c>
      <c r="K127" s="3">
        <v>18876803509</v>
      </c>
      <c r="L127" s="3">
        <v>19730775705</v>
      </c>
      <c r="M127" s="3">
        <v>21434020146</v>
      </c>
      <c r="N127" s="3">
        <v>22129139524</v>
      </c>
      <c r="O127" s="3">
        <v>22118381174</v>
      </c>
      <c r="P127" s="3">
        <v>24545340794</v>
      </c>
      <c r="Q127" s="3">
        <v>28535238690</v>
      </c>
      <c r="R127" s="3">
        <v>27346669424</v>
      </c>
      <c r="S127" s="3">
        <v>25963095989</v>
      </c>
      <c r="T127" s="3">
        <v>26777838501</v>
      </c>
      <c r="U127" s="3">
        <v>28607377895</v>
      </c>
      <c r="V127" s="3">
        <v>30318771953</v>
      </c>
      <c r="W127" s="3">
        <v>31511956851</v>
      </c>
      <c r="X127" s="3">
        <v>34316938779</v>
      </c>
      <c r="Y127" s="3">
        <v>35464740163</v>
      </c>
      <c r="Z127" s="3">
        <v>35928320205</v>
      </c>
      <c r="AA127" s="3">
        <v>13486442573</v>
      </c>
      <c r="AB127" s="3">
        <v>48648122652</v>
      </c>
      <c r="AC127" s="3">
        <v>49228092719</v>
      </c>
      <c r="AD127" s="3">
        <v>46573306900</v>
      </c>
      <c r="AE127" s="3">
        <v>39348686559</v>
      </c>
      <c r="AF127" s="3">
        <v>36402870786</v>
      </c>
      <c r="AG127" s="3">
        <v>39185694910</v>
      </c>
      <c r="AH127" s="3">
        <v>72410340634</v>
      </c>
      <c r="AI127" s="3">
        <v>75953517723</v>
      </c>
      <c r="AJ127" s="3">
        <v>85879940945</v>
      </c>
      <c r="AK127" s="3">
        <v>104201089726</v>
      </c>
      <c r="AL127" s="3">
        <v>118209644313</v>
      </c>
      <c r="AM127" s="3">
        <v>125569735061</v>
      </c>
      <c r="AN127" s="3">
        <v>151242309208</v>
      </c>
      <c r="AO127" s="3">
        <v>153168048821</v>
      </c>
      <c r="AP127" s="3">
        <v>147897400024</v>
      </c>
      <c r="AQ127" s="3">
        <v>144938090423</v>
      </c>
      <c r="AR127" s="3">
        <v>147413337163</v>
      </c>
      <c r="AS127" s="3">
        <v>143259934823</v>
      </c>
      <c r="AT127" s="3">
        <v>133044486756</v>
      </c>
      <c r="AU127" s="3">
        <v>119519801263</v>
      </c>
      <c r="AV127" s="3">
        <v>111236853278</v>
      </c>
      <c r="AW127" s="3">
        <v>120910121395</v>
      </c>
      <c r="AX127" s="3">
        <v>115931936164</v>
      </c>
      <c r="AY127" s="3">
        <v>112689916038</v>
      </c>
      <c r="AZ127" s="3">
        <v>204759655867</v>
      </c>
      <c r="BA127" s="3">
        <v>209656736419</v>
      </c>
      <c r="BB127" s="3">
        <v>227057533148</v>
      </c>
      <c r="BC127" s="3">
        <v>234155782207</v>
      </c>
      <c r="BD127" s="3">
        <v>237906765692</v>
      </c>
      <c r="BE127" s="3">
        <v>247436969996</v>
      </c>
      <c r="BF127" s="3">
        <v>248509470753</v>
      </c>
      <c r="BG127" s="3">
        <v>249548988610</v>
      </c>
      <c r="BH127" s="3">
        <v>249642208341</v>
      </c>
      <c r="BI127" s="3">
        <v>239440053690</v>
      </c>
      <c r="BJ127" s="3">
        <v>234755395640</v>
      </c>
      <c r="BK127" s="3">
        <v>227834897793</v>
      </c>
      <c r="BL127" s="3">
        <v>230496410801</v>
      </c>
      <c r="BM127" s="3">
        <v>228802950065</v>
      </c>
      <c r="BN127" s="3">
        <v>222383736327</v>
      </c>
      <c r="BO127" s="3">
        <v>215718329703</v>
      </c>
      <c r="BP127" s="3">
        <v>219422083915</v>
      </c>
      <c r="BQ127" s="3">
        <v>227649509332</v>
      </c>
      <c r="BR127" s="3"/>
      <c r="BS127" s="3"/>
      <c r="BT127" s="3"/>
      <c r="BU127" s="3"/>
      <c r="BV127" s="3"/>
      <c r="BW127" s="3"/>
    </row>
    <row r="128" spans="1:75" ht="15" customHeight="1">
      <c r="A128" s="71">
        <v>125</v>
      </c>
      <c r="B128" s="95" t="s">
        <v>147</v>
      </c>
      <c r="C128" s="71">
        <v>5</v>
      </c>
      <c r="D128" s="3">
        <v>-145319929</v>
      </c>
      <c r="E128" s="3">
        <v>-261866118</v>
      </c>
      <c r="F128" s="3">
        <v>1493506834</v>
      </c>
      <c r="G128" s="3">
        <v>1012554959</v>
      </c>
      <c r="H128" s="3">
        <v>-227064320</v>
      </c>
      <c r="I128" s="3">
        <v>283601439</v>
      </c>
      <c r="J128" s="3">
        <v>9709956629</v>
      </c>
      <c r="K128" s="3">
        <v>853972196</v>
      </c>
      <c r="L128" s="3">
        <v>1703244441</v>
      </c>
      <c r="M128" s="3">
        <v>695119378</v>
      </c>
      <c r="N128" s="3">
        <v>-10758350</v>
      </c>
      <c r="O128" s="3">
        <v>2426959620</v>
      </c>
      <c r="P128" s="3">
        <v>3989897896</v>
      </c>
      <c r="Q128" s="3">
        <v>-1188569266</v>
      </c>
      <c r="R128" s="3">
        <v>-1383573435</v>
      </c>
      <c r="S128" s="3">
        <v>814742512</v>
      </c>
      <c r="T128" s="3">
        <v>1829539394</v>
      </c>
      <c r="U128" s="3">
        <v>1711394058</v>
      </c>
      <c r="V128" s="3">
        <v>1193184898</v>
      </c>
      <c r="W128" s="3">
        <v>2804981928</v>
      </c>
      <c r="X128" s="3">
        <v>1147801384</v>
      </c>
      <c r="Y128" s="3">
        <v>463580042</v>
      </c>
      <c r="Z128" s="3">
        <v>2103463162</v>
      </c>
      <c r="AA128" s="3">
        <v>35161680079</v>
      </c>
      <c r="AB128" s="3">
        <v>579970067</v>
      </c>
      <c r="AC128" s="3">
        <v>-2654785819</v>
      </c>
      <c r="AD128" s="3">
        <v>-7224620341</v>
      </c>
      <c r="AE128" s="3">
        <v>-2945815773</v>
      </c>
      <c r="AF128" s="3">
        <v>2782824124</v>
      </c>
      <c r="AG128" s="3">
        <v>33224645724</v>
      </c>
      <c r="AH128" s="3">
        <v>3543177089</v>
      </c>
      <c r="AI128" s="3">
        <v>9926423222</v>
      </c>
      <c r="AJ128" s="3">
        <v>18321148781</v>
      </c>
      <c r="AK128" s="3">
        <v>14008554587</v>
      </c>
      <c r="AL128" s="3">
        <v>7360090748</v>
      </c>
      <c r="AM128" s="3">
        <v>25672574147</v>
      </c>
      <c r="AN128" s="3">
        <v>1925739613</v>
      </c>
      <c r="AO128" s="3">
        <v>-5270648797</v>
      </c>
      <c r="AP128" s="3">
        <v>-2959309601</v>
      </c>
      <c r="AQ128" s="3">
        <v>2475246740</v>
      </c>
      <c r="AR128" s="3">
        <v>-4153402340</v>
      </c>
      <c r="AS128" s="3">
        <v>-10215448067</v>
      </c>
      <c r="AT128" s="3">
        <v>-13524685493</v>
      </c>
      <c r="AU128" s="3">
        <v>-8282947985</v>
      </c>
      <c r="AV128" s="3">
        <v>9673268117</v>
      </c>
      <c r="AW128" s="3">
        <v>-4978185231</v>
      </c>
      <c r="AX128" s="3">
        <v>-3242020126</v>
      </c>
      <c r="AY128" s="3">
        <v>92069739829</v>
      </c>
      <c r="AZ128" s="3">
        <v>4897080552</v>
      </c>
      <c r="BA128" s="3">
        <v>17400796729</v>
      </c>
      <c r="BB128" s="3">
        <v>7098249059</v>
      </c>
      <c r="BC128" s="3">
        <v>3750983485</v>
      </c>
      <c r="BD128" s="3">
        <v>9530204304</v>
      </c>
      <c r="BE128" s="3">
        <v>1072500757</v>
      </c>
      <c r="BF128" s="3">
        <v>1039517857</v>
      </c>
      <c r="BG128" s="3">
        <v>93219731</v>
      </c>
      <c r="BH128" s="3">
        <v>-10202154651</v>
      </c>
      <c r="BI128" s="3">
        <v>-4684658050</v>
      </c>
      <c r="BJ128" s="3">
        <v>-6920497847</v>
      </c>
      <c r="BK128" s="3">
        <v>2661513008</v>
      </c>
      <c r="BL128" s="3">
        <v>-1693460736</v>
      </c>
      <c r="BM128" s="3">
        <v>-6419213738</v>
      </c>
      <c r="BN128" s="3">
        <v>-6665406624</v>
      </c>
      <c r="BO128" s="3">
        <v>3703754212</v>
      </c>
      <c r="BP128" s="3">
        <v>8227425417</v>
      </c>
      <c r="BQ128" s="3">
        <v>6752570860</v>
      </c>
      <c r="BR128" s="3"/>
      <c r="BS128" s="3"/>
      <c r="BT128" s="3"/>
      <c r="BU128" s="3"/>
      <c r="BV128" s="3"/>
      <c r="BW128" s="3"/>
    </row>
    <row r="129" spans="1:75" s="98" customFormat="1" ht="15" customHeight="1">
      <c r="A129" s="96">
        <v>126</v>
      </c>
      <c r="B129" s="97" t="s">
        <v>344</v>
      </c>
      <c r="C129" s="96">
        <v>5</v>
      </c>
      <c r="D129" s="13">
        <v>701373726033</v>
      </c>
      <c r="E129" s="13">
        <v>704632325523</v>
      </c>
      <c r="F129" s="13">
        <v>711365330495</v>
      </c>
      <c r="G129" s="13">
        <v>725023303982</v>
      </c>
      <c r="H129" s="13">
        <v>734864260539</v>
      </c>
      <c r="I129" s="13">
        <v>736826000657</v>
      </c>
      <c r="J129" s="13">
        <v>756001934149</v>
      </c>
      <c r="K129" s="13">
        <v>753102394660</v>
      </c>
      <c r="L129" s="13">
        <v>759238087269</v>
      </c>
      <c r="M129" s="13">
        <v>759094526986</v>
      </c>
      <c r="N129" s="13">
        <v>769647066690</v>
      </c>
      <c r="O129" s="13">
        <v>776933763105</v>
      </c>
      <c r="P129" s="13">
        <v>794468132179</v>
      </c>
      <c r="Q129" s="13">
        <v>798518130349</v>
      </c>
      <c r="R129" s="13">
        <v>808110795127</v>
      </c>
      <c r="S129" s="13">
        <v>849864718615</v>
      </c>
      <c r="T129" s="13">
        <v>873481481467</v>
      </c>
      <c r="U129" s="13">
        <v>891363754606</v>
      </c>
      <c r="V129" s="13">
        <v>882603624562</v>
      </c>
      <c r="W129" s="13">
        <v>910588886247</v>
      </c>
      <c r="X129" s="13">
        <v>931223812753</v>
      </c>
      <c r="Y129" s="13">
        <v>945311368331</v>
      </c>
      <c r="Z129" s="13">
        <v>948196711170</v>
      </c>
      <c r="AA129" s="13">
        <v>842899635906</v>
      </c>
      <c r="AB129" s="13">
        <v>838624488703</v>
      </c>
      <c r="AC129" s="13">
        <v>846789415983</v>
      </c>
      <c r="AD129" s="13">
        <v>832358719704</v>
      </c>
      <c r="AE129" s="13">
        <v>812844217459</v>
      </c>
      <c r="AF129" s="13">
        <v>815732288563</v>
      </c>
      <c r="AG129" s="13">
        <v>868767124021</v>
      </c>
      <c r="AH129" s="13">
        <v>891509315744</v>
      </c>
      <c r="AI129" s="13">
        <v>873167455978</v>
      </c>
      <c r="AJ129" s="13">
        <v>857107570729</v>
      </c>
      <c r="AK129" s="13">
        <v>916472332878</v>
      </c>
      <c r="AL129" s="13">
        <v>960382808384</v>
      </c>
      <c r="AM129" s="13">
        <f>AM114+AM82</f>
        <v>1010751275431</v>
      </c>
      <c r="AN129" s="13">
        <v>1057106496455</v>
      </c>
      <c r="AO129" s="13">
        <v>1040899556726</v>
      </c>
      <c r="AP129" s="13">
        <v>1086669152157</v>
      </c>
      <c r="AQ129" s="13">
        <v>1148318840816</v>
      </c>
      <c r="AR129" s="13">
        <v>1198063045295</v>
      </c>
      <c r="AS129" s="13">
        <v>1227310309881</v>
      </c>
      <c r="AT129" s="13">
        <v>1174913086353</v>
      </c>
      <c r="AU129" s="13">
        <v>1123552712261</v>
      </c>
      <c r="AV129" s="13">
        <v>1164304769268</v>
      </c>
      <c r="AW129" s="13">
        <v>1184459048233</v>
      </c>
      <c r="AX129" s="13">
        <v>1262755141991</v>
      </c>
      <c r="AY129" s="14">
        <v>1255526266731</v>
      </c>
      <c r="AZ129" s="14">
        <v>1184167227046</v>
      </c>
      <c r="BA129" s="14">
        <v>1099673392126</v>
      </c>
      <c r="BB129" s="14">
        <v>1153710875298</v>
      </c>
      <c r="BC129" s="14">
        <v>1224376777626</v>
      </c>
      <c r="BD129" s="14">
        <v>1280979662011</v>
      </c>
      <c r="BE129" s="14">
        <v>1310961670922</v>
      </c>
      <c r="BF129" s="14">
        <v>1296565798277</v>
      </c>
      <c r="BG129" s="14">
        <v>1356526045802</v>
      </c>
      <c r="BH129" s="14">
        <v>1344912228849</v>
      </c>
      <c r="BI129" s="14">
        <v>1299331457948</v>
      </c>
      <c r="BJ129" s="14">
        <v>1275169884404</v>
      </c>
      <c r="BK129" s="14">
        <v>1266017714532</v>
      </c>
      <c r="BL129" s="14">
        <v>1211566398236</v>
      </c>
      <c r="BM129" s="14">
        <v>1233002251518</v>
      </c>
      <c r="BN129" s="14">
        <v>1192063370403</v>
      </c>
      <c r="BO129" s="14">
        <v>1173001139790</v>
      </c>
      <c r="BP129" s="14">
        <v>1251902380916</v>
      </c>
      <c r="BQ129" s="14">
        <v>1315618995207</v>
      </c>
      <c r="BR129" s="14"/>
      <c r="BS129" s="14"/>
      <c r="BT129" s="14"/>
      <c r="BU129" s="14"/>
      <c r="BV129" s="14"/>
      <c r="BW129" s="14"/>
    </row>
    <row r="130" spans="1:75" ht="15" customHeight="1">
      <c r="A130" s="28"/>
      <c r="B130" s="27"/>
      <c r="C130" s="28"/>
      <c r="D130" s="28"/>
      <c r="E130" s="28"/>
      <c r="F130" s="28"/>
      <c r="G130" s="28"/>
      <c r="H130" s="28"/>
      <c r="I130" s="28"/>
      <c r="J130" s="29"/>
      <c r="K130" s="29"/>
      <c r="L130" s="29"/>
      <c r="M130" s="29"/>
      <c r="N130" s="29"/>
      <c r="O130" s="29"/>
      <c r="P130" s="30"/>
      <c r="Q130" s="30"/>
      <c r="R130" s="30"/>
      <c r="S130" s="30"/>
      <c r="T130" s="30"/>
      <c r="U130" s="30"/>
      <c r="V130" s="30"/>
      <c r="W130" s="30"/>
      <c r="X130" s="31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</row>
    <row r="131" spans="1:75" ht="1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</row>
    <row r="132" spans="1:75" ht="1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</row>
    <row r="133" spans="1:75" ht="1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</row>
    <row r="134" spans="1:75" ht="1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</row>
    <row r="135" spans="1:75" ht="1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</row>
    <row r="136" spans="1:75" ht="1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</row>
    <row r="137" spans="1:75" ht="1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</row>
    <row r="138" spans="1:75" ht="1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</row>
    <row r="139" spans="1:75" ht="1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</row>
    <row r="140" spans="1:75" ht="1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</row>
    <row r="141" spans="1:75" ht="1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</row>
    <row r="142" spans="1:75" ht="1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</row>
    <row r="143" spans="1:75" ht="1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</row>
    <row r="144" spans="1:75" ht="1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</row>
    <row r="145" spans="1:39" ht="1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</row>
    <row r="146" spans="1:39" ht="1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</row>
    <row r="147" spans="1:39" ht="1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</row>
    <row r="148" spans="1:39" ht="1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</row>
    <row r="149" spans="1:39" ht="1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</row>
    <row r="150" spans="1:39" ht="1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</row>
    <row r="151" spans="1:39" ht="15" customHeight="1">
      <c r="A151" s="99"/>
      <c r="B151" s="100"/>
      <c r="C151" s="99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2"/>
      <c r="O151" s="102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</row>
    <row r="152" spans="1:39" ht="1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</row>
    <row r="153" spans="1:39" ht="1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</row>
    <row r="154" spans="1:39" ht="1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</row>
    <row r="155" spans="1:39" ht="1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</row>
    <row r="156" spans="1:39" ht="1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</row>
    <row r="157" spans="1:39" ht="1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</row>
    <row r="158" spans="1:39" ht="13.2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</row>
    <row r="159" spans="1:39" ht="1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</row>
    <row r="160" spans="1:39" ht="1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</row>
    <row r="161" s="60" customFormat="1" ht="15" customHeight="1"/>
    <row r="162" s="60" customFormat="1" ht="13.2"/>
    <row r="163" s="60" customFormat="1" ht="15" customHeight="1"/>
    <row r="164" s="60" customFormat="1" ht="15" customHeight="1"/>
    <row r="165" s="60" customFormat="1" ht="13.2"/>
    <row r="166" s="60" customFormat="1" ht="15" customHeight="1"/>
    <row r="167" s="60" customFormat="1" ht="15" customHeight="1"/>
    <row r="168" s="60" customFormat="1" ht="15" customHeight="1"/>
    <row r="169" s="60" customFormat="1" ht="15" customHeight="1"/>
    <row r="170" s="60" customFormat="1" ht="15" customHeight="1"/>
    <row r="171" s="60" customFormat="1" ht="15" customHeight="1"/>
    <row r="172" s="60" customFormat="1" ht="15" customHeight="1"/>
    <row r="173" s="60" customFormat="1" ht="15" customHeight="1"/>
    <row r="174" s="60" customFormat="1" ht="13.2"/>
    <row r="175" s="60" customFormat="1" ht="13.2"/>
    <row r="176" s="60" customFormat="1" ht="13.2"/>
    <row r="177" s="60" customFormat="1" ht="13.2"/>
    <row r="178" s="60" customFormat="1" ht="15" customHeight="1"/>
    <row r="179" s="60" customFormat="1" ht="15" customHeight="1"/>
    <row r="180" s="60" customFormat="1" ht="15" customHeight="1"/>
    <row r="181" s="60" customFormat="1" ht="15" customHeight="1"/>
    <row r="182" s="60" customFormat="1" ht="15" customHeight="1"/>
    <row r="183" s="60" customFormat="1" ht="13.2"/>
    <row r="184" s="60" customFormat="1" ht="13.2"/>
    <row r="185" s="60" customFormat="1" ht="15" customHeight="1"/>
    <row r="186" s="60" customFormat="1" ht="15" customHeight="1"/>
    <row r="187" s="60" customFormat="1" ht="15" customHeight="1"/>
    <row r="188" s="60" customFormat="1" ht="15" customHeight="1"/>
    <row r="189" s="60" customFormat="1" ht="15" customHeight="1"/>
    <row r="190" s="60" customFormat="1" ht="15" customHeight="1"/>
    <row r="191" s="60" customFormat="1" ht="15" customHeight="1"/>
    <row r="192" s="60" customFormat="1" ht="15" customHeight="1"/>
    <row r="193" spans="1:39" ht="1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</row>
    <row r="194" spans="1:39" ht="15" customHeight="1"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</row>
    <row r="195" spans="1:39" ht="1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</row>
    <row r="196" spans="1:39" ht="1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</row>
    <row r="197" spans="1:39" ht="1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</row>
    <row r="198" spans="1:39" ht="1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</row>
    <row r="199" spans="1:39" ht="1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</row>
    <row r="200" spans="1:39" ht="1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</row>
    <row r="201" spans="1:39" ht="1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</row>
    <row r="202" spans="1:39" ht="1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</row>
    <row r="203" spans="1:39" ht="1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</row>
    <row r="204" spans="1:39" ht="1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</row>
    <row r="205" spans="1:39" ht="1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</row>
    <row r="206" spans="1:39" ht="1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</row>
    <row r="207" spans="1:39" ht="1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</row>
    <row r="208" spans="1:39" ht="1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</row>
    <row r="209" s="60" customFormat="1" ht="15" customHeight="1"/>
    <row r="210" s="60" customFormat="1" ht="15" customHeight="1"/>
    <row r="211" s="60" customFormat="1" ht="15" customHeight="1"/>
    <row r="212" s="60" customFormat="1" ht="15" customHeight="1"/>
    <row r="213" s="60" customFormat="1" ht="15" customHeight="1"/>
    <row r="214" s="60" customFormat="1" ht="15" customHeight="1"/>
    <row r="215" s="60" customFormat="1" ht="15" customHeight="1"/>
    <row r="216" s="60" customFormat="1" ht="15" customHeight="1"/>
    <row r="217" s="60" customFormat="1" ht="15" customHeight="1"/>
    <row r="218" s="60" customFormat="1" ht="15" customHeight="1"/>
    <row r="219" s="60" customFormat="1" ht="15" customHeight="1"/>
    <row r="220" s="60" customFormat="1" ht="15" customHeight="1"/>
    <row r="221" s="60" customFormat="1" ht="15" customHeight="1"/>
    <row r="222" s="60" customFormat="1" ht="15" customHeight="1"/>
    <row r="223" s="60" customFormat="1" ht="15" customHeight="1"/>
    <row r="224" s="60" customFormat="1" ht="15" customHeight="1"/>
    <row r="225" s="60" customFormat="1" ht="15" customHeight="1"/>
    <row r="226" s="60" customFormat="1" ht="15" customHeight="1"/>
    <row r="227" s="60" customFormat="1" ht="15" customHeight="1"/>
    <row r="228" s="60" customFormat="1" ht="15" customHeight="1"/>
    <row r="229" s="60" customFormat="1" ht="15" customHeight="1"/>
    <row r="230" s="60" customFormat="1" ht="15" customHeight="1"/>
    <row r="231" s="60" customFormat="1" ht="15" customHeight="1"/>
    <row r="232" s="60" customFormat="1" ht="15" customHeight="1"/>
    <row r="233" s="60" customFormat="1" ht="15" customHeight="1"/>
    <row r="234" s="60" customFormat="1" ht="15" customHeight="1"/>
    <row r="235" s="60" customFormat="1" ht="15" customHeight="1"/>
    <row r="236" s="60" customFormat="1" ht="15" customHeight="1"/>
    <row r="237" s="60" customFormat="1" ht="15" customHeight="1"/>
    <row r="238" s="60" customFormat="1" ht="15" customHeight="1"/>
    <row r="239" s="60" customFormat="1" ht="15" customHeight="1"/>
    <row r="240" s="60" customFormat="1" ht="15" customHeight="1"/>
    <row r="241" s="60" customFormat="1" ht="15" customHeight="1"/>
    <row r="242" s="60" customFormat="1" ht="15" customHeight="1"/>
    <row r="243" s="60" customFormat="1" ht="15" customHeight="1"/>
    <row r="244" s="60" customFormat="1" ht="15" customHeight="1"/>
    <row r="245" s="60" customFormat="1" ht="15" customHeight="1"/>
    <row r="246" s="60" customFormat="1" ht="15" customHeight="1"/>
    <row r="247" s="60" customFormat="1" ht="15" customHeight="1"/>
    <row r="248" s="60" customFormat="1" ht="15" customHeight="1"/>
    <row r="249" s="60" customFormat="1" ht="15" customHeight="1"/>
    <row r="251" s="60" customFormat="1" ht="15" customHeight="1"/>
    <row r="252" s="60" customFormat="1" ht="15" customHeight="1"/>
    <row r="253" s="60" customFormat="1" ht="15" customHeight="1"/>
    <row r="254" s="60" customFormat="1" ht="15" customHeight="1"/>
    <row r="255" s="60" customFormat="1" ht="15" customHeight="1"/>
    <row r="256" s="60" customFormat="1" ht="15" customHeight="1"/>
    <row r="257" s="60" customFormat="1" ht="15" customHeight="1"/>
    <row r="258" s="60" customFormat="1" ht="15" customHeight="1"/>
    <row r="259" s="60" customFormat="1" ht="15" customHeight="1"/>
    <row r="260" s="60" customFormat="1" ht="15" customHeight="1"/>
    <row r="261" s="60" customFormat="1" ht="15" customHeight="1"/>
    <row r="262" s="60" customFormat="1" ht="15" customHeight="1"/>
    <row r="263" s="60" customFormat="1" ht="15" customHeight="1"/>
    <row r="264" s="60" customFormat="1" ht="15" customHeight="1"/>
    <row r="265" s="60" customFormat="1" ht="15" customHeight="1"/>
    <row r="266" s="60" customFormat="1" ht="15" customHeight="1"/>
    <row r="267" s="60" customFormat="1" ht="15" customHeight="1"/>
    <row r="268" s="60" customFormat="1" ht="15" customHeight="1"/>
    <row r="269" s="60" customFormat="1" ht="15" customHeight="1"/>
    <row r="270" s="60" customFormat="1" ht="15" customHeight="1"/>
    <row r="271" s="60" customFormat="1" ht="15" customHeight="1"/>
    <row r="272" s="60" customFormat="1" ht="15" customHeight="1"/>
    <row r="273" s="60" customFormat="1" ht="15" customHeight="1"/>
    <row r="274" s="60" customFormat="1" ht="15" customHeight="1"/>
    <row r="275" s="60" customFormat="1" ht="15" customHeight="1"/>
    <row r="276" s="60" customFormat="1" ht="15" customHeight="1"/>
    <row r="277" s="60" customFormat="1" ht="15" customHeight="1"/>
    <row r="278" s="60" customFormat="1" ht="15" customHeight="1"/>
    <row r="279" s="60" customFormat="1" ht="15" customHeight="1"/>
    <row r="280" s="60" customFormat="1" ht="15" customHeight="1"/>
    <row r="281" s="60" customFormat="1" ht="15" customHeight="1"/>
    <row r="282" s="60" customFormat="1" ht="15" customHeight="1"/>
    <row r="283" s="60" customFormat="1" ht="15" customHeight="1"/>
    <row r="284" s="60" customFormat="1" ht="15" customHeight="1"/>
    <row r="285" s="60" customFormat="1" ht="15" customHeight="1"/>
    <row r="286" s="60" customFormat="1" ht="15" customHeight="1"/>
    <row r="287" s="60" customFormat="1" ht="15" customHeight="1"/>
    <row r="288" s="60" customFormat="1" ht="15" customHeight="1"/>
    <row r="289" s="106" customFormat="1" ht="15" customHeight="1"/>
    <row r="290" s="60" customFormat="1" ht="15" customHeight="1"/>
    <row r="291" s="60" customFormat="1" ht="15" customHeight="1"/>
    <row r="292" s="60" customFormat="1" ht="15" customHeight="1"/>
    <row r="293" s="60" customFormat="1" ht="15" customHeight="1"/>
    <row r="294" s="60" customFormat="1" ht="15" customHeight="1"/>
    <row r="295" s="60" customFormat="1" ht="15" customHeight="1"/>
    <row r="296" s="60" customFormat="1" ht="15" customHeight="1"/>
    <row r="297" s="60" customFormat="1" ht="15" customHeight="1"/>
    <row r="298" s="60" customFormat="1" ht="15" customHeight="1"/>
    <row r="299" s="60" customFormat="1" ht="15" customHeight="1"/>
    <row r="300" s="60" customFormat="1" ht="15" customHeight="1"/>
    <row r="301" s="60" customFormat="1" ht="15" customHeight="1"/>
    <row r="302" s="60" customFormat="1" ht="15" customHeight="1"/>
    <row r="303" s="60" customFormat="1" ht="15" customHeight="1"/>
    <row r="304" s="60" customFormat="1" ht="15" customHeight="1"/>
    <row r="315" spans="4:24" ht="15" customHeight="1"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</sheetData>
  <sheetProtection algorithmName="SHA-512" hashValue="c6rXXFwt0Fy2E7oooq9RMz7j4V8AxnrrIi1Iz1GedwKFmbrmHHWkQYhVlgxzOdmEZE9NV8vJDDJ33iqzAsfpYQ==" saltValue="gP/4TPf9DtymgllUypYn+Q==" spinCount="100000" sheet="1" objects="1" scenarios="1"/>
  <protectedRanges>
    <protectedRange sqref="D4:BW129" name="BS"/>
  </protectedRanges>
  <phoneticPr fontId="49" type="noConversion"/>
  <pageMargins left="0.18" right="0.2" top="0.18" bottom="0.16" header="0.17" footer="0.16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2A50-7006-4226-9158-4AFC110AD560}">
  <sheetPr>
    <tabColor theme="9" tint="0.59999389629810485"/>
  </sheetPr>
  <dimension ref="A1:BW23"/>
  <sheetViews>
    <sheetView showGridLines="0" zoomScale="85" zoomScaleNormal="85" workbookViewId="0">
      <pane xSplit="3" ySplit="3" topLeftCell="BJ4" activePane="bottomRight" state="frozen"/>
      <selection pane="topRight" activeCell="BL10" sqref="BL10"/>
      <selection pane="bottomLeft" activeCell="BL10" sqref="BL10"/>
      <selection pane="bottomRight" activeCell="BG19" sqref="BG19"/>
    </sheetView>
  </sheetViews>
  <sheetFormatPr defaultRowHeight="14.4"/>
  <cols>
    <col min="1" max="1" width="7" hidden="1" customWidth="1"/>
    <col min="2" max="2" width="56" bestFit="1" customWidth="1"/>
    <col min="3" max="3" width="12.33203125" hidden="1" customWidth="1"/>
    <col min="4" max="10" width="15.5546875" customWidth="1"/>
    <col min="11" max="11" width="16.33203125" customWidth="1"/>
    <col min="12" max="14" width="15.5546875" customWidth="1"/>
    <col min="15" max="15" width="16.6640625" customWidth="1"/>
    <col min="16" max="16" width="15.5546875" customWidth="1"/>
    <col min="17" max="17" width="16.33203125" customWidth="1"/>
    <col min="18" max="44" width="16.6640625" customWidth="1"/>
    <col min="45" max="46" width="17.44140625" customWidth="1"/>
    <col min="47" max="49" width="18" customWidth="1"/>
    <col min="50" max="50" width="16.6640625" customWidth="1"/>
    <col min="51" max="51" width="18" customWidth="1"/>
    <col min="52" max="52" width="16.6640625" bestFit="1" customWidth="1"/>
    <col min="53" max="59" width="18" bestFit="1" customWidth="1"/>
    <col min="60" max="60" width="17.44140625" bestFit="1" customWidth="1"/>
    <col min="61" max="63" width="16.6640625" bestFit="1" customWidth="1"/>
    <col min="64" max="64" width="18" bestFit="1" customWidth="1"/>
    <col min="65" max="75" width="18" customWidth="1"/>
  </cols>
  <sheetData>
    <row r="1" spans="1:75" ht="17.399999999999999">
      <c r="B1" s="56" t="s">
        <v>236</v>
      </c>
    </row>
    <row r="2" spans="1:75">
      <c r="B2" s="62" t="s">
        <v>237</v>
      </c>
      <c r="AZ2" s="539"/>
    </row>
    <row r="3" spans="1:75" ht="27.6">
      <c r="A3" s="192" t="s">
        <v>345</v>
      </c>
      <c r="B3" s="193" t="s">
        <v>346</v>
      </c>
      <c r="C3" s="192" t="s">
        <v>240</v>
      </c>
      <c r="D3" s="192" t="s">
        <v>241</v>
      </c>
      <c r="E3" s="192" t="s">
        <v>242</v>
      </c>
      <c r="F3" s="192" t="s">
        <v>243</v>
      </c>
      <c r="G3" s="192" t="s">
        <v>244</v>
      </c>
      <c r="H3" s="192" t="s">
        <v>245</v>
      </c>
      <c r="I3" s="192" t="s">
        <v>246</v>
      </c>
      <c r="J3" s="192" t="s">
        <v>247</v>
      </c>
      <c r="K3" s="192" t="s">
        <v>248</v>
      </c>
      <c r="L3" s="192" t="s">
        <v>249</v>
      </c>
      <c r="M3" s="192" t="s">
        <v>250</v>
      </c>
      <c r="N3" s="192" t="s">
        <v>251</v>
      </c>
      <c r="O3" s="192" t="s">
        <v>252</v>
      </c>
      <c r="P3" s="192" t="s">
        <v>253</v>
      </c>
      <c r="Q3" s="192" t="s">
        <v>254</v>
      </c>
      <c r="R3" s="192" t="s">
        <v>255</v>
      </c>
      <c r="S3" s="192" t="s">
        <v>256</v>
      </c>
      <c r="T3" s="192" t="s">
        <v>257</v>
      </c>
      <c r="U3" s="192" t="s">
        <v>258</v>
      </c>
      <c r="V3" s="192" t="s">
        <v>259</v>
      </c>
      <c r="W3" s="192" t="s">
        <v>260</v>
      </c>
      <c r="X3" s="192" t="s">
        <v>261</v>
      </c>
      <c r="Y3" s="192" t="s">
        <v>262</v>
      </c>
      <c r="Z3" s="192" t="s">
        <v>263</v>
      </c>
      <c r="AA3" s="192" t="s">
        <v>264</v>
      </c>
      <c r="AB3" s="192" t="s">
        <v>265</v>
      </c>
      <c r="AC3" s="192" t="s">
        <v>266</v>
      </c>
      <c r="AD3" s="192" t="s">
        <v>267</v>
      </c>
      <c r="AE3" s="192" t="s">
        <v>268</v>
      </c>
      <c r="AF3" s="192" t="s">
        <v>269</v>
      </c>
      <c r="AG3" s="192" t="s">
        <v>270</v>
      </c>
      <c r="AH3" s="192" t="s">
        <v>271</v>
      </c>
      <c r="AI3" s="192" t="s">
        <v>272</v>
      </c>
      <c r="AJ3" s="192" t="s">
        <v>273</v>
      </c>
      <c r="AK3" s="192" t="s">
        <v>274</v>
      </c>
      <c r="AL3" s="192" t="s">
        <v>275</v>
      </c>
      <c r="AM3" s="192" t="s">
        <v>276</v>
      </c>
      <c r="AN3" s="192" t="s">
        <v>277</v>
      </c>
      <c r="AO3" s="192" t="s">
        <v>278</v>
      </c>
      <c r="AP3" s="192" t="s">
        <v>279</v>
      </c>
      <c r="AQ3" s="192" t="s">
        <v>280</v>
      </c>
      <c r="AR3" s="192" t="s">
        <v>281</v>
      </c>
      <c r="AS3" s="192" t="s">
        <v>282</v>
      </c>
      <c r="AT3" s="192" t="s">
        <v>283</v>
      </c>
      <c r="AU3" s="192" t="s">
        <v>284</v>
      </c>
      <c r="AV3" s="192" t="s">
        <v>285</v>
      </c>
      <c r="AW3" s="192" t="s">
        <v>286</v>
      </c>
      <c r="AX3" s="192" t="s">
        <v>287</v>
      </c>
      <c r="AY3" s="192" t="s">
        <v>288</v>
      </c>
      <c r="AZ3" s="192" t="s">
        <v>289</v>
      </c>
      <c r="BA3" s="192" t="s">
        <v>290</v>
      </c>
      <c r="BB3" s="192" t="s">
        <v>291</v>
      </c>
      <c r="BC3" s="192" t="s">
        <v>292</v>
      </c>
      <c r="BD3" s="192" t="s">
        <v>293</v>
      </c>
      <c r="BE3" s="192" t="s">
        <v>294</v>
      </c>
      <c r="BF3" s="192" t="s">
        <v>295</v>
      </c>
      <c r="BG3" s="192" t="s">
        <v>296</v>
      </c>
      <c r="BH3" s="192" t="s">
        <v>297</v>
      </c>
      <c r="BI3" s="192" t="s">
        <v>298</v>
      </c>
      <c r="BJ3" s="192" t="s">
        <v>299</v>
      </c>
      <c r="BK3" s="192" t="s">
        <v>300</v>
      </c>
      <c r="BL3" s="192" t="s">
        <v>301</v>
      </c>
      <c r="BM3" s="192" t="s">
        <v>302</v>
      </c>
      <c r="BN3" s="192" t="s">
        <v>303</v>
      </c>
      <c r="BO3" s="192" t="s">
        <v>304</v>
      </c>
      <c r="BP3" s="192" t="s">
        <v>305</v>
      </c>
      <c r="BQ3" s="192" t="s">
        <v>306</v>
      </c>
      <c r="BR3" s="192" t="s">
        <v>307</v>
      </c>
      <c r="BS3" s="192" t="s">
        <v>308</v>
      </c>
      <c r="BT3" s="192" t="s">
        <v>309</v>
      </c>
      <c r="BU3" s="192" t="s">
        <v>310</v>
      </c>
      <c r="BV3" s="192" t="s">
        <v>311</v>
      </c>
      <c r="BW3" s="192" t="s">
        <v>312</v>
      </c>
    </row>
    <row r="4" spans="1:75">
      <c r="A4" s="108">
        <v>1</v>
      </c>
      <c r="B4" s="109" t="s">
        <v>347</v>
      </c>
      <c r="C4" s="108">
        <v>5</v>
      </c>
      <c r="D4" s="33">
        <v>76.025000000000006</v>
      </c>
      <c r="E4" s="33">
        <v>61</v>
      </c>
      <c r="F4" s="33">
        <v>303.8</v>
      </c>
      <c r="G4" s="33">
        <v>215.35</v>
      </c>
      <c r="H4" s="33">
        <v>35.93</v>
      </c>
      <c r="I4" s="33">
        <v>30.437000000000001</v>
      </c>
      <c r="J4" s="33">
        <v>87.5</v>
      </c>
      <c r="K4" s="33">
        <v>69.2</v>
      </c>
      <c r="L4" s="33">
        <v>115.5</v>
      </c>
      <c r="M4" s="33">
        <v>262.5</v>
      </c>
      <c r="N4" s="33">
        <v>284.8</v>
      </c>
      <c r="O4" s="33">
        <v>589.91999999999996</v>
      </c>
      <c r="P4" s="33">
        <v>250.8</v>
      </c>
      <c r="Q4" s="33">
        <v>242</v>
      </c>
      <c r="R4" s="33">
        <v>710</v>
      </c>
      <c r="S4" s="33">
        <v>815.18899999999996</v>
      </c>
      <c r="T4" s="33">
        <v>578.20799999999997</v>
      </c>
      <c r="U4" s="33">
        <v>678.9</v>
      </c>
      <c r="V4" s="33">
        <v>421.5</v>
      </c>
      <c r="W4" s="33">
        <v>1104.4680000000001</v>
      </c>
      <c r="X4" s="33">
        <v>1030.32</v>
      </c>
      <c r="Y4" s="33">
        <v>1178.2750000000001</v>
      </c>
      <c r="Z4" s="33">
        <v>981.1</v>
      </c>
      <c r="AA4" s="33">
        <v>1860.105</v>
      </c>
      <c r="AB4" s="33">
        <v>651.79999999999995</v>
      </c>
      <c r="AC4" s="33">
        <v>653.07500000000005</v>
      </c>
      <c r="AD4" s="33">
        <v>1875.95</v>
      </c>
      <c r="AE4" s="33">
        <v>1792.575</v>
      </c>
      <c r="AF4" s="33">
        <v>1632.875</v>
      </c>
      <c r="AG4" s="33">
        <v>1573.9749999999999</v>
      </c>
      <c r="AH4" s="33">
        <v>2078.5990000000002</v>
      </c>
      <c r="AI4" s="33">
        <v>2591.9430000000002</v>
      </c>
      <c r="AJ4" s="33">
        <v>2246.875</v>
      </c>
      <c r="AK4" s="33">
        <v>3057.3470000000002</v>
      </c>
      <c r="AL4" s="33">
        <v>2111.308</v>
      </c>
      <c r="AM4" s="33">
        <v>2315.768</v>
      </c>
      <c r="AN4" s="33">
        <v>3553.2</v>
      </c>
      <c r="AO4" s="33">
        <v>2285.0509999999999</v>
      </c>
      <c r="AP4" s="33">
        <v>2972.0680000000002</v>
      </c>
      <c r="AQ4" s="33">
        <v>3202.752</v>
      </c>
      <c r="AR4" s="33">
        <v>3455.89</v>
      </c>
      <c r="AS4" s="33">
        <v>2432.3249999999998</v>
      </c>
      <c r="AT4" s="33">
        <v>1986.8530000000001</v>
      </c>
      <c r="AU4" s="33">
        <v>5184.5942000000005</v>
      </c>
      <c r="AV4" s="33">
        <v>4932.5069999999996</v>
      </c>
      <c r="AW4" s="33">
        <v>4058.203</v>
      </c>
      <c r="AX4" s="33">
        <v>2606.2530000000002</v>
      </c>
      <c r="AY4" s="33">
        <v>3375.1480000000001</v>
      </c>
      <c r="AZ4" s="33">
        <v>3612.7512999999999</v>
      </c>
      <c r="BA4" s="33">
        <v>6002.0379999999996</v>
      </c>
      <c r="BB4" s="33">
        <v>4985.5379999999996</v>
      </c>
      <c r="BC4" s="33">
        <v>4060.3609999999999</v>
      </c>
      <c r="BD4" s="33">
        <v>4785.7602999999999</v>
      </c>
      <c r="BE4" s="33">
        <v>3895.6950000000002</v>
      </c>
      <c r="BF4" s="33">
        <v>4652.4191000000001</v>
      </c>
      <c r="BG4" s="33">
        <v>5655.27</v>
      </c>
      <c r="BH4" s="33">
        <v>3106.2919999999999</v>
      </c>
      <c r="BI4" s="33">
        <v>3393.5369999999998</v>
      </c>
      <c r="BJ4" s="33">
        <v>3040.82</v>
      </c>
      <c r="BK4" s="33">
        <v>3185.6790000000001</v>
      </c>
      <c r="BL4" s="33">
        <v>4409.9920000000002</v>
      </c>
      <c r="BM4" s="33">
        <v>3267.6</v>
      </c>
      <c r="BN4" s="33">
        <v>6445.4459999999999</v>
      </c>
      <c r="BO4" s="33">
        <v>5748.625</v>
      </c>
      <c r="BP4" s="33">
        <v>5140.924</v>
      </c>
      <c r="BQ4" s="33">
        <v>4096.5715</v>
      </c>
      <c r="BR4" s="33"/>
      <c r="BS4" s="33"/>
      <c r="BT4" s="33"/>
      <c r="BU4" s="33"/>
      <c r="BV4" s="33"/>
      <c r="BW4" s="33"/>
    </row>
    <row r="5" spans="1:75">
      <c r="A5" s="75">
        <v>2</v>
      </c>
      <c r="B5" s="110" t="s">
        <v>348</v>
      </c>
      <c r="C5" s="75">
        <v>5</v>
      </c>
      <c r="D5" s="5">
        <v>2192940600</v>
      </c>
      <c r="E5" s="5">
        <v>1791822000</v>
      </c>
      <c r="F5" s="5">
        <v>8682084600</v>
      </c>
      <c r="G5" s="5">
        <v>6264332700</v>
      </c>
      <c r="H5" s="5">
        <v>1376973402</v>
      </c>
      <c r="I5" s="5">
        <v>904631370</v>
      </c>
      <c r="J5" s="5">
        <v>3085582842</v>
      </c>
      <c r="K5" s="5">
        <v>2036756400</v>
      </c>
      <c r="L5" s="5">
        <v>4007834643</v>
      </c>
      <c r="M5" s="5">
        <v>8372308560</v>
      </c>
      <c r="N5" s="5">
        <v>8615033640</v>
      </c>
      <c r="O5" s="5">
        <v>13231975164</v>
      </c>
      <c r="P5" s="5">
        <v>7498036216</v>
      </c>
      <c r="Q5" s="5">
        <v>6876982200</v>
      </c>
      <c r="R5" s="5">
        <v>21877405036</v>
      </c>
      <c r="S5" s="5">
        <v>27424133378</v>
      </c>
      <c r="T5" s="5">
        <v>18350378815</v>
      </c>
      <c r="U5" s="5">
        <v>21902018748</v>
      </c>
      <c r="V5" s="5">
        <v>15882148168</v>
      </c>
      <c r="W5" s="5">
        <v>38706132850</v>
      </c>
      <c r="X5" s="5">
        <v>36809694250</v>
      </c>
      <c r="Y5" s="5">
        <v>41577847270</v>
      </c>
      <c r="Z5" s="5">
        <v>34741567940</v>
      </c>
      <c r="AA5" s="5">
        <v>58684343202</v>
      </c>
      <c r="AB5" s="5">
        <v>24985455241</v>
      </c>
      <c r="AC5" s="5">
        <v>23042319009</v>
      </c>
      <c r="AD5" s="5">
        <v>59212986698</v>
      </c>
      <c r="AE5" s="5">
        <v>54287237375</v>
      </c>
      <c r="AF5" s="5">
        <v>57641008821</v>
      </c>
      <c r="AG5" s="5">
        <v>50922412416</v>
      </c>
      <c r="AH5" s="5">
        <v>53533092198</v>
      </c>
      <c r="AI5" s="5">
        <v>78282463651</v>
      </c>
      <c r="AJ5" s="5">
        <v>64916176630</v>
      </c>
      <c r="AK5" s="5">
        <v>84671529098</v>
      </c>
      <c r="AL5" s="5">
        <v>62903041444</v>
      </c>
      <c r="AM5" s="5">
        <v>71156644730</v>
      </c>
      <c r="AN5" s="5">
        <v>95961616736</v>
      </c>
      <c r="AO5" s="5">
        <v>70105871996</v>
      </c>
      <c r="AP5" s="5">
        <v>92109508133</v>
      </c>
      <c r="AQ5" s="5">
        <v>97489092894</v>
      </c>
      <c r="AR5" s="5">
        <v>102501453344</v>
      </c>
      <c r="AS5" s="5">
        <v>68093170109</v>
      </c>
      <c r="AT5" s="5">
        <v>56451269692</v>
      </c>
      <c r="AU5" s="5">
        <v>160372945473</v>
      </c>
      <c r="AV5" s="5">
        <v>161501484254</v>
      </c>
      <c r="AW5" s="5">
        <v>119734804022</v>
      </c>
      <c r="AX5" s="5">
        <v>76175498864</v>
      </c>
      <c r="AY5" s="5">
        <v>110890509220</v>
      </c>
      <c r="AZ5" s="5">
        <v>114976445897</v>
      </c>
      <c r="BA5" s="5">
        <v>188477338235</v>
      </c>
      <c r="BB5" s="5">
        <v>150730683132</v>
      </c>
      <c r="BC5" s="5">
        <v>125734240353</v>
      </c>
      <c r="BD5" s="5">
        <v>153674258114</v>
      </c>
      <c r="BE5" s="5">
        <v>119843310993</v>
      </c>
      <c r="BF5" s="5">
        <v>138018360641</v>
      </c>
      <c r="BG5" s="5">
        <v>169442946928</v>
      </c>
      <c r="BH5" s="5">
        <v>91484253567</v>
      </c>
      <c r="BI5" s="5">
        <v>108928556660</v>
      </c>
      <c r="BJ5" s="5">
        <v>89826973802</v>
      </c>
      <c r="BK5" s="5">
        <v>100861213901</v>
      </c>
      <c r="BL5" s="5">
        <v>126786913920</v>
      </c>
      <c r="BM5" s="5">
        <v>96600110916</v>
      </c>
      <c r="BN5" s="5">
        <v>174261948689</v>
      </c>
      <c r="BO5" s="5">
        <v>159143428903</v>
      </c>
      <c r="BP5" s="5">
        <v>160987273061</v>
      </c>
      <c r="BQ5" s="5">
        <v>123233804019</v>
      </c>
      <c r="BR5" s="5"/>
      <c r="BS5" s="5"/>
      <c r="BT5" s="5"/>
      <c r="BU5" s="5"/>
      <c r="BV5" s="5"/>
      <c r="BW5" s="5"/>
    </row>
    <row r="6" spans="1:75">
      <c r="A6" s="71">
        <v>3</v>
      </c>
      <c r="B6" s="111" t="s">
        <v>349</v>
      </c>
      <c r="C6" s="71">
        <v>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36461250</v>
      </c>
      <c r="J6" s="3">
        <v>0</v>
      </c>
      <c r="K6" s="3">
        <v>686000</v>
      </c>
      <c r="L6" s="3">
        <v>0</v>
      </c>
      <c r="M6" s="3">
        <v>0</v>
      </c>
      <c r="N6" s="3">
        <v>0</v>
      </c>
      <c r="O6" s="3">
        <v>31203900</v>
      </c>
      <c r="P6" s="3">
        <v>0</v>
      </c>
      <c r="Q6" s="3">
        <v>765658695</v>
      </c>
      <c r="R6" s="3">
        <v>-760221195</v>
      </c>
      <c r="S6" s="3">
        <v>0</v>
      </c>
      <c r="T6" s="3">
        <v>0</v>
      </c>
      <c r="U6" s="3">
        <v>0</v>
      </c>
      <c r="V6" s="3">
        <v>3076000</v>
      </c>
      <c r="W6" s="3">
        <v>346771999</v>
      </c>
      <c r="X6" s="3">
        <v>0</v>
      </c>
      <c r="Y6" s="3">
        <v>0</v>
      </c>
      <c r="Z6" s="3">
        <v>43346500</v>
      </c>
      <c r="AA6" s="3">
        <v>0</v>
      </c>
      <c r="AB6" s="3">
        <v>0</v>
      </c>
      <c r="AC6" s="3">
        <v>0</v>
      </c>
      <c r="AD6" s="3">
        <v>453218</v>
      </c>
      <c r="AE6" s="3">
        <v>195177</v>
      </c>
      <c r="AF6" s="3">
        <v>9024000</v>
      </c>
      <c r="AG6" s="3">
        <v>18714230</v>
      </c>
      <c r="AH6" s="3">
        <v>6765000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1166125000</v>
      </c>
      <c r="AP6" s="3">
        <v>0</v>
      </c>
      <c r="AQ6" s="3">
        <v>0</v>
      </c>
      <c r="AR6" s="3">
        <v>136455000</v>
      </c>
      <c r="AS6" s="3">
        <v>0</v>
      </c>
      <c r="AT6" s="3">
        <v>0</v>
      </c>
      <c r="AU6" s="3">
        <v>6345077301</v>
      </c>
      <c r="AV6" s="3">
        <v>4671587529</v>
      </c>
      <c r="AW6" s="3">
        <v>2922205276</v>
      </c>
      <c r="AX6" s="3">
        <v>49359030</v>
      </c>
      <c r="AY6" s="3">
        <v>4680420540</v>
      </c>
      <c r="AZ6" s="3">
        <v>513935495</v>
      </c>
      <c r="BA6" s="3">
        <v>477877176</v>
      </c>
      <c r="BB6" s="3">
        <v>477350452</v>
      </c>
      <c r="BC6" s="3">
        <v>304590498</v>
      </c>
      <c r="BD6" s="3">
        <v>1607115262</v>
      </c>
      <c r="BE6" s="3">
        <v>708638196</v>
      </c>
      <c r="BF6" s="3">
        <v>26953743</v>
      </c>
      <c r="BG6" s="3">
        <v>1000293545</v>
      </c>
      <c r="BH6" s="3">
        <v>6773818500</v>
      </c>
      <c r="BI6" s="3">
        <v>0</v>
      </c>
      <c r="BJ6" s="3">
        <v>1479093000</v>
      </c>
      <c r="BK6" s="3">
        <v>1103092320</v>
      </c>
      <c r="BL6" s="3">
        <v>687876997</v>
      </c>
      <c r="BM6" s="3">
        <v>33305556</v>
      </c>
      <c r="BN6" s="3">
        <v>956126160</v>
      </c>
      <c r="BO6" s="3">
        <v>86574074</v>
      </c>
      <c r="BP6" s="3">
        <v>1221964024</v>
      </c>
      <c r="BQ6" s="3">
        <v>249465491</v>
      </c>
      <c r="BR6" s="3"/>
      <c r="BS6" s="3"/>
      <c r="BT6" s="3"/>
      <c r="BU6" s="3"/>
      <c r="BV6" s="3"/>
      <c r="BW6" s="3"/>
    </row>
    <row r="7" spans="1:75">
      <c r="A7" s="112">
        <v>4</v>
      </c>
      <c r="B7" s="110" t="s">
        <v>350</v>
      </c>
      <c r="C7" s="112">
        <v>5</v>
      </c>
      <c r="D7" s="15">
        <v>2192940600</v>
      </c>
      <c r="E7" s="15">
        <v>1791822000</v>
      </c>
      <c r="F7" s="15">
        <v>8682084600</v>
      </c>
      <c r="G7" s="15">
        <v>6264332700</v>
      </c>
      <c r="H7" s="15">
        <v>1376973402</v>
      </c>
      <c r="I7" s="15">
        <v>868170120</v>
      </c>
      <c r="J7" s="15">
        <v>3085582842</v>
      </c>
      <c r="K7" s="15">
        <v>2036070400</v>
      </c>
      <c r="L7" s="15">
        <v>4007834643</v>
      </c>
      <c r="M7" s="15">
        <v>8372308560</v>
      </c>
      <c r="N7" s="15">
        <v>8615033640</v>
      </c>
      <c r="O7" s="15">
        <v>13200771264</v>
      </c>
      <c r="P7" s="15">
        <v>7498036216</v>
      </c>
      <c r="Q7" s="15">
        <v>6111323505</v>
      </c>
      <c r="R7" s="15">
        <v>22637626231</v>
      </c>
      <c r="S7" s="15">
        <v>27424133378</v>
      </c>
      <c r="T7" s="15">
        <v>18350378815</v>
      </c>
      <c r="U7" s="15">
        <v>21902018748</v>
      </c>
      <c r="V7" s="15">
        <v>15879072168</v>
      </c>
      <c r="W7" s="15">
        <v>38359360851</v>
      </c>
      <c r="X7" s="15">
        <v>36809694250</v>
      </c>
      <c r="Y7" s="15">
        <v>41577847270</v>
      </c>
      <c r="Z7" s="15">
        <v>34698221440</v>
      </c>
      <c r="AA7" s="15">
        <v>58684343202</v>
      </c>
      <c r="AB7" s="15">
        <v>24985455241</v>
      </c>
      <c r="AC7" s="15">
        <v>23042319009</v>
      </c>
      <c r="AD7" s="15">
        <v>59212533480</v>
      </c>
      <c r="AE7" s="15">
        <v>54287042198</v>
      </c>
      <c r="AF7" s="15">
        <v>57631984821</v>
      </c>
      <c r="AG7" s="15">
        <v>50903698186</v>
      </c>
      <c r="AH7" s="15">
        <v>53526327198</v>
      </c>
      <c r="AI7" s="15">
        <v>78282463651</v>
      </c>
      <c r="AJ7" s="15">
        <v>64916176630</v>
      </c>
      <c r="AK7" s="15">
        <v>84671529098</v>
      </c>
      <c r="AL7" s="15">
        <v>62903041444</v>
      </c>
      <c r="AM7" s="15">
        <v>71156644730</v>
      </c>
      <c r="AN7" s="15">
        <v>95961616736</v>
      </c>
      <c r="AO7" s="15">
        <v>68939746996</v>
      </c>
      <c r="AP7" s="15">
        <v>92109508133</v>
      </c>
      <c r="AQ7" s="15">
        <v>97489092894</v>
      </c>
      <c r="AR7" s="15">
        <v>102364998344</v>
      </c>
      <c r="AS7" s="15">
        <v>68093170109</v>
      </c>
      <c r="AT7" s="15">
        <v>56451269692</v>
      </c>
      <c r="AU7" s="15">
        <v>154027868172</v>
      </c>
      <c r="AV7" s="15">
        <v>156829896725</v>
      </c>
      <c r="AW7" s="15">
        <v>116812598746</v>
      </c>
      <c r="AX7" s="15">
        <v>76126139834</v>
      </c>
      <c r="AY7" s="15">
        <v>106210088680</v>
      </c>
      <c r="AZ7" s="15">
        <v>114462510402</v>
      </c>
      <c r="BA7" s="15">
        <v>187999461059</v>
      </c>
      <c r="BB7" s="15">
        <v>150253332680</v>
      </c>
      <c r="BC7" s="15">
        <v>125429649855</v>
      </c>
      <c r="BD7" s="15">
        <v>152067142852</v>
      </c>
      <c r="BE7" s="15">
        <v>119134672797</v>
      </c>
      <c r="BF7" s="15">
        <v>137991406898</v>
      </c>
      <c r="BG7" s="15">
        <v>168442653383</v>
      </c>
      <c r="BH7" s="15">
        <v>84710435067</v>
      </c>
      <c r="BI7" s="15">
        <v>108928556660</v>
      </c>
      <c r="BJ7" s="15">
        <v>88347880802</v>
      </c>
      <c r="BK7" s="15">
        <v>99758121581</v>
      </c>
      <c r="BL7" s="15">
        <v>126099036923</v>
      </c>
      <c r="BM7" s="15">
        <v>96566805360</v>
      </c>
      <c r="BN7" s="15">
        <v>173305822529</v>
      </c>
      <c r="BO7" s="15">
        <v>159056854829</v>
      </c>
      <c r="BP7" s="15">
        <v>159765309037</v>
      </c>
      <c r="BQ7" s="15">
        <v>122984338528</v>
      </c>
      <c r="BR7" s="15"/>
      <c r="BS7" s="15"/>
      <c r="BT7" s="15"/>
      <c r="BU7" s="15"/>
      <c r="BV7" s="15"/>
      <c r="BW7" s="15"/>
    </row>
    <row r="8" spans="1:75">
      <c r="A8" s="113">
        <v>5</v>
      </c>
      <c r="B8" s="111" t="s">
        <v>351</v>
      </c>
      <c r="C8" s="113">
        <v>5</v>
      </c>
      <c r="D8" s="9">
        <v>1714389259</v>
      </c>
      <c r="E8" s="9">
        <v>1513381552</v>
      </c>
      <c r="F8" s="9">
        <v>6687623393</v>
      </c>
      <c r="G8" s="9">
        <v>4774057263</v>
      </c>
      <c r="H8" s="9">
        <v>1087102095</v>
      </c>
      <c r="I8" s="9">
        <v>807656278</v>
      </c>
      <c r="J8" s="9">
        <v>2716172489</v>
      </c>
      <c r="K8" s="9">
        <v>4315716140</v>
      </c>
      <c r="L8" s="9">
        <v>4265960659</v>
      </c>
      <c r="M8" s="9">
        <v>7443114351</v>
      </c>
      <c r="N8" s="9">
        <v>7773986301</v>
      </c>
      <c r="O8" s="9">
        <v>12188974942</v>
      </c>
      <c r="P8" s="9">
        <v>6843552810</v>
      </c>
      <c r="Q8" s="9">
        <v>6912963718</v>
      </c>
      <c r="R8" s="9">
        <v>19836366360</v>
      </c>
      <c r="S8" s="9">
        <v>21907875072</v>
      </c>
      <c r="T8" s="9">
        <v>15580244606</v>
      </c>
      <c r="U8" s="9">
        <v>18312738285</v>
      </c>
      <c r="V8" s="9">
        <v>12006617281</v>
      </c>
      <c r="W8" s="9">
        <v>32529935445</v>
      </c>
      <c r="X8" s="9">
        <v>32281385317</v>
      </c>
      <c r="Y8" s="9">
        <v>38377094489</v>
      </c>
      <c r="Z8" s="9">
        <v>30963456194</v>
      </c>
      <c r="AA8" s="9">
        <v>64348987323</v>
      </c>
      <c r="AB8" s="9">
        <v>20792367485</v>
      </c>
      <c r="AC8" s="9">
        <v>21918378947</v>
      </c>
      <c r="AD8" s="9">
        <v>61251223688</v>
      </c>
      <c r="AE8" s="9">
        <v>53942190282</v>
      </c>
      <c r="AF8" s="9">
        <v>50245648463</v>
      </c>
      <c r="AG8" s="9">
        <v>7904131770</v>
      </c>
      <c r="AH8" s="9">
        <v>44797235508</v>
      </c>
      <c r="AI8" s="9">
        <v>62222051344</v>
      </c>
      <c r="AJ8" s="9">
        <v>37728980820</v>
      </c>
      <c r="AK8" s="9">
        <v>61940025172</v>
      </c>
      <c r="AL8" s="9">
        <v>49113504898</v>
      </c>
      <c r="AM8" s="9">
        <v>46738804301</v>
      </c>
      <c r="AN8" s="9">
        <v>85841765176</v>
      </c>
      <c r="AO8" s="9">
        <v>68748321616</v>
      </c>
      <c r="AP8" s="9">
        <v>86824377307</v>
      </c>
      <c r="AQ8" s="9">
        <v>85475594862</v>
      </c>
      <c r="AR8" s="9">
        <v>99208228636</v>
      </c>
      <c r="AS8" s="9">
        <v>69795611979</v>
      </c>
      <c r="AT8" s="9">
        <v>61217801757</v>
      </c>
      <c r="AU8" s="9">
        <v>147970813832</v>
      </c>
      <c r="AV8" s="9">
        <v>132769623597</v>
      </c>
      <c r="AW8" s="9">
        <v>112138441893</v>
      </c>
      <c r="AX8" s="9">
        <v>70998442117</v>
      </c>
      <c r="AY8" s="9">
        <v>-22758768790</v>
      </c>
      <c r="AZ8" s="9">
        <v>96299447936</v>
      </c>
      <c r="BA8" s="9">
        <v>154570631505</v>
      </c>
      <c r="BB8" s="9">
        <v>129509315823</v>
      </c>
      <c r="BC8" s="9">
        <v>109641808151</v>
      </c>
      <c r="BD8" s="9">
        <v>129906078108</v>
      </c>
      <c r="BE8" s="9">
        <v>105463649620</v>
      </c>
      <c r="BF8" s="9">
        <v>128673842020</v>
      </c>
      <c r="BG8" s="9">
        <v>155101842643</v>
      </c>
      <c r="BH8" s="9">
        <v>83113314505</v>
      </c>
      <c r="BI8" s="9">
        <v>99966937216</v>
      </c>
      <c r="BJ8" s="9">
        <v>80940600844</v>
      </c>
      <c r="BK8" s="9">
        <v>70308328665</v>
      </c>
      <c r="BL8" s="9">
        <v>115080112871</v>
      </c>
      <c r="BM8" s="9">
        <v>90411470461</v>
      </c>
      <c r="BN8" s="9">
        <v>165844739865</v>
      </c>
      <c r="BO8" s="9">
        <v>141086003219</v>
      </c>
      <c r="BP8" s="9">
        <v>137580032058</v>
      </c>
      <c r="BQ8" s="9">
        <v>103435583559</v>
      </c>
      <c r="BR8" s="9"/>
      <c r="BS8" s="9"/>
      <c r="BT8" s="9"/>
      <c r="BU8" s="9"/>
      <c r="BV8" s="9"/>
      <c r="BW8" s="9"/>
    </row>
    <row r="9" spans="1:75">
      <c r="A9" s="114">
        <v>6</v>
      </c>
      <c r="B9" s="110" t="s">
        <v>352</v>
      </c>
      <c r="C9" s="114">
        <v>5</v>
      </c>
      <c r="D9" s="16">
        <v>478551341</v>
      </c>
      <c r="E9" s="16">
        <v>278440448</v>
      </c>
      <c r="F9" s="16">
        <v>1994461207</v>
      </c>
      <c r="G9" s="16">
        <v>1490275437</v>
      </c>
      <c r="H9" s="16">
        <v>289871307</v>
      </c>
      <c r="I9" s="16">
        <v>60513842</v>
      </c>
      <c r="J9" s="16">
        <v>369410353</v>
      </c>
      <c r="K9" s="16">
        <v>-2279645740</v>
      </c>
      <c r="L9" s="16">
        <v>-258126016</v>
      </c>
      <c r="M9" s="16">
        <v>929194209</v>
      </c>
      <c r="N9" s="16">
        <v>841047339</v>
      </c>
      <c r="O9" s="16">
        <v>1011796322</v>
      </c>
      <c r="P9" s="16">
        <v>654483406</v>
      </c>
      <c r="Q9" s="16">
        <v>-801640213</v>
      </c>
      <c r="R9" s="16">
        <v>2801259871</v>
      </c>
      <c r="S9" s="16">
        <v>5516258306</v>
      </c>
      <c r="T9" s="16">
        <v>2770134209</v>
      </c>
      <c r="U9" s="16">
        <v>3589280463</v>
      </c>
      <c r="V9" s="16">
        <v>3872454887</v>
      </c>
      <c r="W9" s="16">
        <v>5829425406</v>
      </c>
      <c r="X9" s="16">
        <v>4528308933</v>
      </c>
      <c r="Y9" s="16">
        <v>3200752781</v>
      </c>
      <c r="Z9" s="16">
        <v>3734765246</v>
      </c>
      <c r="AA9" s="16">
        <v>-5664644121</v>
      </c>
      <c r="AB9" s="16">
        <v>4193087756</v>
      </c>
      <c r="AC9" s="16">
        <v>1123940062</v>
      </c>
      <c r="AD9" s="16">
        <v>-2038690208</v>
      </c>
      <c r="AE9" s="16">
        <v>344851916</v>
      </c>
      <c r="AF9" s="16">
        <v>7386336358</v>
      </c>
      <c r="AG9" s="16">
        <v>42999566416</v>
      </c>
      <c r="AH9" s="16">
        <v>8729091690</v>
      </c>
      <c r="AI9" s="16">
        <v>16060412307</v>
      </c>
      <c r="AJ9" s="16">
        <v>27187195810</v>
      </c>
      <c r="AK9" s="16">
        <v>22731503926</v>
      </c>
      <c r="AL9" s="16">
        <v>13789536546</v>
      </c>
      <c r="AM9" s="16">
        <v>24417840429</v>
      </c>
      <c r="AN9" s="16">
        <v>10119851560</v>
      </c>
      <c r="AO9" s="16">
        <v>191425380</v>
      </c>
      <c r="AP9" s="16">
        <v>5285130826</v>
      </c>
      <c r="AQ9" s="16">
        <v>12013498032</v>
      </c>
      <c r="AR9" s="16">
        <v>3156769708</v>
      </c>
      <c r="AS9" s="16">
        <v>-1702441870</v>
      </c>
      <c r="AT9" s="16">
        <v>-4766532065</v>
      </c>
      <c r="AU9" s="16">
        <v>6057054340</v>
      </c>
      <c r="AV9" s="16">
        <v>24060273128</v>
      </c>
      <c r="AW9" s="16">
        <v>4674156853</v>
      </c>
      <c r="AX9" s="16">
        <v>5127697717</v>
      </c>
      <c r="AY9" s="16">
        <v>128968857470</v>
      </c>
      <c r="AZ9" s="16">
        <v>18163062466</v>
      </c>
      <c r="BA9" s="16">
        <v>33428829554</v>
      </c>
      <c r="BB9" s="16">
        <v>20744016857</v>
      </c>
      <c r="BC9" s="16">
        <v>15787841704</v>
      </c>
      <c r="BD9" s="16">
        <v>22161064744</v>
      </c>
      <c r="BE9" s="16">
        <v>13671023177</v>
      </c>
      <c r="BF9" s="16">
        <v>9317564878</v>
      </c>
      <c r="BG9" s="16">
        <v>13340810740</v>
      </c>
      <c r="BH9" s="16">
        <v>1597120562</v>
      </c>
      <c r="BI9" s="16">
        <v>8961619444</v>
      </c>
      <c r="BJ9" s="16">
        <v>7407279958</v>
      </c>
      <c r="BK9" s="16">
        <v>29449792916</v>
      </c>
      <c r="BL9" s="16">
        <v>11018924052</v>
      </c>
      <c r="BM9" s="16">
        <v>6155334899</v>
      </c>
      <c r="BN9" s="16">
        <v>7461082664</v>
      </c>
      <c r="BO9" s="16">
        <v>17970851610</v>
      </c>
      <c r="BP9" s="16">
        <v>22185276979</v>
      </c>
      <c r="BQ9" s="16">
        <v>19548754969</v>
      </c>
      <c r="BR9" s="16"/>
      <c r="BS9" s="16"/>
      <c r="BT9" s="16"/>
      <c r="BU9" s="16"/>
      <c r="BV9" s="16"/>
      <c r="BW9" s="16"/>
    </row>
    <row r="10" spans="1:75">
      <c r="A10" s="114">
        <v>7</v>
      </c>
      <c r="B10" s="110" t="s">
        <v>353</v>
      </c>
      <c r="C10" s="114">
        <v>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</row>
    <row r="11" spans="1:75">
      <c r="A11" s="71">
        <v>8</v>
      </c>
      <c r="B11" s="111" t="s">
        <v>354</v>
      </c>
      <c r="C11" s="71">
        <v>5</v>
      </c>
      <c r="D11" s="3">
        <v>1228117</v>
      </c>
      <c r="E11" s="3">
        <v>1370668</v>
      </c>
      <c r="F11" s="3">
        <v>503786</v>
      </c>
      <c r="G11" s="3">
        <v>991223</v>
      </c>
      <c r="H11" s="3">
        <v>924399</v>
      </c>
      <c r="I11" s="3">
        <v>2721429</v>
      </c>
      <c r="J11" s="3">
        <v>5630167167</v>
      </c>
      <c r="K11" s="3">
        <v>4552274821</v>
      </c>
      <c r="L11" s="3">
        <v>4006107516</v>
      </c>
      <c r="M11" s="3">
        <v>1404451824</v>
      </c>
      <c r="N11" s="3">
        <v>1487413089</v>
      </c>
      <c r="O11" s="3">
        <v>1240578961</v>
      </c>
      <c r="P11" s="3">
        <v>1479346434</v>
      </c>
      <c r="Q11" s="3">
        <v>1527456177</v>
      </c>
      <c r="R11" s="3">
        <v>1512346597</v>
      </c>
      <c r="S11" s="3">
        <v>1655612808</v>
      </c>
      <c r="T11" s="3">
        <v>2665641339</v>
      </c>
      <c r="U11" s="3">
        <v>1264179580</v>
      </c>
      <c r="V11" s="3">
        <v>1129143854</v>
      </c>
      <c r="W11" s="3">
        <v>1236134244</v>
      </c>
      <c r="X11" s="3">
        <v>1420307305</v>
      </c>
      <c r="Y11" s="3">
        <v>1826774837</v>
      </c>
      <c r="Z11" s="3">
        <v>1006924842</v>
      </c>
      <c r="AA11" s="3">
        <v>516733565</v>
      </c>
      <c r="AB11" s="3">
        <v>23897328</v>
      </c>
      <c r="AC11" s="3">
        <v>190776336</v>
      </c>
      <c r="AD11" s="3">
        <v>16660712</v>
      </c>
      <c r="AE11" s="3">
        <v>967330723</v>
      </c>
      <c r="AF11" s="3">
        <v>867791673</v>
      </c>
      <c r="AG11" s="3">
        <v>866039044</v>
      </c>
      <c r="AH11" s="3">
        <v>810000497</v>
      </c>
      <c r="AI11" s="3">
        <v>1331407010</v>
      </c>
      <c r="AJ11" s="3">
        <v>1045754825</v>
      </c>
      <c r="AK11" s="3">
        <v>1146315118</v>
      </c>
      <c r="AL11" s="3">
        <v>946685267</v>
      </c>
      <c r="AM11" s="3">
        <v>1070037204</v>
      </c>
      <c r="AN11" s="3">
        <v>702840610</v>
      </c>
      <c r="AO11" s="3">
        <v>1100851130</v>
      </c>
      <c r="AP11" s="3">
        <v>994712341</v>
      </c>
      <c r="AQ11" s="3">
        <v>1735368123</v>
      </c>
      <c r="AR11" s="3">
        <v>1021938222</v>
      </c>
      <c r="AS11" s="3">
        <v>578784271</v>
      </c>
      <c r="AT11" s="3">
        <v>343643819</v>
      </c>
      <c r="AU11" s="3">
        <v>1242477440</v>
      </c>
      <c r="AV11" s="3">
        <v>1549112434</v>
      </c>
      <c r="AW11" s="3">
        <v>2779237425</v>
      </c>
      <c r="AX11" s="3">
        <v>865910053</v>
      </c>
      <c r="AY11" s="3">
        <v>2184218732</v>
      </c>
      <c r="AZ11" s="3">
        <v>773999253</v>
      </c>
      <c r="BA11" s="3">
        <v>1788435256</v>
      </c>
      <c r="BB11" s="3">
        <v>931124505</v>
      </c>
      <c r="BC11" s="3">
        <v>1307926421</v>
      </c>
      <c r="BD11" s="3">
        <v>2429341904</v>
      </c>
      <c r="BE11" s="3">
        <v>1641453607</v>
      </c>
      <c r="BF11" s="3">
        <v>1393514763</v>
      </c>
      <c r="BG11" s="3">
        <v>1498736488</v>
      </c>
      <c r="BH11" s="3">
        <v>1228780215</v>
      </c>
      <c r="BI11" s="3">
        <v>2716737103</v>
      </c>
      <c r="BJ11" s="3">
        <v>515476780</v>
      </c>
      <c r="BK11" s="3">
        <v>680982457</v>
      </c>
      <c r="BL11" s="3">
        <v>1053165322</v>
      </c>
      <c r="BM11" s="3">
        <v>307705069</v>
      </c>
      <c r="BN11" s="3">
        <v>839416558</v>
      </c>
      <c r="BO11" s="3">
        <v>1767937439</v>
      </c>
      <c r="BP11" s="3">
        <v>1261651212</v>
      </c>
      <c r="BQ11" s="3">
        <v>1466681763</v>
      </c>
      <c r="BR11" s="3"/>
      <c r="BS11" s="3"/>
      <c r="BT11" s="3"/>
      <c r="BU11" s="3"/>
      <c r="BV11" s="3"/>
      <c r="BW11" s="3"/>
    </row>
    <row r="12" spans="1:75">
      <c r="A12" s="75">
        <v>9</v>
      </c>
      <c r="B12" s="110" t="s">
        <v>355</v>
      </c>
      <c r="C12" s="75">
        <v>5</v>
      </c>
      <c r="D12" s="5">
        <v>167606071</v>
      </c>
      <c r="E12" s="5">
        <v>221668883</v>
      </c>
      <c r="F12" s="5">
        <v>208008837</v>
      </c>
      <c r="G12" s="5">
        <v>262181583</v>
      </c>
      <c r="H12" s="5">
        <v>294284803</v>
      </c>
      <c r="I12" s="5">
        <v>376440316</v>
      </c>
      <c r="J12" s="5">
        <v>341383390</v>
      </c>
      <c r="K12" s="5">
        <v>424333601</v>
      </c>
      <c r="L12" s="5">
        <v>404885911</v>
      </c>
      <c r="M12" s="5">
        <v>376140889</v>
      </c>
      <c r="N12" s="5">
        <v>457278692</v>
      </c>
      <c r="O12" s="5">
        <v>450512533</v>
      </c>
      <c r="P12" s="5">
        <v>566186825</v>
      </c>
      <c r="Q12" s="5">
        <v>636770194</v>
      </c>
      <c r="R12" s="5">
        <v>622676693</v>
      </c>
      <c r="S12" s="5">
        <v>508923847</v>
      </c>
      <c r="T12" s="5">
        <v>611802389</v>
      </c>
      <c r="U12" s="5">
        <v>151684906</v>
      </c>
      <c r="V12" s="5">
        <v>632905650</v>
      </c>
      <c r="W12" s="5">
        <v>700652271</v>
      </c>
      <c r="X12" s="5">
        <v>1025151505</v>
      </c>
      <c r="Y12" s="5">
        <v>1107933886</v>
      </c>
      <c r="Z12" s="5">
        <v>1595489167</v>
      </c>
      <c r="AA12" s="5">
        <v>731995330</v>
      </c>
      <c r="AB12" s="5">
        <v>74107271</v>
      </c>
      <c r="AC12" s="5">
        <v>30659803</v>
      </c>
      <c r="AD12" s="5">
        <v>220600896</v>
      </c>
      <c r="AE12" s="5">
        <v>69167924</v>
      </c>
      <c r="AF12" s="5">
        <v>49408830</v>
      </c>
      <c r="AG12" s="5">
        <v>124156445</v>
      </c>
      <c r="AH12" s="5">
        <v>311284353</v>
      </c>
      <c r="AI12" s="5">
        <v>709793834</v>
      </c>
      <c r="AJ12" s="5">
        <v>328510530</v>
      </c>
      <c r="AK12" s="5">
        <v>475535318</v>
      </c>
      <c r="AL12" s="5">
        <v>86442609</v>
      </c>
      <c r="AM12" s="5">
        <v>543801174</v>
      </c>
      <c r="AN12" s="5">
        <v>801399604</v>
      </c>
      <c r="AO12" s="5">
        <v>695500231</v>
      </c>
      <c r="AP12" s="5">
        <v>663502461</v>
      </c>
      <c r="AQ12" s="5">
        <v>1555671370</v>
      </c>
      <c r="AR12" s="5">
        <v>936492932</v>
      </c>
      <c r="AS12" s="5">
        <v>1103852896</v>
      </c>
      <c r="AT12" s="5">
        <v>1608708972</v>
      </c>
      <c r="AU12" s="5">
        <v>1489581015</v>
      </c>
      <c r="AV12" s="5">
        <v>1372261307</v>
      </c>
      <c r="AW12" s="5">
        <v>636041020</v>
      </c>
      <c r="AX12" s="5">
        <v>1257673070</v>
      </c>
      <c r="AY12" s="5">
        <v>993026233</v>
      </c>
      <c r="AZ12" s="5">
        <v>1529745602</v>
      </c>
      <c r="BA12" s="5">
        <v>1349010483</v>
      </c>
      <c r="BB12" s="5">
        <v>902730488</v>
      </c>
      <c r="BC12" s="5">
        <v>1450570894</v>
      </c>
      <c r="BD12" s="5">
        <v>858169737</v>
      </c>
      <c r="BE12" s="5">
        <v>1483876982</v>
      </c>
      <c r="BF12" s="5">
        <v>1315247967</v>
      </c>
      <c r="BG12" s="5">
        <v>1366041150</v>
      </c>
      <c r="BH12" s="5">
        <v>1603769193</v>
      </c>
      <c r="BI12" s="5">
        <v>2900732378</v>
      </c>
      <c r="BJ12" s="5">
        <v>1301741764</v>
      </c>
      <c r="BK12" s="5">
        <v>2479436989</v>
      </c>
      <c r="BL12" s="5">
        <v>1532817392</v>
      </c>
      <c r="BM12" s="5">
        <v>1569283837</v>
      </c>
      <c r="BN12" s="5">
        <v>1510605035</v>
      </c>
      <c r="BO12" s="5">
        <v>1998884061</v>
      </c>
      <c r="BP12" s="5">
        <v>1208736058</v>
      </c>
      <c r="BQ12" s="5">
        <v>1214330425</v>
      </c>
      <c r="BR12" s="5"/>
      <c r="BS12" s="5"/>
      <c r="BT12" s="5"/>
      <c r="BU12" s="5"/>
      <c r="BV12" s="5"/>
      <c r="BW12" s="5"/>
    </row>
    <row r="13" spans="1:75">
      <c r="A13" s="71">
        <v>10</v>
      </c>
      <c r="B13" s="115" t="s">
        <v>356</v>
      </c>
      <c r="C13" s="71">
        <v>5</v>
      </c>
      <c r="D13" s="3">
        <v>167603935</v>
      </c>
      <c r="E13" s="3">
        <v>221659846</v>
      </c>
      <c r="F13" s="3">
        <v>208008837</v>
      </c>
      <c r="G13" s="3">
        <v>262170575</v>
      </c>
      <c r="H13" s="3">
        <v>294134531</v>
      </c>
      <c r="I13" s="3">
        <v>375347816</v>
      </c>
      <c r="J13" s="3">
        <v>340813568</v>
      </c>
      <c r="K13" s="3">
        <v>399256526</v>
      </c>
      <c r="L13" s="3">
        <v>400979485</v>
      </c>
      <c r="M13" s="3">
        <v>368636370</v>
      </c>
      <c r="N13" s="3">
        <v>424483338</v>
      </c>
      <c r="O13" s="3">
        <v>466515776</v>
      </c>
      <c r="P13" s="3">
        <v>517655739</v>
      </c>
      <c r="Q13" s="3">
        <v>651086182</v>
      </c>
      <c r="R13" s="3">
        <v>617884939</v>
      </c>
      <c r="S13" s="3">
        <v>507919165</v>
      </c>
      <c r="T13" s="3">
        <v>603465663</v>
      </c>
      <c r="U13" s="3">
        <v>147007916</v>
      </c>
      <c r="V13" s="3">
        <v>631302971</v>
      </c>
      <c r="W13" s="3">
        <v>699695123</v>
      </c>
      <c r="X13" s="3">
        <v>854484433</v>
      </c>
      <c r="Y13" s="3">
        <v>862022364</v>
      </c>
      <c r="Z13" s="3">
        <v>1093552795</v>
      </c>
      <c r="AA13" s="3">
        <v>539758786</v>
      </c>
      <c r="AB13" s="3">
        <v>44321388</v>
      </c>
      <c r="AC13" s="3">
        <v>0</v>
      </c>
      <c r="AD13" s="3">
        <v>48722388</v>
      </c>
      <c r="AE13" s="3">
        <v>76187496</v>
      </c>
      <c r="AF13" s="3">
        <v>68801482</v>
      </c>
      <c r="AG13" s="3">
        <v>28249626</v>
      </c>
      <c r="AH13" s="3">
        <v>91396439</v>
      </c>
      <c r="AI13" s="3">
        <v>93845376</v>
      </c>
      <c r="AJ13" s="3">
        <v>109400024</v>
      </c>
      <c r="AK13" s="3">
        <v>129996535</v>
      </c>
      <c r="AL13" s="3">
        <v>157601782</v>
      </c>
      <c r="AM13" s="3">
        <v>316883990</v>
      </c>
      <c r="AN13" s="3">
        <v>460461775</v>
      </c>
      <c r="AO13" s="3">
        <v>563909516</v>
      </c>
      <c r="AP13" s="3">
        <v>587315920</v>
      </c>
      <c r="AQ13" s="3">
        <v>905708142</v>
      </c>
      <c r="AR13" s="3">
        <v>974310029</v>
      </c>
      <c r="AS13" s="3">
        <v>1115056080</v>
      </c>
      <c r="AT13" s="3">
        <v>1160823006</v>
      </c>
      <c r="AU13" s="3">
        <v>939585045</v>
      </c>
      <c r="AV13" s="3">
        <v>859444105</v>
      </c>
      <c r="AW13" s="3">
        <v>840165515</v>
      </c>
      <c r="AX13" s="3">
        <v>889159081</v>
      </c>
      <c r="AY13" s="3">
        <v>1032562923</v>
      </c>
      <c r="AZ13" s="3">
        <v>1114824276</v>
      </c>
      <c r="BA13" s="3">
        <v>928379281</v>
      </c>
      <c r="BB13" s="3">
        <v>673966789</v>
      </c>
      <c r="BC13" s="3">
        <v>888393452</v>
      </c>
      <c r="BD13" s="3">
        <v>1186588729</v>
      </c>
      <c r="BE13" s="3">
        <v>1448899822</v>
      </c>
      <c r="BF13" s="3">
        <v>1242023326</v>
      </c>
      <c r="BG13" s="3">
        <v>1303560910</v>
      </c>
      <c r="BH13" s="3">
        <v>1595764355</v>
      </c>
      <c r="BI13" s="3">
        <v>1368802426</v>
      </c>
      <c r="BJ13" s="3">
        <v>1256132292</v>
      </c>
      <c r="BK13" s="3">
        <v>1256103396</v>
      </c>
      <c r="BL13" s="3">
        <v>1240115065</v>
      </c>
      <c r="BM13" s="3">
        <v>1156279418</v>
      </c>
      <c r="BN13" s="3">
        <v>959718564</v>
      </c>
      <c r="BO13" s="3">
        <v>1062084475</v>
      </c>
      <c r="BP13" s="3">
        <v>838836791</v>
      </c>
      <c r="BQ13" s="3">
        <v>856841656</v>
      </c>
      <c r="BR13" s="3"/>
      <c r="BS13" s="3"/>
      <c r="BT13" s="3"/>
      <c r="BU13" s="3"/>
      <c r="BV13" s="3"/>
      <c r="BW13" s="3"/>
    </row>
    <row r="14" spans="1:75">
      <c r="A14" s="71">
        <v>11</v>
      </c>
      <c r="B14" s="111" t="s">
        <v>357</v>
      </c>
      <c r="C14" s="71">
        <v>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251616145</v>
      </c>
      <c r="L14" s="3">
        <v>680077987</v>
      </c>
      <c r="M14" s="3">
        <v>546329598</v>
      </c>
      <c r="N14" s="3">
        <v>967543289</v>
      </c>
      <c r="O14" s="3">
        <v>563525432</v>
      </c>
      <c r="P14" s="3">
        <v>496681104</v>
      </c>
      <c r="Q14" s="3">
        <v>38696800</v>
      </c>
      <c r="R14" s="3">
        <v>1520204587</v>
      </c>
      <c r="S14" s="3">
        <v>3287497220</v>
      </c>
      <c r="T14" s="3">
        <v>563902784</v>
      </c>
      <c r="U14" s="3">
        <v>802923682</v>
      </c>
      <c r="V14" s="3">
        <v>1108487180</v>
      </c>
      <c r="W14" s="3">
        <v>819028904</v>
      </c>
      <c r="X14" s="3">
        <v>1282383810</v>
      </c>
      <c r="Y14" s="3">
        <v>1073636694</v>
      </c>
      <c r="Z14" s="3">
        <v>1462938929</v>
      </c>
      <c r="AA14" s="3">
        <v>2233639458</v>
      </c>
      <c r="AB14" s="3">
        <v>645459129</v>
      </c>
      <c r="AC14" s="3">
        <v>991254056</v>
      </c>
      <c r="AD14" s="3">
        <v>1883160244</v>
      </c>
      <c r="AE14" s="3">
        <v>1145404547</v>
      </c>
      <c r="AF14" s="3">
        <v>1970368365</v>
      </c>
      <c r="AG14" s="3">
        <v>1459341885</v>
      </c>
      <c r="AH14" s="3">
        <v>1450399092</v>
      </c>
      <c r="AI14" s="3">
        <v>2363556660</v>
      </c>
      <c r="AJ14" s="3">
        <v>1466584216</v>
      </c>
      <c r="AK14" s="3">
        <v>2298997918</v>
      </c>
      <c r="AL14" s="3">
        <v>1849124450</v>
      </c>
      <c r="AM14" s="3">
        <v>1608920955</v>
      </c>
      <c r="AN14" s="3">
        <v>2846219487</v>
      </c>
      <c r="AO14" s="3">
        <v>1219456854</v>
      </c>
      <c r="AP14" s="3">
        <v>3715738043</v>
      </c>
      <c r="AQ14" s="3">
        <v>4585159549</v>
      </c>
      <c r="AR14" s="3">
        <v>1693810954</v>
      </c>
      <c r="AS14" s="3">
        <v>2407466874</v>
      </c>
      <c r="AT14" s="3">
        <v>2300964337</v>
      </c>
      <c r="AU14" s="3">
        <v>8205607205</v>
      </c>
      <c r="AV14" s="3">
        <v>7036529523</v>
      </c>
      <c r="AW14" s="3">
        <v>4608951194</v>
      </c>
      <c r="AX14" s="3">
        <v>1949627546</v>
      </c>
      <c r="AY14" s="3">
        <v>10266748080</v>
      </c>
      <c r="AZ14" s="3">
        <v>4006424849</v>
      </c>
      <c r="BA14" s="3">
        <v>6313682258</v>
      </c>
      <c r="BB14" s="3">
        <v>5091544776</v>
      </c>
      <c r="BC14" s="3">
        <v>4077126734</v>
      </c>
      <c r="BD14" s="3">
        <v>4686536575</v>
      </c>
      <c r="BE14" s="3">
        <v>4796729528</v>
      </c>
      <c r="BF14" s="3">
        <v>3449972349</v>
      </c>
      <c r="BG14" s="3">
        <v>4949095751</v>
      </c>
      <c r="BH14" s="3">
        <v>2811598286</v>
      </c>
      <c r="BI14" s="3">
        <v>6688603934</v>
      </c>
      <c r="BJ14" s="3">
        <v>3413749635</v>
      </c>
      <c r="BK14" s="3">
        <v>4816680917</v>
      </c>
      <c r="BL14" s="3">
        <v>3731798004</v>
      </c>
      <c r="BM14" s="3">
        <v>3202645336</v>
      </c>
      <c r="BN14" s="3">
        <v>6245695788</v>
      </c>
      <c r="BO14" s="3">
        <v>5821309126</v>
      </c>
      <c r="BP14" s="3">
        <v>5915805090</v>
      </c>
      <c r="BQ14" s="3">
        <v>3803640296</v>
      </c>
      <c r="BR14" s="3"/>
      <c r="BS14" s="3"/>
      <c r="BT14" s="3"/>
      <c r="BU14" s="3"/>
      <c r="BV14" s="3"/>
      <c r="BW14" s="3"/>
    </row>
    <row r="15" spans="1:75">
      <c r="A15" s="71">
        <v>12</v>
      </c>
      <c r="B15" s="111" t="s">
        <v>358</v>
      </c>
      <c r="C15" s="71">
        <v>5</v>
      </c>
      <c r="D15" s="3">
        <v>457415751</v>
      </c>
      <c r="E15" s="3">
        <v>619384345</v>
      </c>
      <c r="F15" s="3">
        <v>707076077</v>
      </c>
      <c r="G15" s="3">
        <v>816715935</v>
      </c>
      <c r="H15" s="3">
        <v>827613489</v>
      </c>
      <c r="I15" s="3">
        <v>624184259</v>
      </c>
      <c r="J15" s="3">
        <v>2510720411</v>
      </c>
      <c r="K15" s="3">
        <v>569609208</v>
      </c>
      <c r="L15" s="3">
        <v>536039299</v>
      </c>
      <c r="M15" s="3">
        <v>941857345</v>
      </c>
      <c r="N15" s="3">
        <v>3424596971</v>
      </c>
      <c r="O15" s="3">
        <v>-831817605</v>
      </c>
      <c r="P15" s="3">
        <v>1435430845</v>
      </c>
      <c r="Q15" s="3">
        <v>1479188151</v>
      </c>
      <c r="R15" s="3">
        <v>1624743284</v>
      </c>
      <c r="S15" s="3">
        <v>1725353483</v>
      </c>
      <c r="T15" s="3">
        <v>1803134313</v>
      </c>
      <c r="U15" s="3">
        <v>1872200320</v>
      </c>
      <c r="V15" s="3">
        <v>1882239518</v>
      </c>
      <c r="W15" s="3">
        <v>2444716491</v>
      </c>
      <c r="X15" s="3">
        <v>2755381317</v>
      </c>
      <c r="Y15" s="3">
        <v>3239626198</v>
      </c>
      <c r="Z15" s="3">
        <v>3143544394</v>
      </c>
      <c r="AA15" s="3">
        <v>6327840763</v>
      </c>
      <c r="AB15" s="3">
        <v>2772788125</v>
      </c>
      <c r="AC15" s="3">
        <v>2947588122</v>
      </c>
      <c r="AD15" s="3">
        <v>3098829707</v>
      </c>
      <c r="AE15" s="3">
        <v>3036290770</v>
      </c>
      <c r="AF15" s="3">
        <v>3448026712</v>
      </c>
      <c r="AG15" s="3">
        <v>3261800788</v>
      </c>
      <c r="AH15" s="3">
        <v>3348437381</v>
      </c>
      <c r="AI15" s="3">
        <v>1910475796</v>
      </c>
      <c r="AJ15" s="3">
        <v>3536419913</v>
      </c>
      <c r="AK15" s="3">
        <v>3592592574</v>
      </c>
      <c r="AL15" s="3">
        <v>3600549435</v>
      </c>
      <c r="AM15" s="3">
        <v>5720814487</v>
      </c>
      <c r="AN15" s="3">
        <v>5241377343</v>
      </c>
      <c r="AO15" s="3">
        <v>4647980221</v>
      </c>
      <c r="AP15" s="3">
        <v>4838115306</v>
      </c>
      <c r="AQ15" s="3">
        <v>5132788494</v>
      </c>
      <c r="AR15" s="3">
        <v>5665606587</v>
      </c>
      <c r="AS15" s="3">
        <v>5470797521</v>
      </c>
      <c r="AT15" s="3">
        <v>5239042307</v>
      </c>
      <c r="AU15" s="3">
        <v>6065017937</v>
      </c>
      <c r="AV15" s="3">
        <v>7524726581</v>
      </c>
      <c r="AW15" s="3">
        <v>7016385931</v>
      </c>
      <c r="AX15" s="3">
        <v>7426888275</v>
      </c>
      <c r="AY15" s="3">
        <v>5833487838</v>
      </c>
      <c r="AZ15" s="3">
        <v>7638868570</v>
      </c>
      <c r="BA15" s="3">
        <v>7013534740</v>
      </c>
      <c r="BB15" s="3">
        <v>7332584934</v>
      </c>
      <c r="BC15" s="3">
        <v>7155903324</v>
      </c>
      <c r="BD15" s="3">
        <v>7948694673</v>
      </c>
      <c r="BE15" s="3">
        <v>7721648228</v>
      </c>
      <c r="BF15" s="3">
        <v>7616453256</v>
      </c>
      <c r="BG15" s="3">
        <v>7931593154</v>
      </c>
      <c r="BH15" s="3">
        <v>9422194647</v>
      </c>
      <c r="BI15" s="3">
        <v>3775611792</v>
      </c>
      <c r="BJ15" s="3">
        <v>9875644458</v>
      </c>
      <c r="BK15" s="3">
        <v>15282438636</v>
      </c>
      <c r="BL15" s="3">
        <v>8394130638</v>
      </c>
      <c r="BM15" s="3">
        <v>7959394332</v>
      </c>
      <c r="BN15" s="3">
        <v>7329810589</v>
      </c>
      <c r="BO15" s="3">
        <v>8148952142</v>
      </c>
      <c r="BP15" s="3">
        <v>8010802475</v>
      </c>
      <c r="BQ15" s="3">
        <v>8218560670</v>
      </c>
      <c r="BR15" s="3"/>
      <c r="BS15" s="3"/>
      <c r="BT15" s="3"/>
      <c r="BU15" s="3"/>
      <c r="BV15" s="3"/>
      <c r="BW15" s="3"/>
    </row>
    <row r="16" spans="1:75">
      <c r="A16" s="75">
        <v>13</v>
      </c>
      <c r="B16" s="110" t="s">
        <v>359</v>
      </c>
      <c r="C16" s="75">
        <v>5</v>
      </c>
      <c r="D16" s="5">
        <v>-145242364</v>
      </c>
      <c r="E16" s="5">
        <v>-561242112</v>
      </c>
      <c r="F16" s="5">
        <v>1079880079</v>
      </c>
      <c r="G16" s="5">
        <v>412369142</v>
      </c>
      <c r="H16" s="5">
        <v>-831102586</v>
      </c>
      <c r="I16" s="5">
        <v>-937389304</v>
      </c>
      <c r="J16" s="5">
        <v>3147473719</v>
      </c>
      <c r="K16" s="5">
        <v>1027070127</v>
      </c>
      <c r="L16" s="5">
        <v>2126978303</v>
      </c>
      <c r="M16" s="5">
        <v>469318201</v>
      </c>
      <c r="N16" s="5">
        <v>-2520958524</v>
      </c>
      <c r="O16" s="5">
        <v>2070154923</v>
      </c>
      <c r="P16" s="5">
        <v>-364468934</v>
      </c>
      <c r="Q16" s="5">
        <v>-1428839181</v>
      </c>
      <c r="R16" s="5">
        <v>545981904</v>
      </c>
      <c r="S16" s="5">
        <v>1650096564</v>
      </c>
      <c r="T16" s="5">
        <v>2456936062</v>
      </c>
      <c r="U16" s="5">
        <v>2026651135</v>
      </c>
      <c r="V16" s="5">
        <v>1377966393</v>
      </c>
      <c r="W16" s="5">
        <v>3101161984</v>
      </c>
      <c r="X16" s="5">
        <v>885699606</v>
      </c>
      <c r="Y16" s="5">
        <v>-393669160</v>
      </c>
      <c r="Z16" s="5">
        <v>-1460282402</v>
      </c>
      <c r="AA16" s="5">
        <v>-14441386107</v>
      </c>
      <c r="AB16" s="5">
        <v>724630559</v>
      </c>
      <c r="AC16" s="5">
        <v>-2654785583</v>
      </c>
      <c r="AD16" s="5">
        <v>-7224620343</v>
      </c>
      <c r="AE16" s="5">
        <v>-2938680602</v>
      </c>
      <c r="AF16" s="5">
        <v>2786324124</v>
      </c>
      <c r="AG16" s="5">
        <v>39020306342</v>
      </c>
      <c r="AH16" s="5">
        <v>4428971361</v>
      </c>
      <c r="AI16" s="5">
        <v>12407993027</v>
      </c>
      <c r="AJ16" s="5">
        <v>22901435976</v>
      </c>
      <c r="AK16" s="5">
        <v>17510693234</v>
      </c>
      <c r="AL16" s="5">
        <v>9200105319</v>
      </c>
      <c r="AM16" s="5">
        <v>17614341017</v>
      </c>
      <c r="AN16" s="5">
        <v>1933695736</v>
      </c>
      <c r="AO16" s="5">
        <v>-5270660796</v>
      </c>
      <c r="AP16" s="5">
        <v>-2937512643</v>
      </c>
      <c r="AQ16" s="5">
        <v>2475246742</v>
      </c>
      <c r="AR16" s="5">
        <v>-4117202543</v>
      </c>
      <c r="AS16" s="5">
        <v>-10105774890</v>
      </c>
      <c r="AT16" s="5">
        <v>-13571603862</v>
      </c>
      <c r="AU16" s="5">
        <v>-8460674377</v>
      </c>
      <c r="AV16" s="5">
        <v>9675868151</v>
      </c>
      <c r="AW16" s="5">
        <v>-4807983867</v>
      </c>
      <c r="AX16" s="5">
        <v>-4640581121</v>
      </c>
      <c r="AY16" s="5">
        <v>114059814051</v>
      </c>
      <c r="AZ16" s="5">
        <v>5762022698</v>
      </c>
      <c r="BA16" s="5">
        <v>20541037329</v>
      </c>
      <c r="BB16" s="5">
        <v>8348281164</v>
      </c>
      <c r="BC16" s="5">
        <v>4412167173</v>
      </c>
      <c r="BD16" s="5">
        <v>11097005663</v>
      </c>
      <c r="BE16" s="5">
        <v>1310222046</v>
      </c>
      <c r="BF16" s="5">
        <v>-1670593931</v>
      </c>
      <c r="BG16" s="5">
        <v>592817173</v>
      </c>
      <c r="BH16" s="5">
        <v>-11011661349</v>
      </c>
      <c r="BI16" s="5">
        <v>-1686591557</v>
      </c>
      <c r="BJ16" s="5">
        <v>-6668379119</v>
      </c>
      <c r="BK16" s="5">
        <v>7552218831</v>
      </c>
      <c r="BL16" s="5">
        <v>-1586656660</v>
      </c>
      <c r="BM16" s="5">
        <v>-6268283537</v>
      </c>
      <c r="BN16" s="5">
        <v>-6785612190</v>
      </c>
      <c r="BO16" s="5">
        <v>3769643720</v>
      </c>
      <c r="BP16" s="5">
        <v>8311584568</v>
      </c>
      <c r="BQ16" s="5">
        <v>7778905341</v>
      </c>
      <c r="BR16" s="5"/>
      <c r="BS16" s="5"/>
      <c r="BT16" s="5"/>
      <c r="BU16" s="5"/>
      <c r="BV16" s="5"/>
      <c r="BW16" s="5"/>
    </row>
    <row r="17" spans="1:75">
      <c r="A17" s="71">
        <v>14</v>
      </c>
      <c r="B17" s="111" t="s">
        <v>360</v>
      </c>
      <c r="C17" s="71">
        <v>5</v>
      </c>
      <c r="D17" s="3">
        <v>0</v>
      </c>
      <c r="E17" s="3">
        <v>299375994</v>
      </c>
      <c r="F17" s="3">
        <v>787003464</v>
      </c>
      <c r="G17" s="3">
        <v>853324557</v>
      </c>
      <c r="H17" s="3">
        <v>610174630</v>
      </c>
      <c r="I17" s="3">
        <v>1291891103</v>
      </c>
      <c r="J17" s="3">
        <v>8989972067</v>
      </c>
      <c r="K17" s="3">
        <v>40395118</v>
      </c>
      <c r="L17" s="3">
        <v>2077248</v>
      </c>
      <c r="M17" s="3">
        <v>399581022</v>
      </c>
      <c r="N17" s="3">
        <v>2510200174</v>
      </c>
      <c r="O17" s="3">
        <v>2987715119</v>
      </c>
      <c r="P17" s="3">
        <v>5351841304</v>
      </c>
      <c r="Q17" s="3">
        <v>240544660</v>
      </c>
      <c r="R17" s="3">
        <v>164167319</v>
      </c>
      <c r="S17" s="3">
        <v>0</v>
      </c>
      <c r="T17" s="3">
        <v>397562937</v>
      </c>
      <c r="U17" s="3">
        <v>263298162</v>
      </c>
      <c r="V17" s="3">
        <v>116035636</v>
      </c>
      <c r="W17" s="3">
        <v>406946130</v>
      </c>
      <c r="X17" s="3">
        <v>1142849269</v>
      </c>
      <c r="Y17" s="3">
        <v>973159654</v>
      </c>
      <c r="Z17" s="3">
        <v>4531212183</v>
      </c>
      <c r="AA17" s="3">
        <v>79192287626</v>
      </c>
      <c r="AB17" s="3">
        <v>332026</v>
      </c>
      <c r="AC17" s="3">
        <v>0</v>
      </c>
      <c r="AD17" s="3">
        <v>2</v>
      </c>
      <c r="AE17" s="3">
        <v>1</v>
      </c>
      <c r="AF17" s="3">
        <v>0</v>
      </c>
      <c r="AG17" s="3">
        <v>425</v>
      </c>
      <c r="AH17" s="3">
        <v>0</v>
      </c>
      <c r="AI17" s="3">
        <v>0</v>
      </c>
      <c r="AJ17" s="3">
        <v>0</v>
      </c>
      <c r="AK17" s="3">
        <v>0</v>
      </c>
      <c r="AL17" s="3">
        <v>8116</v>
      </c>
      <c r="AM17" s="3">
        <v>17050592</v>
      </c>
      <c r="AN17" s="3">
        <v>1945</v>
      </c>
      <c r="AO17" s="3">
        <v>12000</v>
      </c>
      <c r="AP17" s="3">
        <v>0</v>
      </c>
      <c r="AQ17" s="3">
        <v>0</v>
      </c>
      <c r="AR17" s="3">
        <v>203</v>
      </c>
      <c r="AS17" s="3">
        <v>58510228</v>
      </c>
      <c r="AT17" s="3">
        <v>52918371</v>
      </c>
      <c r="AU17" s="3">
        <v>177726993</v>
      </c>
      <c r="AV17" s="3">
        <v>999</v>
      </c>
      <c r="AW17" s="3">
        <v>196700</v>
      </c>
      <c r="AX17" s="3">
        <v>1398763491</v>
      </c>
      <c r="AY17" s="3">
        <v>-184569027</v>
      </c>
      <c r="AZ17" s="3">
        <v>500207</v>
      </c>
      <c r="BA17" s="3">
        <v>2492480</v>
      </c>
      <c r="BB17" s="3">
        <v>2600082</v>
      </c>
      <c r="BC17" s="3">
        <v>33918440</v>
      </c>
      <c r="BD17" s="3">
        <v>115000000</v>
      </c>
      <c r="BE17" s="3">
        <v>2020926</v>
      </c>
      <c r="BF17" s="3">
        <v>9788652</v>
      </c>
      <c r="BG17" s="3">
        <v>244500606</v>
      </c>
      <c r="BH17" s="3">
        <v>742</v>
      </c>
      <c r="BI17" s="3">
        <v>819591</v>
      </c>
      <c r="BJ17" s="3">
        <v>110446</v>
      </c>
      <c r="BK17" s="3">
        <v>42486461</v>
      </c>
      <c r="BL17" s="3">
        <v>4505</v>
      </c>
      <c r="BM17" s="3">
        <v>70001</v>
      </c>
      <c r="BN17" s="3">
        <v>1144804</v>
      </c>
      <c r="BO17" s="3">
        <v>10483805</v>
      </c>
      <c r="BP17" s="3"/>
      <c r="BQ17" s="3">
        <v>371201</v>
      </c>
      <c r="BR17" s="3"/>
      <c r="BS17" s="3"/>
      <c r="BT17" s="3"/>
      <c r="BU17" s="3"/>
      <c r="BV17" s="3"/>
      <c r="BW17" s="3"/>
    </row>
    <row r="18" spans="1:75">
      <c r="A18" s="71">
        <v>15</v>
      </c>
      <c r="B18" s="111" t="s">
        <v>361</v>
      </c>
      <c r="C18" s="71">
        <v>5</v>
      </c>
      <c r="D18" s="3">
        <v>77565</v>
      </c>
      <c r="E18" s="3">
        <v>0</v>
      </c>
      <c r="F18" s="3">
        <v>0</v>
      </c>
      <c r="G18" s="3">
        <v>0</v>
      </c>
      <c r="H18" s="3">
        <v>6136364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3714542474</v>
      </c>
      <c r="P18" s="3">
        <v>0</v>
      </c>
      <c r="Q18" s="3">
        <v>274745</v>
      </c>
      <c r="R18" s="3">
        <v>2093722658</v>
      </c>
      <c r="S18" s="3">
        <v>631668424</v>
      </c>
      <c r="T18" s="3">
        <v>567391744</v>
      </c>
      <c r="U18" s="3">
        <v>150706725</v>
      </c>
      <c r="V18" s="3">
        <v>2322906</v>
      </c>
      <c r="W18" s="3">
        <v>1880704</v>
      </c>
      <c r="X18" s="3">
        <v>593797145</v>
      </c>
      <c r="Y18" s="3">
        <v>15441</v>
      </c>
      <c r="Z18" s="3">
        <v>441600828</v>
      </c>
      <c r="AA18" s="3">
        <v>1024348778</v>
      </c>
      <c r="AB18" s="3">
        <v>1</v>
      </c>
      <c r="AC18" s="3">
        <v>236</v>
      </c>
      <c r="AD18" s="3">
        <v>0</v>
      </c>
      <c r="AE18" s="3">
        <v>7135172</v>
      </c>
      <c r="AF18" s="3">
        <v>3500000</v>
      </c>
      <c r="AG18" s="3">
        <v>99064</v>
      </c>
      <c r="AH18" s="3">
        <v>0</v>
      </c>
      <c r="AI18" s="3">
        <v>-36000</v>
      </c>
      <c r="AJ18" s="3">
        <v>0</v>
      </c>
      <c r="AK18" s="3">
        <v>0</v>
      </c>
      <c r="AL18" s="3">
        <v>0</v>
      </c>
      <c r="AM18" s="3">
        <v>187595749</v>
      </c>
      <c r="AN18" s="3">
        <v>7958068</v>
      </c>
      <c r="AO18" s="3">
        <v>1</v>
      </c>
      <c r="AP18" s="3">
        <v>21796958</v>
      </c>
      <c r="AQ18" s="3">
        <v>2</v>
      </c>
      <c r="AR18" s="3">
        <v>36200000</v>
      </c>
      <c r="AS18" s="3">
        <v>168183405</v>
      </c>
      <c r="AT18" s="3">
        <v>6000002</v>
      </c>
      <c r="AU18" s="3">
        <v>601</v>
      </c>
      <c r="AV18" s="3">
        <v>2601033</v>
      </c>
      <c r="AW18" s="3">
        <v>170398064</v>
      </c>
      <c r="AX18" s="3">
        <v>202496</v>
      </c>
      <c r="AY18" s="3">
        <v>8471297430</v>
      </c>
      <c r="AZ18" s="3">
        <v>1251667</v>
      </c>
      <c r="BA18" s="3">
        <v>130033300</v>
      </c>
      <c r="BB18" s="3">
        <v>0</v>
      </c>
      <c r="BC18" s="3">
        <v>17808640</v>
      </c>
      <c r="BD18" s="3">
        <v>600</v>
      </c>
      <c r="BE18" s="3">
        <v>50477376</v>
      </c>
      <c r="BF18" s="3">
        <v>130663204</v>
      </c>
      <c r="BG18" s="3">
        <v>539898446</v>
      </c>
      <c r="BH18" s="3">
        <v>539664890</v>
      </c>
      <c r="BI18" s="3">
        <v>3515574706</v>
      </c>
      <c r="BJ18" s="3">
        <v>1106262251</v>
      </c>
      <c r="BK18" s="3">
        <v>1603033842</v>
      </c>
      <c r="BL18" s="3">
        <v>106808581</v>
      </c>
      <c r="BM18" s="3">
        <v>151000202</v>
      </c>
      <c r="BN18" s="3">
        <v>34000105</v>
      </c>
      <c r="BO18" s="3">
        <v>76373313</v>
      </c>
      <c r="BP18" s="3">
        <v>130000650</v>
      </c>
      <c r="BQ18" s="3">
        <v>100013926</v>
      </c>
      <c r="BR18" s="3"/>
      <c r="BS18" s="3"/>
      <c r="BT18" s="3"/>
      <c r="BU18" s="3"/>
      <c r="BV18" s="3"/>
      <c r="BW18" s="3"/>
    </row>
    <row r="19" spans="1:75">
      <c r="A19" s="75">
        <v>16</v>
      </c>
      <c r="B19" s="110" t="s">
        <v>362</v>
      </c>
      <c r="C19" s="75">
        <v>5</v>
      </c>
      <c r="D19" s="5">
        <v>-77565</v>
      </c>
      <c r="E19" s="5">
        <v>299375994</v>
      </c>
      <c r="F19" s="5">
        <v>787003464</v>
      </c>
      <c r="G19" s="5">
        <v>853324557</v>
      </c>
      <c r="H19" s="5">
        <v>604038266</v>
      </c>
      <c r="I19" s="5">
        <v>1291891103</v>
      </c>
      <c r="J19" s="5">
        <v>8989972067</v>
      </c>
      <c r="K19" s="5">
        <v>40395118</v>
      </c>
      <c r="L19" s="5">
        <v>2077248</v>
      </c>
      <c r="M19" s="5">
        <v>399581022</v>
      </c>
      <c r="N19" s="5">
        <v>2510200174</v>
      </c>
      <c r="O19" s="5">
        <v>-726827355</v>
      </c>
      <c r="P19" s="5">
        <v>5351841304</v>
      </c>
      <c r="Q19" s="5">
        <v>240269915</v>
      </c>
      <c r="R19" s="5">
        <v>-1929555339</v>
      </c>
      <c r="S19" s="5">
        <v>-631668424</v>
      </c>
      <c r="T19" s="5">
        <v>-169828807</v>
      </c>
      <c r="U19" s="5">
        <v>112591437</v>
      </c>
      <c r="V19" s="5">
        <v>113712730</v>
      </c>
      <c r="W19" s="5">
        <v>405065426</v>
      </c>
      <c r="X19" s="5">
        <v>549052124</v>
      </c>
      <c r="Y19" s="5">
        <v>973144213</v>
      </c>
      <c r="Z19" s="5">
        <v>4089611355</v>
      </c>
      <c r="AA19" s="5">
        <v>78167938848</v>
      </c>
      <c r="AB19" s="5">
        <v>332025</v>
      </c>
      <c r="AC19" s="5">
        <v>-236</v>
      </c>
      <c r="AD19" s="5">
        <v>2</v>
      </c>
      <c r="AE19" s="5">
        <v>-7135171</v>
      </c>
      <c r="AF19" s="5">
        <v>-3500000</v>
      </c>
      <c r="AG19" s="5">
        <v>-98639</v>
      </c>
      <c r="AH19" s="5">
        <v>0</v>
      </c>
      <c r="AI19" s="5">
        <v>36000</v>
      </c>
      <c r="AJ19" s="5">
        <v>0</v>
      </c>
      <c r="AK19" s="5">
        <v>0</v>
      </c>
      <c r="AL19" s="5">
        <v>8116</v>
      </c>
      <c r="AM19" s="5">
        <v>-170545157</v>
      </c>
      <c r="AN19" s="5">
        <v>-7956123</v>
      </c>
      <c r="AO19" s="5">
        <v>11999</v>
      </c>
      <c r="AP19" s="5">
        <v>-21796958</v>
      </c>
      <c r="AQ19" s="5">
        <v>-2</v>
      </c>
      <c r="AR19" s="5">
        <v>-36199797</v>
      </c>
      <c r="AS19" s="5">
        <v>-109673177</v>
      </c>
      <c r="AT19" s="5">
        <v>46918369</v>
      </c>
      <c r="AU19" s="5">
        <v>177726392</v>
      </c>
      <c r="AV19" s="5">
        <v>-2600034</v>
      </c>
      <c r="AW19" s="5">
        <v>-170201364</v>
      </c>
      <c r="AX19" s="5">
        <v>1398560995</v>
      </c>
      <c r="AY19" s="5">
        <v>-8655866457</v>
      </c>
      <c r="AZ19" s="5">
        <v>-751460</v>
      </c>
      <c r="BA19" s="5">
        <v>-127540820</v>
      </c>
      <c r="BB19" s="5">
        <v>2600082</v>
      </c>
      <c r="BC19" s="5">
        <v>16109800</v>
      </c>
      <c r="BD19" s="5">
        <v>114999400</v>
      </c>
      <c r="BE19" s="5">
        <v>-48456450</v>
      </c>
      <c r="BF19" s="5">
        <v>-120874552</v>
      </c>
      <c r="BG19" s="5">
        <v>-295397840</v>
      </c>
      <c r="BH19" s="5">
        <v>-539664148</v>
      </c>
      <c r="BI19" s="5">
        <v>-3514755115</v>
      </c>
      <c r="BJ19" s="5">
        <v>-1106151805</v>
      </c>
      <c r="BK19" s="5">
        <v>-1560547381</v>
      </c>
      <c r="BL19" s="5">
        <v>-106804076</v>
      </c>
      <c r="BM19" s="5">
        <v>-150930201</v>
      </c>
      <c r="BN19" s="5">
        <v>-32855301</v>
      </c>
      <c r="BO19" s="5">
        <v>-65889508</v>
      </c>
      <c r="BP19" s="5">
        <v>-130000650</v>
      </c>
      <c r="BQ19" s="5">
        <v>-99642725</v>
      </c>
      <c r="BR19" s="5"/>
      <c r="BS19" s="5"/>
      <c r="BT19" s="5"/>
      <c r="BU19" s="5"/>
      <c r="BV19" s="5"/>
      <c r="BW19" s="5"/>
    </row>
    <row r="20" spans="1:75">
      <c r="A20" s="112">
        <v>17</v>
      </c>
      <c r="B20" s="110" t="s">
        <v>363</v>
      </c>
      <c r="C20" s="112">
        <v>5</v>
      </c>
      <c r="D20" s="15">
        <v>-145319929</v>
      </c>
      <c r="E20" s="15">
        <v>-261866118</v>
      </c>
      <c r="F20" s="15">
        <v>1866883543</v>
      </c>
      <c r="G20" s="15">
        <v>1265693699</v>
      </c>
      <c r="H20" s="15">
        <v>-227064320</v>
      </c>
      <c r="I20" s="15">
        <v>354501799</v>
      </c>
      <c r="J20" s="15">
        <v>12137445786</v>
      </c>
      <c r="K20" s="15">
        <v>1067465245</v>
      </c>
      <c r="L20" s="15">
        <v>2129055551</v>
      </c>
      <c r="M20" s="15">
        <v>868899223</v>
      </c>
      <c r="N20" s="15">
        <v>-10758350</v>
      </c>
      <c r="O20" s="15">
        <v>1343327568</v>
      </c>
      <c r="P20" s="15">
        <v>4987372370</v>
      </c>
      <c r="Q20" s="15">
        <v>-1188569266</v>
      </c>
      <c r="R20" s="15">
        <v>-1383573435</v>
      </c>
      <c r="S20" s="15">
        <v>1018428140</v>
      </c>
      <c r="T20" s="15">
        <v>2287107255</v>
      </c>
      <c r="U20" s="15">
        <v>2139242572</v>
      </c>
      <c r="V20" s="15">
        <v>1491679123</v>
      </c>
      <c r="W20" s="15">
        <v>3506227410</v>
      </c>
      <c r="X20" s="15">
        <v>1434751730</v>
      </c>
      <c r="Y20" s="15">
        <v>579475053</v>
      </c>
      <c r="Z20" s="15">
        <v>2629328953</v>
      </c>
      <c r="AA20" s="15">
        <v>63726552741</v>
      </c>
      <c r="AB20" s="15">
        <v>724962584</v>
      </c>
      <c r="AC20" s="15">
        <v>-2654785819</v>
      </c>
      <c r="AD20" s="15">
        <v>-7224620341</v>
      </c>
      <c r="AE20" s="15">
        <v>-2945815773</v>
      </c>
      <c r="AF20" s="15">
        <v>2782824124</v>
      </c>
      <c r="AG20" s="15">
        <v>39020207703</v>
      </c>
      <c r="AH20" s="15">
        <v>4428971361</v>
      </c>
      <c r="AI20" s="15">
        <v>12408029027</v>
      </c>
      <c r="AJ20" s="15">
        <v>22901435976</v>
      </c>
      <c r="AK20" s="15">
        <v>17510693234</v>
      </c>
      <c r="AL20" s="15">
        <v>9200113435</v>
      </c>
      <c r="AM20" s="15">
        <v>17443795860</v>
      </c>
      <c r="AN20" s="15">
        <v>1925739613</v>
      </c>
      <c r="AO20" s="15">
        <v>-5270648797</v>
      </c>
      <c r="AP20" s="15">
        <v>-2959309601</v>
      </c>
      <c r="AQ20" s="15">
        <v>2475246740</v>
      </c>
      <c r="AR20" s="15">
        <v>-4153402340</v>
      </c>
      <c r="AS20" s="15">
        <v>-10215448067</v>
      </c>
      <c r="AT20" s="15">
        <v>-13524685493</v>
      </c>
      <c r="AU20" s="15">
        <v>-8282947985</v>
      </c>
      <c r="AV20" s="15">
        <v>9673268117</v>
      </c>
      <c r="AW20" s="15">
        <v>-4978185231</v>
      </c>
      <c r="AX20" s="15">
        <v>-3242020126</v>
      </c>
      <c r="AY20" s="15">
        <v>105403947594</v>
      </c>
      <c r="AZ20" s="15">
        <v>5761271238</v>
      </c>
      <c r="BA20" s="15">
        <v>20413496509</v>
      </c>
      <c r="BB20" s="15">
        <v>8350881246</v>
      </c>
      <c r="BC20" s="15">
        <v>4428276973</v>
      </c>
      <c r="BD20" s="15">
        <v>11212005063</v>
      </c>
      <c r="BE20" s="15">
        <v>1261765596</v>
      </c>
      <c r="BF20" s="15">
        <v>-1791468483</v>
      </c>
      <c r="BG20" s="15">
        <v>297419333</v>
      </c>
      <c r="BH20" s="15">
        <v>-11551325497</v>
      </c>
      <c r="BI20" s="15">
        <v>-5201346672</v>
      </c>
      <c r="BJ20" s="15">
        <v>-7774530924</v>
      </c>
      <c r="BK20" s="15">
        <v>5991671450</v>
      </c>
      <c r="BL20" s="15">
        <v>-1693460736</v>
      </c>
      <c r="BM20" s="15">
        <v>-6419213738</v>
      </c>
      <c r="BN20" s="15">
        <v>-6818467491</v>
      </c>
      <c r="BO20" s="15">
        <v>3703754212</v>
      </c>
      <c r="BP20" s="15">
        <v>8181583918</v>
      </c>
      <c r="BQ20" s="15">
        <v>7679262616</v>
      </c>
      <c r="BR20" s="15"/>
      <c r="BS20" s="15"/>
      <c r="BT20" s="15"/>
      <c r="BU20" s="15"/>
      <c r="BV20" s="15"/>
      <c r="BW20" s="15"/>
    </row>
    <row r="21" spans="1:75">
      <c r="A21" s="71">
        <v>18</v>
      </c>
      <c r="B21" s="116" t="s">
        <v>364</v>
      </c>
      <c r="C21" s="71">
        <v>5</v>
      </c>
      <c r="D21" s="3">
        <v>0</v>
      </c>
      <c r="E21" s="3">
        <v>0</v>
      </c>
      <c r="F21" s="3">
        <v>373376709</v>
      </c>
      <c r="G21" s="3">
        <v>253138740</v>
      </c>
      <c r="H21" s="3">
        <v>0</v>
      </c>
      <c r="I21" s="3">
        <v>70900360</v>
      </c>
      <c r="J21" s="3">
        <v>2427489157</v>
      </c>
      <c r="K21" s="3">
        <v>213493049</v>
      </c>
      <c r="L21" s="3">
        <v>425811110</v>
      </c>
      <c r="M21" s="3">
        <v>173779845</v>
      </c>
      <c r="N21" s="3">
        <v>0</v>
      </c>
      <c r="O21" s="3">
        <v>-1083632052</v>
      </c>
      <c r="P21" s="3">
        <v>997474474</v>
      </c>
      <c r="Q21" s="3">
        <v>0</v>
      </c>
      <c r="R21" s="3">
        <v>0</v>
      </c>
      <c r="S21" s="3">
        <v>203685628</v>
      </c>
      <c r="T21" s="3">
        <v>457567861</v>
      </c>
      <c r="U21" s="3">
        <v>427848514</v>
      </c>
      <c r="V21" s="3">
        <v>298494225</v>
      </c>
      <c r="W21" s="3">
        <v>701245482</v>
      </c>
      <c r="X21" s="3">
        <v>286950346</v>
      </c>
      <c r="Y21" s="3">
        <v>115895011</v>
      </c>
      <c r="Z21" s="3">
        <v>525865791</v>
      </c>
      <c r="AA21" s="3">
        <v>15110212456</v>
      </c>
      <c r="AB21" s="3">
        <v>144992517</v>
      </c>
      <c r="AC21" s="3">
        <v>0</v>
      </c>
      <c r="AD21" s="3">
        <v>0</v>
      </c>
      <c r="AE21" s="3">
        <v>0</v>
      </c>
      <c r="AF21" s="3">
        <v>0</v>
      </c>
      <c r="AG21" s="3">
        <v>5795561979</v>
      </c>
      <c r="AH21" s="3">
        <v>885794272</v>
      </c>
      <c r="AI21" s="3">
        <v>2481605805</v>
      </c>
      <c r="AJ21" s="3">
        <v>4580287195</v>
      </c>
      <c r="AK21" s="3">
        <v>3502138647</v>
      </c>
      <c r="AL21" s="3">
        <v>1840022687</v>
      </c>
      <c r="AM21" s="3">
        <v>-8228778287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11495266455</v>
      </c>
      <c r="AZ21" s="3">
        <v>864190686</v>
      </c>
      <c r="BA21" s="3">
        <v>3020742780</v>
      </c>
      <c r="BB21" s="3">
        <v>1252632187</v>
      </c>
      <c r="BC21" s="3">
        <v>677293488</v>
      </c>
      <c r="BD21" s="3">
        <v>1681800759</v>
      </c>
      <c r="BE21" s="3">
        <v>189264839</v>
      </c>
      <c r="BF21" s="3">
        <v>-1000088030</v>
      </c>
      <c r="BG21" s="3">
        <v>204199602</v>
      </c>
      <c r="BH21" s="3">
        <v>-1349170846</v>
      </c>
      <c r="BI21" s="3">
        <v>-516688622</v>
      </c>
      <c r="BJ21" s="3">
        <v>-854033077</v>
      </c>
      <c r="BK21" s="3">
        <v>3330158442</v>
      </c>
      <c r="BL21" s="524"/>
      <c r="BM21" s="3">
        <v>0</v>
      </c>
      <c r="BN21" s="3">
        <v>-153060867</v>
      </c>
      <c r="BO21" s="3"/>
      <c r="BP21" s="3">
        <v>-45841499</v>
      </c>
      <c r="BQ21" s="3">
        <v>926691756</v>
      </c>
      <c r="BR21" s="3"/>
      <c r="BS21" s="3"/>
      <c r="BT21" s="3"/>
      <c r="BU21" s="3"/>
      <c r="BV21" s="3"/>
      <c r="BW21" s="3"/>
    </row>
    <row r="22" spans="1:75">
      <c r="A22" s="71">
        <v>19</v>
      </c>
      <c r="B22" s="111" t="s">
        <v>365</v>
      </c>
      <c r="C22" s="71">
        <v>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1838941310</v>
      </c>
      <c r="AZ22" s="3">
        <v>0</v>
      </c>
      <c r="BA22" s="3">
        <v>-8043000</v>
      </c>
      <c r="BB22" s="3">
        <v>0</v>
      </c>
      <c r="BC22" s="3">
        <v>0</v>
      </c>
      <c r="BD22" s="3"/>
      <c r="BE22" s="3">
        <v>0</v>
      </c>
      <c r="BF22" s="3">
        <v>-1830898310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/>
      <c r="BM22" s="3">
        <v>0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>
      <c r="A23" s="114">
        <v>20</v>
      </c>
      <c r="B23" s="110" t="s">
        <v>366</v>
      </c>
      <c r="C23" s="114">
        <v>5</v>
      </c>
      <c r="D23" s="16">
        <v>-145319929</v>
      </c>
      <c r="E23" s="16">
        <v>-261866118</v>
      </c>
      <c r="F23" s="16">
        <v>1493506834</v>
      </c>
      <c r="G23" s="16">
        <v>1012554959</v>
      </c>
      <c r="H23" s="16">
        <v>-227064320</v>
      </c>
      <c r="I23" s="16">
        <v>283601439</v>
      </c>
      <c r="J23" s="16">
        <v>9709956629</v>
      </c>
      <c r="K23" s="16">
        <v>853972196</v>
      </c>
      <c r="L23" s="16">
        <v>1703244441</v>
      </c>
      <c r="M23" s="16">
        <v>695119378</v>
      </c>
      <c r="N23" s="16">
        <v>-10758350</v>
      </c>
      <c r="O23" s="16">
        <v>2426959620</v>
      </c>
      <c r="P23" s="16">
        <v>3989897896</v>
      </c>
      <c r="Q23" s="16">
        <v>-1188569266</v>
      </c>
      <c r="R23" s="16">
        <v>-1383573435</v>
      </c>
      <c r="S23" s="16">
        <v>814742512</v>
      </c>
      <c r="T23" s="16">
        <v>1829539394</v>
      </c>
      <c r="U23" s="16">
        <v>1711394058</v>
      </c>
      <c r="V23" s="16">
        <v>1193184898</v>
      </c>
      <c r="W23" s="16">
        <v>2804981928</v>
      </c>
      <c r="X23" s="16">
        <v>1147801384</v>
      </c>
      <c r="Y23" s="16">
        <v>463580042</v>
      </c>
      <c r="Z23" s="16">
        <v>2103463162</v>
      </c>
      <c r="AA23" s="16">
        <v>48616340285</v>
      </c>
      <c r="AB23" s="16">
        <v>579970067</v>
      </c>
      <c r="AC23" s="16">
        <v>-2654785819</v>
      </c>
      <c r="AD23" s="16">
        <v>-7224620341</v>
      </c>
      <c r="AE23" s="16">
        <v>-2945815773</v>
      </c>
      <c r="AF23" s="16">
        <v>2782824124</v>
      </c>
      <c r="AG23" s="16">
        <v>33224645724</v>
      </c>
      <c r="AH23" s="16">
        <v>3543177089</v>
      </c>
      <c r="AI23" s="16">
        <v>9926423222</v>
      </c>
      <c r="AJ23" s="16">
        <v>18321148781</v>
      </c>
      <c r="AK23" s="16">
        <v>14008554587</v>
      </c>
      <c r="AL23" s="16">
        <v>7360090748</v>
      </c>
      <c r="AM23" s="16">
        <v>25672574147</v>
      </c>
      <c r="AN23" s="16">
        <v>1925739613</v>
      </c>
      <c r="AO23" s="16">
        <v>-5270648797</v>
      </c>
      <c r="AP23" s="16">
        <v>-2959309601</v>
      </c>
      <c r="AQ23" s="16">
        <v>2475246740</v>
      </c>
      <c r="AR23" s="16">
        <v>-4153402340</v>
      </c>
      <c r="AS23" s="16">
        <v>-10215448067</v>
      </c>
      <c r="AT23" s="16">
        <v>-13524685493</v>
      </c>
      <c r="AU23" s="16">
        <v>-8282947985</v>
      </c>
      <c r="AV23" s="16">
        <v>9673268117</v>
      </c>
      <c r="AW23" s="16">
        <v>-4978185231</v>
      </c>
      <c r="AX23" s="16">
        <v>-3242020126</v>
      </c>
      <c r="AY23" s="16">
        <v>92069739829</v>
      </c>
      <c r="AZ23" s="16">
        <v>4897080552</v>
      </c>
      <c r="BA23" s="16">
        <v>17400796729</v>
      </c>
      <c r="BB23" s="16">
        <v>7098249059</v>
      </c>
      <c r="BC23" s="16">
        <v>3750983485</v>
      </c>
      <c r="BD23" s="16">
        <v>9530204304</v>
      </c>
      <c r="BE23" s="16">
        <v>1072500757</v>
      </c>
      <c r="BF23" s="16">
        <v>1039517857</v>
      </c>
      <c r="BG23" s="16">
        <v>93219731</v>
      </c>
      <c r="BH23" s="16">
        <v>-10202154651</v>
      </c>
      <c r="BI23" s="16">
        <v>-4684658050</v>
      </c>
      <c r="BJ23" s="16">
        <v>-6920497847</v>
      </c>
      <c r="BK23" s="16">
        <v>2661513008</v>
      </c>
      <c r="BL23" s="16">
        <v>-1693460736</v>
      </c>
      <c r="BM23" s="16">
        <v>-6419213738</v>
      </c>
      <c r="BN23" s="16">
        <v>-6665406624</v>
      </c>
      <c r="BO23" s="16">
        <v>3703754212</v>
      </c>
      <c r="BP23" s="16">
        <v>8227425417</v>
      </c>
      <c r="BQ23" s="16">
        <v>6752570860</v>
      </c>
      <c r="BR23" s="16"/>
      <c r="BS23" s="16"/>
      <c r="BT23" s="16"/>
      <c r="BU23" s="16"/>
      <c r="BV23" s="16"/>
      <c r="BW23" s="16"/>
    </row>
  </sheetData>
  <sheetProtection algorithmName="SHA-512" hashValue="oZ2m/ivwurLJX5imWPFiezyasQYops5XbcJ0s5Ti+UJs1VaBx7g59iYjVtg0QLsjmYaeXJ9AehCEq8ENGHPezA==" saltValue="5elvMIF+Cz7eqaiSyuBAYQ==" spinCount="100000" sheet="1" objects="1" scenarios="1"/>
  <protectedRanges>
    <protectedRange sqref="D4:BK23 BM4:BW23 BL4:BL20 BL22:BL23" name="PL"/>
  </protectedRange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5394-5B77-4071-BB64-AC21CE5C40FB}">
  <sheetPr>
    <tabColor theme="9" tint="0.59999389629810485"/>
  </sheetPr>
  <dimension ref="A1:BW46"/>
  <sheetViews>
    <sheetView showGridLines="0" zoomScale="80" zoomScaleNormal="80" workbookViewId="0">
      <pane xSplit="3" ySplit="3" topLeftCell="BK4" activePane="bottomRight" state="frozen"/>
      <selection pane="topRight" activeCell="BL10" sqref="BL10"/>
      <selection pane="bottomLeft" activeCell="BL10" sqref="BL10"/>
      <selection pane="bottomRight" activeCell="BM15" sqref="BM15"/>
    </sheetView>
  </sheetViews>
  <sheetFormatPr defaultRowHeight="14.4"/>
  <cols>
    <col min="1" max="1" width="7" hidden="1" customWidth="1"/>
    <col min="2" max="2" width="57.33203125" customWidth="1"/>
    <col min="3" max="3" width="14.5546875" hidden="1" customWidth="1"/>
    <col min="4" max="7" width="17.6640625" customWidth="1"/>
    <col min="8" max="8" width="19.33203125" customWidth="1"/>
    <col min="9" max="9" width="17.6640625" customWidth="1"/>
    <col min="10" max="10" width="19.33203125" customWidth="1"/>
    <col min="11" max="11" width="20.33203125" customWidth="1"/>
    <col min="12" max="13" width="17.6640625" customWidth="1"/>
    <col min="14" max="16" width="19.33203125" customWidth="1"/>
    <col min="17" max="17" width="18.33203125" customWidth="1"/>
    <col min="18" max="22" width="19.33203125" customWidth="1"/>
    <col min="23" max="23" width="18.33203125" customWidth="1"/>
    <col min="24" max="26" width="19.33203125" customWidth="1"/>
    <col min="27" max="27" width="20.33203125" customWidth="1"/>
    <col min="28" max="30" width="19.33203125" customWidth="1"/>
    <col min="31" max="31" width="20.33203125" customWidth="1"/>
    <col min="32" max="40" width="19.33203125" customWidth="1"/>
    <col min="41" max="41" width="18.33203125" customWidth="1"/>
    <col min="42" max="48" width="19.33203125" customWidth="1"/>
    <col min="49" max="49" width="19.5546875" customWidth="1"/>
    <col min="50" max="50" width="19.33203125" customWidth="1"/>
    <col min="51" max="51" width="20.33203125" customWidth="1"/>
    <col min="52" max="52" width="19.33203125" bestFit="1" customWidth="1"/>
    <col min="53" max="53" width="20.33203125" bestFit="1" customWidth="1"/>
    <col min="54" max="63" width="19.33203125" bestFit="1" customWidth="1"/>
    <col min="64" max="64" width="20.33203125" customWidth="1"/>
    <col min="65" max="75" width="20.5546875" customWidth="1"/>
  </cols>
  <sheetData>
    <row r="1" spans="1:75" ht="17.399999999999999">
      <c r="B1" s="56" t="s">
        <v>236</v>
      </c>
    </row>
    <row r="2" spans="1:75">
      <c r="B2" s="62" t="s">
        <v>237</v>
      </c>
    </row>
    <row r="3" spans="1:75" ht="27.6">
      <c r="A3" s="117" t="s">
        <v>367</v>
      </c>
      <c r="B3" s="66" t="s">
        <v>368</v>
      </c>
      <c r="C3" s="65" t="s">
        <v>240</v>
      </c>
      <c r="D3" s="65" t="s">
        <v>241</v>
      </c>
      <c r="E3" s="65" t="s">
        <v>242</v>
      </c>
      <c r="F3" s="65" t="s">
        <v>243</v>
      </c>
      <c r="G3" s="65" t="s">
        <v>244</v>
      </c>
      <c r="H3" s="65" t="s">
        <v>245</v>
      </c>
      <c r="I3" s="65" t="s">
        <v>246</v>
      </c>
      <c r="J3" s="65" t="s">
        <v>247</v>
      </c>
      <c r="K3" s="65" t="s">
        <v>248</v>
      </c>
      <c r="L3" s="65" t="s">
        <v>249</v>
      </c>
      <c r="M3" s="65" t="s">
        <v>250</v>
      </c>
      <c r="N3" s="65" t="s">
        <v>251</v>
      </c>
      <c r="O3" s="65" t="s">
        <v>252</v>
      </c>
      <c r="P3" s="65" t="s">
        <v>253</v>
      </c>
      <c r="Q3" s="65" t="s">
        <v>254</v>
      </c>
      <c r="R3" s="65" t="s">
        <v>255</v>
      </c>
      <c r="S3" s="65" t="s">
        <v>256</v>
      </c>
      <c r="T3" s="65" t="s">
        <v>257</v>
      </c>
      <c r="U3" s="65" t="s">
        <v>258</v>
      </c>
      <c r="V3" s="65" t="s">
        <v>259</v>
      </c>
      <c r="W3" s="65" t="s">
        <v>260</v>
      </c>
      <c r="X3" s="65" t="s">
        <v>261</v>
      </c>
      <c r="Y3" s="65" t="s">
        <v>262</v>
      </c>
      <c r="Z3" s="65" t="s">
        <v>263</v>
      </c>
      <c r="AA3" s="65" t="s">
        <v>264</v>
      </c>
      <c r="AB3" s="65" t="s">
        <v>265</v>
      </c>
      <c r="AC3" s="65" t="s">
        <v>266</v>
      </c>
      <c r="AD3" s="65" t="s">
        <v>267</v>
      </c>
      <c r="AE3" s="65" t="s">
        <v>268</v>
      </c>
      <c r="AF3" s="65" t="s">
        <v>269</v>
      </c>
      <c r="AG3" s="65" t="s">
        <v>270</v>
      </c>
      <c r="AH3" s="65" t="s">
        <v>271</v>
      </c>
      <c r="AI3" s="65" t="s">
        <v>272</v>
      </c>
      <c r="AJ3" s="65" t="s">
        <v>273</v>
      </c>
      <c r="AK3" s="65" t="s">
        <v>274</v>
      </c>
      <c r="AL3" s="65" t="s">
        <v>275</v>
      </c>
      <c r="AM3" s="65" t="s">
        <v>276</v>
      </c>
      <c r="AN3" s="65" t="s">
        <v>277</v>
      </c>
      <c r="AO3" s="65" t="s">
        <v>278</v>
      </c>
      <c r="AP3" s="65" t="s">
        <v>279</v>
      </c>
      <c r="AQ3" s="65" t="s">
        <v>280</v>
      </c>
      <c r="AR3" s="65" t="s">
        <v>281</v>
      </c>
      <c r="AS3" s="65" t="s">
        <v>282</v>
      </c>
      <c r="AT3" s="65" t="s">
        <v>283</v>
      </c>
      <c r="AU3" s="65" t="s">
        <v>284</v>
      </c>
      <c r="AV3" s="65" t="s">
        <v>285</v>
      </c>
      <c r="AW3" s="65" t="s">
        <v>286</v>
      </c>
      <c r="AX3" s="65" t="s">
        <v>287</v>
      </c>
      <c r="AY3" s="65" t="s">
        <v>288</v>
      </c>
      <c r="AZ3" s="65" t="s">
        <v>289</v>
      </c>
      <c r="BA3" s="65" t="s">
        <v>290</v>
      </c>
      <c r="BB3" s="65" t="s">
        <v>291</v>
      </c>
      <c r="BC3" s="65" t="s">
        <v>292</v>
      </c>
      <c r="BD3" s="65" t="s">
        <v>293</v>
      </c>
      <c r="BE3" s="65" t="s">
        <v>294</v>
      </c>
      <c r="BF3" s="65" t="s">
        <v>295</v>
      </c>
      <c r="BG3" s="65" t="s">
        <v>296</v>
      </c>
      <c r="BH3" s="65" t="s">
        <v>297</v>
      </c>
      <c r="BI3" s="65" t="s">
        <v>298</v>
      </c>
      <c r="BJ3" s="65" t="s">
        <v>299</v>
      </c>
      <c r="BK3" s="65" t="s">
        <v>300</v>
      </c>
      <c r="BL3" s="65" t="s">
        <v>301</v>
      </c>
      <c r="BM3" s="65" t="s">
        <v>302</v>
      </c>
      <c r="BN3" s="65" t="s">
        <v>303</v>
      </c>
      <c r="BO3" s="65" t="s">
        <v>304</v>
      </c>
      <c r="BP3" s="65" t="s">
        <v>305</v>
      </c>
      <c r="BQ3" s="65" t="s">
        <v>306</v>
      </c>
      <c r="BR3" s="65" t="s">
        <v>307</v>
      </c>
      <c r="BS3" s="65" t="s">
        <v>308</v>
      </c>
      <c r="BT3" s="65" t="s">
        <v>309</v>
      </c>
      <c r="BU3" s="65" t="s">
        <v>310</v>
      </c>
      <c r="BV3" s="65" t="s">
        <v>311</v>
      </c>
      <c r="BW3" s="65" t="s">
        <v>312</v>
      </c>
    </row>
    <row r="4" spans="1:75">
      <c r="A4" s="118">
        <v>1</v>
      </c>
      <c r="B4" s="119" t="s">
        <v>194</v>
      </c>
      <c r="C4" s="120">
        <v>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</row>
    <row r="5" spans="1:75">
      <c r="A5" s="118">
        <v>2</v>
      </c>
      <c r="B5" s="119" t="s">
        <v>369</v>
      </c>
      <c r="C5" s="121">
        <v>5</v>
      </c>
      <c r="D5" s="17">
        <v>-145319929</v>
      </c>
      <c r="E5" s="17">
        <v>-261866118</v>
      </c>
      <c r="F5" s="17">
        <v>1866883543</v>
      </c>
      <c r="G5" s="17">
        <v>1265693699</v>
      </c>
      <c r="H5" s="17">
        <v>-227064320</v>
      </c>
      <c r="I5" s="17">
        <v>354501799</v>
      </c>
      <c r="J5" s="17">
        <v>12137445786</v>
      </c>
      <c r="K5" s="17">
        <v>1067465245</v>
      </c>
      <c r="L5" s="17">
        <v>2129055551</v>
      </c>
      <c r="M5" s="17">
        <v>868899223</v>
      </c>
      <c r="N5" s="17">
        <v>-10758350</v>
      </c>
      <c r="O5" s="17">
        <v>3433498631</v>
      </c>
      <c r="P5" s="17">
        <v>4987372370</v>
      </c>
      <c r="Q5" s="17">
        <v>-1188569266</v>
      </c>
      <c r="R5" s="17">
        <v>-1383573435</v>
      </c>
      <c r="S5" s="17">
        <v>1018428140</v>
      </c>
      <c r="T5" s="17">
        <v>2287839303</v>
      </c>
      <c r="U5" s="17">
        <v>2139242572</v>
      </c>
      <c r="V5" s="17">
        <v>1492471123</v>
      </c>
      <c r="W5" s="17">
        <v>3506227410</v>
      </c>
      <c r="X5" s="17">
        <v>1434751730</v>
      </c>
      <c r="Y5" s="17">
        <v>579475053</v>
      </c>
      <c r="Z5" s="17">
        <v>2600310373</v>
      </c>
      <c r="AA5" s="17">
        <v>72640056425</v>
      </c>
      <c r="AB5" s="17">
        <v>724962584</v>
      </c>
      <c r="AC5" s="17">
        <v>-2654785819</v>
      </c>
      <c r="AD5" s="17">
        <v>-6797866981</v>
      </c>
      <c r="AE5" s="17">
        <v>-2939069440</v>
      </c>
      <c r="AF5" s="17">
        <v>2782824124</v>
      </c>
      <c r="AG5" s="17">
        <v>34272058105</v>
      </c>
      <c r="AH5" s="17">
        <v>3543177089</v>
      </c>
      <c r="AI5" s="17">
        <v>12408029027</v>
      </c>
      <c r="AJ5" s="17">
        <v>22901435976</v>
      </c>
      <c r="AK5" s="17">
        <v>17510693234</v>
      </c>
      <c r="AL5" s="17">
        <v>9200113435</v>
      </c>
      <c r="AM5" s="17">
        <v>21795709649</v>
      </c>
      <c r="AN5" s="17">
        <v>-729878180</v>
      </c>
      <c r="AO5" s="17">
        <v>-5270648797</v>
      </c>
      <c r="AP5" s="17">
        <v>-2959309601</v>
      </c>
      <c r="AQ5" s="17">
        <v>2475246740</v>
      </c>
      <c r="AR5" s="17">
        <v>-4153402340</v>
      </c>
      <c r="AS5" s="17">
        <v>-10215448067</v>
      </c>
      <c r="AT5" s="17">
        <v>-13524685493</v>
      </c>
      <c r="AU5" s="17">
        <v>-8282947985</v>
      </c>
      <c r="AV5" s="17">
        <v>9673268117</v>
      </c>
      <c r="AW5" s="17">
        <v>-4978185231</v>
      </c>
      <c r="AX5" s="17">
        <v>-3242020126</v>
      </c>
      <c r="AY5" s="17">
        <v>105403947594</v>
      </c>
      <c r="AZ5" s="17">
        <v>5761271238</v>
      </c>
      <c r="BA5" s="17">
        <v>20413496509</v>
      </c>
      <c r="BB5" s="17">
        <v>8350881246</v>
      </c>
      <c r="BC5" s="17">
        <v>4428276973</v>
      </c>
      <c r="BD5" s="17">
        <v>11212005063</v>
      </c>
      <c r="BE5" s="17">
        <v>1261765596</v>
      </c>
      <c r="BF5" s="17">
        <v>-1791468483</v>
      </c>
      <c r="BG5" s="17">
        <v>297419333</v>
      </c>
      <c r="BH5" s="17">
        <v>-11551325497</v>
      </c>
      <c r="BI5" s="17">
        <v>-5201346672</v>
      </c>
      <c r="BJ5" s="17">
        <v>-7774530924</v>
      </c>
      <c r="BK5" s="17">
        <v>5991671450</v>
      </c>
      <c r="BL5" s="17">
        <v>-1693460736</v>
      </c>
      <c r="BM5" s="17">
        <v>-6419213738</v>
      </c>
      <c r="BN5" s="17">
        <v>-6818467491</v>
      </c>
      <c r="BO5" s="17">
        <v>3703754212</v>
      </c>
      <c r="BP5" s="17">
        <v>8181583918</v>
      </c>
      <c r="BQ5" s="17">
        <v>7679262616</v>
      </c>
      <c r="BR5" s="17"/>
      <c r="BS5" s="17"/>
      <c r="BT5" s="17"/>
      <c r="BU5" s="17"/>
      <c r="BV5" s="17"/>
      <c r="BW5" s="17"/>
    </row>
    <row r="6" spans="1:75">
      <c r="A6" s="122">
        <v>3</v>
      </c>
      <c r="B6" s="123" t="s">
        <v>370</v>
      </c>
      <c r="C6" s="124">
        <v>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</row>
    <row r="7" spans="1:75">
      <c r="A7" s="125">
        <v>4</v>
      </c>
      <c r="B7" s="126" t="s">
        <v>371</v>
      </c>
      <c r="C7" s="127">
        <v>5</v>
      </c>
      <c r="D7" s="35">
        <v>114068470</v>
      </c>
      <c r="E7" s="35">
        <v>126121801</v>
      </c>
      <c r="F7" s="35">
        <v>147008613</v>
      </c>
      <c r="G7" s="35">
        <v>238724372</v>
      </c>
      <c r="H7" s="35">
        <v>261288664</v>
      </c>
      <c r="I7" s="35">
        <v>262966527</v>
      </c>
      <c r="J7" s="35">
        <v>317249464</v>
      </c>
      <c r="K7" s="35">
        <v>2153982752</v>
      </c>
      <c r="L7" s="35">
        <v>2152561211</v>
      </c>
      <c r="M7" s="35">
        <v>2174735343</v>
      </c>
      <c r="N7" s="35">
        <v>2173203711</v>
      </c>
      <c r="O7" s="35">
        <v>2197897521</v>
      </c>
      <c r="P7" s="35">
        <v>2210777959</v>
      </c>
      <c r="Q7" s="35">
        <v>2217051434</v>
      </c>
      <c r="R7" s="35">
        <v>2217095155</v>
      </c>
      <c r="S7" s="35">
        <v>2240561029</v>
      </c>
      <c r="T7" s="35">
        <v>2275690850</v>
      </c>
      <c r="U7" s="35">
        <v>2294424862</v>
      </c>
      <c r="V7" s="35">
        <v>2346967071</v>
      </c>
      <c r="W7" s="35">
        <v>2477802509</v>
      </c>
      <c r="X7" s="35">
        <v>2507043136</v>
      </c>
      <c r="Y7" s="35">
        <v>2574481156</v>
      </c>
      <c r="Z7" s="35">
        <v>2729148236</v>
      </c>
      <c r="AA7" s="35">
        <v>2941425837</v>
      </c>
      <c r="AB7" s="35">
        <v>2001455878</v>
      </c>
      <c r="AC7" s="35">
        <v>2160797473</v>
      </c>
      <c r="AD7" s="35">
        <v>2357123101</v>
      </c>
      <c r="AE7" s="35">
        <v>2505052236</v>
      </c>
      <c r="AF7" s="35">
        <v>2455297140</v>
      </c>
      <c r="AG7" s="35">
        <v>2488826869</v>
      </c>
      <c r="AH7" s="35">
        <v>2598557474</v>
      </c>
      <c r="AI7" s="35">
        <v>2740124929</v>
      </c>
      <c r="AJ7" s="35">
        <v>2842072854</v>
      </c>
      <c r="AK7" s="35">
        <v>2876299744</v>
      </c>
      <c r="AL7" s="35">
        <v>2880806619</v>
      </c>
      <c r="AM7" s="35">
        <v>3027917155</v>
      </c>
      <c r="AN7" s="35">
        <v>2998479509</v>
      </c>
      <c r="AO7" s="35">
        <v>3003358762</v>
      </c>
      <c r="AP7" s="35">
        <v>2998978933</v>
      </c>
      <c r="AQ7" s="35">
        <v>3181024399</v>
      </c>
      <c r="AR7" s="35">
        <v>3238724278</v>
      </c>
      <c r="AS7" s="35">
        <v>3240440023</v>
      </c>
      <c r="AT7" s="35">
        <v>3274496481</v>
      </c>
      <c r="AU7" s="35">
        <v>3295429795</v>
      </c>
      <c r="AV7" s="35">
        <v>3434711622</v>
      </c>
      <c r="AW7" s="35">
        <v>3434792405</v>
      </c>
      <c r="AX7" s="35">
        <v>3448986541</v>
      </c>
      <c r="AY7" s="35">
        <v>3762460661</v>
      </c>
      <c r="AZ7" s="35">
        <v>3803154168</v>
      </c>
      <c r="BA7" s="35">
        <v>3804698614</v>
      </c>
      <c r="BB7" s="35">
        <v>4002633975</v>
      </c>
      <c r="BC7" s="35">
        <v>3905195928</v>
      </c>
      <c r="BD7" s="35">
        <v>4091854986</v>
      </c>
      <c r="BE7" s="35">
        <v>4087468338</v>
      </c>
      <c r="BF7" s="35">
        <v>4085457551</v>
      </c>
      <c r="BG7" s="35">
        <v>4092995160</v>
      </c>
      <c r="BH7" s="35">
        <v>4407500048</v>
      </c>
      <c r="BI7" s="35">
        <v>4260856692</v>
      </c>
      <c r="BJ7" s="35">
        <v>4421950561</v>
      </c>
      <c r="BK7" s="35">
        <v>4442318343</v>
      </c>
      <c r="BL7" s="35">
        <v>2133968845</v>
      </c>
      <c r="BM7" s="35">
        <v>2103008488</v>
      </c>
      <c r="BN7" s="35">
        <v>2118111558</v>
      </c>
      <c r="BO7" s="35">
        <v>2277961573</v>
      </c>
      <c r="BP7" s="35">
        <v>2330977557</v>
      </c>
      <c r="BQ7" s="35">
        <v>2329762280</v>
      </c>
      <c r="BR7" s="35"/>
      <c r="BS7" s="35"/>
      <c r="BT7" s="35"/>
      <c r="BU7" s="35"/>
      <c r="BV7" s="35"/>
      <c r="BW7" s="35"/>
    </row>
    <row r="8" spans="1:75">
      <c r="A8" s="125">
        <v>5</v>
      </c>
      <c r="B8" s="126" t="s">
        <v>372</v>
      </c>
      <c r="C8" s="127">
        <v>5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/>
      <c r="V8" s="35">
        <v>0</v>
      </c>
      <c r="W8" s="35"/>
      <c r="X8" s="35"/>
      <c r="Y8" s="35"/>
      <c r="Z8" s="35"/>
      <c r="AA8" s="35">
        <v>1743698927</v>
      </c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</row>
    <row r="9" spans="1:75">
      <c r="A9" s="128">
        <v>6</v>
      </c>
      <c r="B9" s="129" t="s">
        <v>373</v>
      </c>
      <c r="C9" s="130">
        <v>5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>
        <v>113009721</v>
      </c>
      <c r="V9" s="36">
        <v>24337805</v>
      </c>
      <c r="W9" s="36">
        <v>-166725398</v>
      </c>
      <c r="X9" s="36">
        <v>-212327323</v>
      </c>
      <c r="Y9" s="36">
        <v>-490740481</v>
      </c>
      <c r="Z9" s="36">
        <v>-11949559</v>
      </c>
      <c r="AA9" s="36">
        <v>82868638</v>
      </c>
      <c r="AB9" s="36">
        <v>-82993206</v>
      </c>
      <c r="AC9" s="36">
        <v>-55931047</v>
      </c>
      <c r="AD9" s="36">
        <v>244585730</v>
      </c>
      <c r="AE9" s="36">
        <v>26688844</v>
      </c>
      <c r="AF9" s="36">
        <v>-97199889</v>
      </c>
      <c r="AG9" s="36">
        <v>-4239375</v>
      </c>
      <c r="AH9" s="36">
        <v>216989955</v>
      </c>
      <c r="AI9" s="36">
        <v>-303620379</v>
      </c>
      <c r="AJ9" s="36">
        <v>61953179</v>
      </c>
      <c r="AK9" s="36">
        <v>-123172159</v>
      </c>
      <c r="AL9" s="36">
        <v>-253311598</v>
      </c>
      <c r="AM9" s="36">
        <v>110438572</v>
      </c>
      <c r="AN9" s="36">
        <v>-55279705</v>
      </c>
      <c r="AO9" s="36">
        <v>-427077314</v>
      </c>
      <c r="AP9" s="36">
        <v>-320017067</v>
      </c>
      <c r="AQ9" s="36">
        <v>-242395730</v>
      </c>
      <c r="AR9" s="36">
        <v>-818581781</v>
      </c>
      <c r="AS9" s="36">
        <v>-185223798</v>
      </c>
      <c r="AT9" s="36">
        <v>-180874896</v>
      </c>
      <c r="AU9" s="36">
        <v>-263960563</v>
      </c>
      <c r="AV9" s="36">
        <v>-297048858</v>
      </c>
      <c r="AW9" s="36">
        <v>-1429021178</v>
      </c>
      <c r="AX9" s="36">
        <v>-522578257</v>
      </c>
      <c r="AY9" s="36">
        <v>-1311270209</v>
      </c>
      <c r="AZ9" s="36">
        <v>-357780096</v>
      </c>
      <c r="BA9" s="36">
        <v>-1275864519</v>
      </c>
      <c r="BB9" s="36">
        <v>-608968263</v>
      </c>
      <c r="BC9" s="36">
        <v>-658231709</v>
      </c>
      <c r="BD9" s="36">
        <v>-1643945913</v>
      </c>
      <c r="BE9" s="36">
        <v>-645043805</v>
      </c>
      <c r="BF9" s="36">
        <v>-757881624</v>
      </c>
      <c r="BG9" s="36">
        <v>-621393506</v>
      </c>
      <c r="BH9" s="36">
        <v>-844098636</v>
      </c>
      <c r="BI9" s="36">
        <v>-1011211322</v>
      </c>
      <c r="BJ9" s="36">
        <v>-120205688</v>
      </c>
      <c r="BK9" s="36">
        <v>-252471998</v>
      </c>
      <c r="BL9" s="36">
        <v>-282378363</v>
      </c>
      <c r="BM9" s="36">
        <v>-195993248</v>
      </c>
      <c r="BN9" s="36">
        <v>-773200542</v>
      </c>
      <c r="BO9" s="36">
        <v>-16042566</v>
      </c>
      <c r="BP9" s="36">
        <v>-618868933</v>
      </c>
      <c r="BQ9" s="36">
        <v>-301467078</v>
      </c>
      <c r="BR9" s="36"/>
      <c r="BS9" s="36"/>
      <c r="BT9" s="36"/>
      <c r="BU9" s="36"/>
      <c r="BV9" s="36"/>
      <c r="BW9" s="36"/>
    </row>
    <row r="10" spans="1:75">
      <c r="A10" s="125">
        <v>7</v>
      </c>
      <c r="B10" s="126" t="s">
        <v>374</v>
      </c>
      <c r="C10" s="127">
        <v>5</v>
      </c>
      <c r="D10" s="35">
        <v>-1228117</v>
      </c>
      <c r="E10" s="35">
        <v>-1370668</v>
      </c>
      <c r="F10" s="35">
        <v>-503786</v>
      </c>
      <c r="G10" s="35">
        <v>-991223</v>
      </c>
      <c r="H10" s="35">
        <v>-924399</v>
      </c>
      <c r="I10" s="35">
        <v>-2721429</v>
      </c>
      <c r="J10" s="35">
        <v>-5630167167</v>
      </c>
      <c r="K10" s="35">
        <v>-4552274821</v>
      </c>
      <c r="L10" s="35">
        <v>-4006107516</v>
      </c>
      <c r="M10" s="35">
        <v>-1404451824</v>
      </c>
      <c r="N10" s="35">
        <v>-1487413089</v>
      </c>
      <c r="O10" s="35">
        <v>-1249240389</v>
      </c>
      <c r="P10" s="35">
        <v>-1479346434</v>
      </c>
      <c r="Q10" s="35">
        <v>-1527456177</v>
      </c>
      <c r="R10" s="35">
        <v>-1512346597</v>
      </c>
      <c r="S10" s="35">
        <v>-1655612808</v>
      </c>
      <c r="T10" s="35">
        <v>-2665641339</v>
      </c>
      <c r="U10" s="35">
        <v>-1095282706</v>
      </c>
      <c r="V10" s="35">
        <v>-1081534844</v>
      </c>
      <c r="W10" s="35">
        <v>-1070482305</v>
      </c>
      <c r="X10" s="35">
        <v>-1037312910</v>
      </c>
      <c r="Y10" s="35">
        <v>-1071806869</v>
      </c>
      <c r="Z10" s="35">
        <v>-977080872</v>
      </c>
      <c r="AA10" s="35">
        <v>-72743919982</v>
      </c>
      <c r="AB10" s="35">
        <v>-8374739</v>
      </c>
      <c r="AC10" s="35">
        <v>-4079373</v>
      </c>
      <c r="AD10" s="35">
        <v>-9099455</v>
      </c>
      <c r="AE10" s="35">
        <v>-2096588</v>
      </c>
      <c r="AF10" s="35">
        <v>-5188030</v>
      </c>
      <c r="AG10" s="35">
        <v>-1509288</v>
      </c>
      <c r="AH10" s="35">
        <v>-1391718</v>
      </c>
      <c r="AI10" s="35">
        <v>-684834</v>
      </c>
      <c r="AJ10" s="35"/>
      <c r="AK10" s="35">
        <v>-631102</v>
      </c>
      <c r="AL10" s="35">
        <v>-149280</v>
      </c>
      <c r="AM10" s="35">
        <v>-133934</v>
      </c>
      <c r="AN10" s="35"/>
      <c r="AO10" s="35">
        <v>-296561</v>
      </c>
      <c r="AP10" s="35">
        <v>-171678249</v>
      </c>
      <c r="AQ10" s="35">
        <v>-808078</v>
      </c>
      <c r="AR10" s="35">
        <v>-439987</v>
      </c>
      <c r="AS10" s="35">
        <v>-482338</v>
      </c>
      <c r="AT10" s="35">
        <v>-374904</v>
      </c>
      <c r="AU10" s="35">
        <v>-1014834</v>
      </c>
      <c r="AV10" s="35">
        <v>-826804</v>
      </c>
      <c r="AW10" s="35">
        <v>-156232879</v>
      </c>
      <c r="AX10" s="35">
        <v>-1036275</v>
      </c>
      <c r="AY10" s="35">
        <v>-1314400686</v>
      </c>
      <c r="AZ10" s="35">
        <v>-398202236</v>
      </c>
      <c r="BA10" s="35">
        <v>-1278506781</v>
      </c>
      <c r="BB10" s="35">
        <v>-681642</v>
      </c>
      <c r="BC10" s="35">
        <v>-1661994</v>
      </c>
      <c r="BD10" s="35">
        <v>-649627</v>
      </c>
      <c r="BE10" s="35">
        <v>-989334</v>
      </c>
      <c r="BF10" s="35">
        <v>-870633</v>
      </c>
      <c r="BG10" s="35">
        <v>-913181</v>
      </c>
      <c r="BH10" s="35">
        <v>-1031619</v>
      </c>
      <c r="BI10" s="35">
        <v>-717642885</v>
      </c>
      <c r="BJ10" s="35">
        <v>-81582428</v>
      </c>
      <c r="BK10" s="35">
        <v>-337960853</v>
      </c>
      <c r="BL10" s="35">
        <v>-1708611</v>
      </c>
      <c r="BM10" s="35">
        <v>-1116123</v>
      </c>
      <c r="BN10" s="35">
        <v>-2001208197</v>
      </c>
      <c r="BO10" s="35">
        <v>-803441325</v>
      </c>
      <c r="BP10" s="35">
        <v>-73063458</v>
      </c>
      <c r="BQ10" s="35">
        <v>-42752896</v>
      </c>
      <c r="BR10" s="35"/>
      <c r="BS10" s="35"/>
      <c r="BT10" s="35"/>
      <c r="BU10" s="35"/>
      <c r="BV10" s="35"/>
      <c r="BW10" s="35"/>
    </row>
    <row r="11" spans="1:75">
      <c r="A11" s="125">
        <v>8</v>
      </c>
      <c r="B11" s="126" t="s">
        <v>375</v>
      </c>
      <c r="C11" s="127">
        <v>5</v>
      </c>
      <c r="D11" s="37">
        <v>167603935</v>
      </c>
      <c r="E11" s="37">
        <v>221659846</v>
      </c>
      <c r="F11" s="37">
        <v>208008837</v>
      </c>
      <c r="G11" s="37">
        <v>262170575</v>
      </c>
      <c r="H11" s="37">
        <v>294134531</v>
      </c>
      <c r="I11" s="37">
        <v>375347816</v>
      </c>
      <c r="J11" s="37">
        <v>340813568</v>
      </c>
      <c r="K11" s="37">
        <v>399256526</v>
      </c>
      <c r="L11" s="37">
        <v>400979485</v>
      </c>
      <c r="M11" s="37">
        <v>368636370</v>
      </c>
      <c r="N11" s="37">
        <v>424483338</v>
      </c>
      <c r="O11" s="37">
        <v>466515776</v>
      </c>
      <c r="P11" s="37">
        <v>517655739</v>
      </c>
      <c r="Q11" s="37">
        <v>651086182</v>
      </c>
      <c r="R11" s="37">
        <v>617884939</v>
      </c>
      <c r="S11" s="37">
        <v>507919165</v>
      </c>
      <c r="T11" s="37">
        <v>603465663</v>
      </c>
      <c r="U11" s="37">
        <v>147007916</v>
      </c>
      <c r="V11" s="37">
        <v>631302971</v>
      </c>
      <c r="W11" s="37">
        <v>699695123</v>
      </c>
      <c r="X11" s="37">
        <v>854484433</v>
      </c>
      <c r="Y11" s="37">
        <v>862022364</v>
      </c>
      <c r="Z11" s="37">
        <v>1093552795</v>
      </c>
      <c r="AA11" s="37">
        <v>539758786</v>
      </c>
      <c r="AB11" s="37">
        <v>44321388</v>
      </c>
      <c r="AC11" s="37"/>
      <c r="AD11" s="37">
        <v>71817780</v>
      </c>
      <c r="AE11" s="37">
        <v>71817780</v>
      </c>
      <c r="AF11" s="37">
        <v>68801482</v>
      </c>
      <c r="AG11" s="37">
        <v>28249626</v>
      </c>
      <c r="AH11" s="37">
        <v>91396439</v>
      </c>
      <c r="AI11" s="37">
        <v>93845376</v>
      </c>
      <c r="AJ11" s="37">
        <v>109400024</v>
      </c>
      <c r="AK11" s="37">
        <v>129996535</v>
      </c>
      <c r="AL11" s="37">
        <v>157601782</v>
      </c>
      <c r="AM11" s="37">
        <v>316883990</v>
      </c>
      <c r="AN11" s="37">
        <v>422755791</v>
      </c>
      <c r="AO11" s="37">
        <v>563909516</v>
      </c>
      <c r="AP11" s="37">
        <v>567924561</v>
      </c>
      <c r="AQ11" s="37">
        <v>840791009</v>
      </c>
      <c r="AR11" s="37">
        <v>961855770</v>
      </c>
      <c r="AS11" s="37">
        <v>1030712173</v>
      </c>
      <c r="AT11" s="37">
        <v>1160823006</v>
      </c>
      <c r="AU11" s="37">
        <v>939585045</v>
      </c>
      <c r="AV11" s="37">
        <v>859444105</v>
      </c>
      <c r="AW11" s="37">
        <v>840165515</v>
      </c>
      <c r="AX11" s="37">
        <v>889159081</v>
      </c>
      <c r="AY11" s="37">
        <v>1032562923</v>
      </c>
      <c r="AZ11" s="37">
        <v>739360517</v>
      </c>
      <c r="BA11" s="37">
        <v>1303843040</v>
      </c>
      <c r="BB11" s="37">
        <v>673966789</v>
      </c>
      <c r="BC11" s="37">
        <v>888393452</v>
      </c>
      <c r="BD11" s="37">
        <v>1186588729</v>
      </c>
      <c r="BE11" s="37">
        <v>1448899822</v>
      </c>
      <c r="BF11" s="37">
        <v>1242023326</v>
      </c>
      <c r="BG11" s="37">
        <v>1303560910</v>
      </c>
      <c r="BH11" s="37">
        <v>1595764355</v>
      </c>
      <c r="BI11" s="37">
        <v>1368802426</v>
      </c>
      <c r="BJ11" s="37">
        <v>1256132292</v>
      </c>
      <c r="BK11" s="37">
        <v>1256103396</v>
      </c>
      <c r="BL11" s="37">
        <v>1240115065</v>
      </c>
      <c r="BM11" s="37">
        <v>1156279418</v>
      </c>
      <c r="BN11" s="37">
        <v>959718564</v>
      </c>
      <c r="BO11" s="37">
        <v>1062084475</v>
      </c>
      <c r="BP11" s="37">
        <v>838836791</v>
      </c>
      <c r="BQ11" s="37">
        <v>856841656</v>
      </c>
      <c r="BR11" s="37"/>
      <c r="BS11" s="37"/>
      <c r="BT11" s="37"/>
      <c r="BU11" s="37"/>
      <c r="BV11" s="37"/>
      <c r="BW11" s="37"/>
    </row>
    <row r="12" spans="1:75">
      <c r="A12" s="125">
        <v>9</v>
      </c>
      <c r="B12" s="126" t="s">
        <v>376</v>
      </c>
      <c r="C12" s="131">
        <v>5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</row>
    <row r="13" spans="1:75">
      <c r="A13" s="132">
        <v>10</v>
      </c>
      <c r="B13" s="133" t="s">
        <v>377</v>
      </c>
      <c r="C13" s="134">
        <v>5</v>
      </c>
      <c r="D13" s="551">
        <f t="shared" ref="D13:AI13" si="0">SUM(D5:D12)</f>
        <v>135124359</v>
      </c>
      <c r="E13" s="551">
        <f t="shared" si="0"/>
        <v>84544861</v>
      </c>
      <c r="F13" s="551">
        <f t="shared" si="0"/>
        <v>2221397207</v>
      </c>
      <c r="G13" s="551">
        <f t="shared" si="0"/>
        <v>1765597423</v>
      </c>
      <c r="H13" s="551">
        <f t="shared" si="0"/>
        <v>327434476</v>
      </c>
      <c r="I13" s="551">
        <f t="shared" si="0"/>
        <v>990094713</v>
      </c>
      <c r="J13" s="551">
        <f t="shared" si="0"/>
        <v>7165341651</v>
      </c>
      <c r="K13" s="551">
        <f t="shared" si="0"/>
        <v>-931570298</v>
      </c>
      <c r="L13" s="551">
        <f t="shared" si="0"/>
        <v>676488731</v>
      </c>
      <c r="M13" s="551">
        <f t="shared" si="0"/>
        <v>2007819112</v>
      </c>
      <c r="N13" s="551">
        <f t="shared" si="0"/>
        <v>1099515610</v>
      </c>
      <c r="O13" s="551">
        <f t="shared" si="0"/>
        <v>4848671539</v>
      </c>
      <c r="P13" s="551">
        <f t="shared" si="0"/>
        <v>6236459634</v>
      </c>
      <c r="Q13" s="551">
        <f t="shared" si="0"/>
        <v>152112173</v>
      </c>
      <c r="R13" s="551">
        <f t="shared" si="0"/>
        <v>-60939938</v>
      </c>
      <c r="S13" s="551">
        <f t="shared" si="0"/>
        <v>2111295526</v>
      </c>
      <c r="T13" s="551">
        <f t="shared" si="0"/>
        <v>2501354477</v>
      </c>
      <c r="U13" s="551">
        <f t="shared" si="0"/>
        <v>3598402365</v>
      </c>
      <c r="V13" s="551">
        <f t="shared" si="0"/>
        <v>3413544126</v>
      </c>
      <c r="W13" s="551">
        <f t="shared" si="0"/>
        <v>5446517339</v>
      </c>
      <c r="X13" s="551">
        <f t="shared" si="0"/>
        <v>3546639066</v>
      </c>
      <c r="Y13" s="551">
        <f t="shared" si="0"/>
        <v>2453431223</v>
      </c>
      <c r="Z13" s="551">
        <f t="shared" si="0"/>
        <v>5433980973</v>
      </c>
      <c r="AA13" s="551">
        <f t="shared" si="0"/>
        <v>5203888631</v>
      </c>
      <c r="AB13" s="551">
        <f t="shared" si="0"/>
        <v>2679371905</v>
      </c>
      <c r="AC13" s="551">
        <f t="shared" si="0"/>
        <v>-553998766</v>
      </c>
      <c r="AD13" s="551">
        <f t="shared" si="0"/>
        <v>-4133439825</v>
      </c>
      <c r="AE13" s="551">
        <f t="shared" si="0"/>
        <v>-337607168</v>
      </c>
      <c r="AF13" s="551">
        <f t="shared" si="0"/>
        <v>5204534827</v>
      </c>
      <c r="AG13" s="551">
        <f t="shared" si="0"/>
        <v>36783385937</v>
      </c>
      <c r="AH13" s="551">
        <f t="shared" si="0"/>
        <v>6448729239</v>
      </c>
      <c r="AI13" s="551">
        <f t="shared" si="0"/>
        <v>14937694119</v>
      </c>
      <c r="AJ13" s="551">
        <f t="shared" ref="AJ13:BM13" si="1">SUM(AJ5:AJ12)</f>
        <v>25914862033</v>
      </c>
      <c r="AK13" s="551">
        <f t="shared" si="1"/>
        <v>20393186252</v>
      </c>
      <c r="AL13" s="551">
        <f t="shared" si="1"/>
        <v>11985060958</v>
      </c>
      <c r="AM13" s="551">
        <f t="shared" si="1"/>
        <v>25250815432</v>
      </c>
      <c r="AN13" s="551">
        <f t="shared" si="1"/>
        <v>2636077415</v>
      </c>
      <c r="AO13" s="551">
        <f t="shared" si="1"/>
        <v>-2130754394</v>
      </c>
      <c r="AP13" s="551">
        <f t="shared" si="1"/>
        <v>115898577</v>
      </c>
      <c r="AQ13" s="551">
        <f t="shared" si="1"/>
        <v>6253858340</v>
      </c>
      <c r="AR13" s="551">
        <f t="shared" si="1"/>
        <v>-771844060</v>
      </c>
      <c r="AS13" s="551">
        <f t="shared" si="1"/>
        <v>-6130002007</v>
      </c>
      <c r="AT13" s="551">
        <f t="shared" si="1"/>
        <v>-9270615806</v>
      </c>
      <c r="AU13" s="551">
        <f t="shared" si="1"/>
        <v>-4312908542</v>
      </c>
      <c r="AV13" s="551">
        <f t="shared" si="1"/>
        <v>13669548182</v>
      </c>
      <c r="AW13" s="551">
        <f t="shared" si="1"/>
        <v>-2288481368</v>
      </c>
      <c r="AX13" s="551">
        <f t="shared" si="1"/>
        <v>572510964</v>
      </c>
      <c r="AY13" s="551">
        <f t="shared" si="1"/>
        <v>107573300283</v>
      </c>
      <c r="AZ13" s="551">
        <f t="shared" si="1"/>
        <v>9547803591</v>
      </c>
      <c r="BA13" s="551">
        <f t="shared" si="1"/>
        <v>22967666863</v>
      </c>
      <c r="BB13" s="551">
        <f t="shared" si="1"/>
        <v>12417832105</v>
      </c>
      <c r="BC13" s="551">
        <f t="shared" si="1"/>
        <v>8561972650</v>
      </c>
      <c r="BD13" s="551">
        <f t="shared" si="1"/>
        <v>14845853238</v>
      </c>
      <c r="BE13" s="551">
        <f t="shared" si="1"/>
        <v>6152100617</v>
      </c>
      <c r="BF13" s="551">
        <f t="shared" si="1"/>
        <v>2777260137</v>
      </c>
      <c r="BG13" s="551">
        <f t="shared" si="1"/>
        <v>5071668716</v>
      </c>
      <c r="BH13" s="551">
        <f t="shared" si="1"/>
        <v>-6393191349</v>
      </c>
      <c r="BI13" s="551">
        <f t="shared" si="1"/>
        <v>-1300541761</v>
      </c>
      <c r="BJ13" s="551">
        <f t="shared" si="1"/>
        <v>-2298236187</v>
      </c>
      <c r="BK13" s="551">
        <f t="shared" si="1"/>
        <v>11099660338</v>
      </c>
      <c r="BL13" s="551">
        <f t="shared" si="1"/>
        <v>1396536200</v>
      </c>
      <c r="BM13" s="551">
        <f t="shared" si="1"/>
        <v>-3357035203</v>
      </c>
      <c r="BN13" s="20">
        <v>-6515046108</v>
      </c>
      <c r="BO13" s="20">
        <v>6224316369</v>
      </c>
      <c r="BP13" s="20">
        <v>10659465875</v>
      </c>
      <c r="BQ13" s="20">
        <v>10521646578</v>
      </c>
      <c r="BR13" s="20"/>
      <c r="BS13" s="20"/>
      <c r="BT13" s="20"/>
      <c r="BU13" s="20"/>
      <c r="BV13" s="20"/>
      <c r="BW13" s="20"/>
    </row>
    <row r="14" spans="1:75">
      <c r="A14" s="135">
        <v>11</v>
      </c>
      <c r="B14" s="136" t="s">
        <v>378</v>
      </c>
      <c r="C14" s="127">
        <v>5</v>
      </c>
      <c r="D14" s="35">
        <v>122399458</v>
      </c>
      <c r="E14" s="35">
        <v>9984945935</v>
      </c>
      <c r="F14" s="35">
        <v>-4421121322</v>
      </c>
      <c r="G14" s="35">
        <v>8555400437</v>
      </c>
      <c r="H14" s="35">
        <v>4930930352</v>
      </c>
      <c r="I14" s="35">
        <v>2772788072</v>
      </c>
      <c r="J14" s="35">
        <v>-13248848936</v>
      </c>
      <c r="K14" s="35">
        <v>191249116968</v>
      </c>
      <c r="L14" s="35">
        <v>516674054</v>
      </c>
      <c r="M14" s="35">
        <v>-2457250418</v>
      </c>
      <c r="N14" s="35">
        <v>-11518762948</v>
      </c>
      <c r="O14" s="35">
        <v>2813711238</v>
      </c>
      <c r="P14" s="35">
        <v>5191591024</v>
      </c>
      <c r="Q14" s="35">
        <v>21943573233</v>
      </c>
      <c r="R14" s="35">
        <v>-5085586039</v>
      </c>
      <c r="S14" s="35">
        <v>2719219042</v>
      </c>
      <c r="T14" s="35">
        <v>25233273015</v>
      </c>
      <c r="U14" s="35">
        <v>5027353395</v>
      </c>
      <c r="V14" s="35">
        <v>-1360245580</v>
      </c>
      <c r="W14" s="35">
        <v>-88609141</v>
      </c>
      <c r="X14" s="35">
        <v>-6476122332</v>
      </c>
      <c r="Y14" s="35">
        <v>-2105057986</v>
      </c>
      <c r="Z14" s="35">
        <v>-3553230225</v>
      </c>
      <c r="AA14" s="35">
        <v>-11443574598</v>
      </c>
      <c r="AB14" s="35">
        <v>-15384260798</v>
      </c>
      <c r="AC14" s="35">
        <v>12534854303</v>
      </c>
      <c r="AD14" s="35">
        <v>-5922772876</v>
      </c>
      <c r="AE14" s="35">
        <v>13554517429</v>
      </c>
      <c r="AF14" s="35">
        <v>-3252306478</v>
      </c>
      <c r="AG14" s="35">
        <v>-2044809933</v>
      </c>
      <c r="AH14" s="35">
        <v>6381696130</v>
      </c>
      <c r="AI14" s="35">
        <v>5218237206</v>
      </c>
      <c r="AJ14" s="35">
        <v>5150474385</v>
      </c>
      <c r="AK14" s="35">
        <v>-38905760482</v>
      </c>
      <c r="AL14" s="35">
        <v>-5085122637</v>
      </c>
      <c r="AM14" s="35">
        <v>-21851561072</v>
      </c>
      <c r="AN14" s="35">
        <v>-5652437642</v>
      </c>
      <c r="AO14" s="35">
        <v>12718033317</v>
      </c>
      <c r="AP14" s="35">
        <v>-27842598162</v>
      </c>
      <c r="AQ14" s="35">
        <v>-18112988822</v>
      </c>
      <c r="AR14" s="35">
        <v>-13542246944</v>
      </c>
      <c r="AS14" s="35">
        <v>-22167334330</v>
      </c>
      <c r="AT14" s="35">
        <v>85173759375</v>
      </c>
      <c r="AU14" s="35">
        <v>-23854718494</v>
      </c>
      <c r="AV14" s="35">
        <v>-33309317893</v>
      </c>
      <c r="AW14" s="35">
        <v>-980685357</v>
      </c>
      <c r="AX14" s="35">
        <v>-50275873317</v>
      </c>
      <c r="AY14" s="35">
        <v>48930483720</v>
      </c>
      <c r="AZ14" s="35">
        <v>48855114582</v>
      </c>
      <c r="BA14" s="35">
        <v>-44766736418</v>
      </c>
      <c r="BB14" s="35">
        <v>-37871215662</v>
      </c>
      <c r="BC14" s="35">
        <v>28625577432</v>
      </c>
      <c r="BD14" s="35">
        <v>-55448925268</v>
      </c>
      <c r="BE14" s="35">
        <v>720428098</v>
      </c>
      <c r="BF14" s="35">
        <v>256498082</v>
      </c>
      <c r="BG14" s="35">
        <v>-61126022727</v>
      </c>
      <c r="BH14" s="35">
        <v>55449630438</v>
      </c>
      <c r="BI14" s="35">
        <v>42194737277</v>
      </c>
      <c r="BJ14" s="35">
        <v>12367013188</v>
      </c>
      <c r="BK14" s="35">
        <v>-17408925524</v>
      </c>
      <c r="BL14" s="35">
        <v>39597006477</v>
      </c>
      <c r="BM14" s="35">
        <v>-9297134733</v>
      </c>
      <c r="BN14" s="35">
        <v>-22676819845</v>
      </c>
      <c r="BO14" s="35">
        <v>-5736472414</v>
      </c>
      <c r="BP14" s="35">
        <v>-8128869025</v>
      </c>
      <c r="BQ14" s="35">
        <v>-11814070908</v>
      </c>
      <c r="BR14" s="35"/>
      <c r="BS14" s="35"/>
      <c r="BT14" s="35"/>
      <c r="BU14" s="35"/>
      <c r="BV14" s="35"/>
      <c r="BW14" s="35"/>
    </row>
    <row r="15" spans="1:75">
      <c r="A15" s="137">
        <v>12</v>
      </c>
      <c r="B15" s="138" t="s">
        <v>379</v>
      </c>
      <c r="C15" s="127">
        <v>5</v>
      </c>
      <c r="D15" s="35">
        <v>-5157037814</v>
      </c>
      <c r="E15" s="35">
        <v>-1774378566</v>
      </c>
      <c r="F15" s="35">
        <v>-2082953136</v>
      </c>
      <c r="G15" s="35">
        <v>-8184621501</v>
      </c>
      <c r="H15" s="35">
        <v>-10026917639</v>
      </c>
      <c r="I15" s="35">
        <v>-2566137116</v>
      </c>
      <c r="J15" s="35">
        <v>-377169992</v>
      </c>
      <c r="K15" s="35">
        <v>1620430933</v>
      </c>
      <c r="L15" s="35">
        <v>-116069333</v>
      </c>
      <c r="M15" s="35">
        <v>339009358</v>
      </c>
      <c r="N15" s="35">
        <v>-11097132499</v>
      </c>
      <c r="O15" s="35">
        <v>-11605862463</v>
      </c>
      <c r="P15" s="35">
        <v>-14193440098</v>
      </c>
      <c r="Q15" s="35">
        <v>-7436249661</v>
      </c>
      <c r="R15" s="35">
        <v>-16069946385</v>
      </c>
      <c r="S15" s="35">
        <v>-23786506760</v>
      </c>
      <c r="T15" s="35">
        <v>-33380186685</v>
      </c>
      <c r="U15" s="35">
        <v>-22060627767</v>
      </c>
      <c r="V15" s="35">
        <v>-11407281139</v>
      </c>
      <c r="W15" s="35">
        <v>1142218834</v>
      </c>
      <c r="X15" s="35">
        <v>6440027823</v>
      </c>
      <c r="Y15" s="35">
        <v>-14912074676</v>
      </c>
      <c r="Z15" s="35">
        <v>-19350448907</v>
      </c>
      <c r="AA15" s="35">
        <v>16596605959</v>
      </c>
      <c r="AB15" s="35">
        <v>-11907911549</v>
      </c>
      <c r="AC15" s="35">
        <v>-17336691953</v>
      </c>
      <c r="AD15" s="35">
        <v>-5417183945</v>
      </c>
      <c r="AE15" s="35">
        <v>-5831971308</v>
      </c>
      <c r="AF15" s="35">
        <v>-4397059487</v>
      </c>
      <c r="AG15" s="35">
        <v>1357388734</v>
      </c>
      <c r="AH15" s="35">
        <v>-11905997239</v>
      </c>
      <c r="AI15" s="35">
        <v>-10499324383</v>
      </c>
      <c r="AJ15" s="35">
        <v>4086400268</v>
      </c>
      <c r="AK15" s="35">
        <v>-5316575280</v>
      </c>
      <c r="AL15" s="35">
        <v>-40534819790</v>
      </c>
      <c r="AM15" s="35">
        <v>-31386551977</v>
      </c>
      <c r="AN15" s="35">
        <v>-62048923911</v>
      </c>
      <c r="AO15" s="35">
        <v>-6967205423</v>
      </c>
      <c r="AP15" s="35">
        <v>-41958712604</v>
      </c>
      <c r="AQ15" s="35">
        <v>-40309960571</v>
      </c>
      <c r="AR15" s="35">
        <v>-45123242085</v>
      </c>
      <c r="AS15" s="35">
        <v>-25153534354</v>
      </c>
      <c r="AT15" s="35">
        <v>-23609068040</v>
      </c>
      <c r="AU15" s="35">
        <v>40963897237</v>
      </c>
      <c r="AV15" s="35">
        <v>-9261864488</v>
      </c>
      <c r="AW15" s="35">
        <v>2566665862</v>
      </c>
      <c r="AX15" s="35">
        <v>-41434587500</v>
      </c>
      <c r="AY15" s="35">
        <v>-17812326753</v>
      </c>
      <c r="AZ15" s="35">
        <v>39011677209</v>
      </c>
      <c r="BA15" s="35">
        <v>82988328541</v>
      </c>
      <c r="BB15" s="35">
        <v>15465577608</v>
      </c>
      <c r="BC15" s="35">
        <v>-54309944038</v>
      </c>
      <c r="BD15" s="35">
        <v>-3833514940</v>
      </c>
      <c r="BE15" s="35">
        <v>-17092818286</v>
      </c>
      <c r="BF15" s="35">
        <v>-5007590876</v>
      </c>
      <c r="BG15" s="35">
        <v>325978186</v>
      </c>
      <c r="BH15" s="35">
        <v>-15929021809</v>
      </c>
      <c r="BI15" s="35">
        <v>12975330253</v>
      </c>
      <c r="BJ15" s="35">
        <v>656481204</v>
      </c>
      <c r="BK15" s="35">
        <v>-11864351833</v>
      </c>
      <c r="BL15" s="35">
        <v>28329195342</v>
      </c>
      <c r="BM15" s="35">
        <v>31941082654</v>
      </c>
      <c r="BN15" s="35">
        <v>77094855201</v>
      </c>
      <c r="BO15" s="35">
        <v>55037438938</v>
      </c>
      <c r="BP15" s="35">
        <v>8532767673</v>
      </c>
      <c r="BQ15" s="35">
        <v>-26467578285</v>
      </c>
      <c r="BR15" s="35"/>
      <c r="BS15" s="35"/>
      <c r="BT15" s="35"/>
      <c r="BU15" s="35"/>
      <c r="BV15" s="35"/>
      <c r="BW15" s="35"/>
    </row>
    <row r="16" spans="1:75">
      <c r="A16" s="139">
        <v>13</v>
      </c>
      <c r="B16" s="140" t="s">
        <v>380</v>
      </c>
      <c r="C16" s="130">
        <v>5</v>
      </c>
      <c r="D16" s="38">
        <v>-2538474274</v>
      </c>
      <c r="E16" s="38">
        <v>-2124396877</v>
      </c>
      <c r="F16" s="38">
        <v>-1040516398</v>
      </c>
      <c r="G16" s="38">
        <v>-2839320253</v>
      </c>
      <c r="H16" s="38">
        <v>5554342872</v>
      </c>
      <c r="I16" s="38">
        <v>-1036239540</v>
      </c>
      <c r="J16" s="38">
        <v>7701399045</v>
      </c>
      <c r="K16" s="38">
        <v>11521406622</v>
      </c>
      <c r="L16" s="38">
        <v>4712901541</v>
      </c>
      <c r="M16" s="38">
        <v>-7683731065</v>
      </c>
      <c r="N16" s="38">
        <v>11446096196</v>
      </c>
      <c r="O16" s="38">
        <v>2922047183</v>
      </c>
      <c r="P16" s="38">
        <v>-3451888448</v>
      </c>
      <c r="Q16" s="38">
        <v>-893459272</v>
      </c>
      <c r="R16" s="38">
        <v>-5172454704</v>
      </c>
      <c r="S16" s="38">
        <v>23121647712</v>
      </c>
      <c r="T16" s="38">
        <v>-9953667113</v>
      </c>
      <c r="U16" s="38">
        <v>8560393508</v>
      </c>
      <c r="V16" s="38">
        <v>-1525571399</v>
      </c>
      <c r="W16" s="38">
        <v>16985431145</v>
      </c>
      <c r="X16" s="38">
        <v>4239930536</v>
      </c>
      <c r="Y16" s="38">
        <v>1281420734</v>
      </c>
      <c r="Z16" s="38">
        <v>-2395635044</v>
      </c>
      <c r="AA16" s="38">
        <v>-3488402345</v>
      </c>
      <c r="AB16" s="38">
        <v>168275993</v>
      </c>
      <c r="AC16" s="38">
        <v>14750375594</v>
      </c>
      <c r="AD16" s="38">
        <v>17617693114</v>
      </c>
      <c r="AE16" s="38">
        <v>-11995630436</v>
      </c>
      <c r="AF16" s="38">
        <v>6247756170</v>
      </c>
      <c r="AG16" s="38">
        <v>-14272377858</v>
      </c>
      <c r="AH16" s="38">
        <v>-889326163</v>
      </c>
      <c r="AI16" s="38">
        <v>-31406765376</v>
      </c>
      <c r="AJ16" s="38">
        <v>-32584890267</v>
      </c>
      <c r="AK16" s="38">
        <v>15996583506</v>
      </c>
      <c r="AL16" s="38">
        <v>16954756463</v>
      </c>
      <c r="AM16" s="38">
        <v>10234684649</v>
      </c>
      <c r="AN16" s="552">
        <f>7047075109-2840000000</f>
        <v>4207075109</v>
      </c>
      <c r="AO16" s="38">
        <v>3916411982</v>
      </c>
      <c r="AP16" s="38">
        <v>13622200989</v>
      </c>
      <c r="AQ16" s="38">
        <v>17907838314</v>
      </c>
      <c r="AR16" s="38">
        <v>29819590224</v>
      </c>
      <c r="AS16" s="38">
        <v>29796216577</v>
      </c>
      <c r="AT16" s="38">
        <v>17066288696</v>
      </c>
      <c r="AU16" s="38">
        <v>12068637446</v>
      </c>
      <c r="AV16" s="38">
        <v>33332918829</v>
      </c>
      <c r="AW16" s="38">
        <v>9256815094</v>
      </c>
      <c r="AX16" s="38">
        <v>44681754380</v>
      </c>
      <c r="AY16" s="38">
        <v>-141135934090</v>
      </c>
      <c r="AZ16" s="38">
        <v>-18846487637</v>
      </c>
      <c r="BA16" s="38">
        <v>-3242891008</v>
      </c>
      <c r="BB16" s="38">
        <v>-10856648380</v>
      </c>
      <c r="BC16" s="38">
        <v>-15817906933</v>
      </c>
      <c r="BD16" s="38">
        <v>21901299832</v>
      </c>
      <c r="BE16" s="38">
        <v>14884971711</v>
      </c>
      <c r="BF16" s="38">
        <v>-23926762811</v>
      </c>
      <c r="BG16" s="38">
        <v>16989265000</v>
      </c>
      <c r="BH16" s="38">
        <v>-14078738209</v>
      </c>
      <c r="BI16" s="38">
        <v>10955857665</v>
      </c>
      <c r="BJ16" s="38">
        <v>-9154991595</v>
      </c>
      <c r="BK16" s="38">
        <v>-3419997293</v>
      </c>
      <c r="BL16" s="38">
        <v>-5132172559</v>
      </c>
      <c r="BM16" s="38">
        <v>-10004701074</v>
      </c>
      <c r="BN16" s="38">
        <v>9288982043</v>
      </c>
      <c r="BO16" s="38">
        <v>9456557035</v>
      </c>
      <c r="BP16" s="38">
        <v>26805727933</v>
      </c>
      <c r="BQ16" s="38">
        <v>32739939658</v>
      </c>
      <c r="BR16" s="38"/>
      <c r="BS16" s="38"/>
      <c r="BT16" s="38"/>
      <c r="BU16" s="38"/>
      <c r="BV16" s="38"/>
      <c r="BW16" s="38"/>
    </row>
    <row r="17" spans="1:75">
      <c r="A17" s="135">
        <v>14</v>
      </c>
      <c r="B17" s="136" t="s">
        <v>381</v>
      </c>
      <c r="C17" s="127">
        <v>5</v>
      </c>
      <c r="D17" s="35">
        <v>530308897</v>
      </c>
      <c r="E17" s="35">
        <v>-1202843833</v>
      </c>
      <c r="F17" s="35">
        <v>4608538245</v>
      </c>
      <c r="G17" s="35">
        <v>-573525124</v>
      </c>
      <c r="H17" s="35">
        <v>-6756140842</v>
      </c>
      <c r="I17" s="35">
        <v>-301505665</v>
      </c>
      <c r="J17" s="35">
        <v>-652552368</v>
      </c>
      <c r="K17" s="35">
        <v>-18081857235</v>
      </c>
      <c r="L17" s="35">
        <v>-1039022658</v>
      </c>
      <c r="M17" s="35">
        <v>744469115</v>
      </c>
      <c r="N17" s="35">
        <v>-1571529341</v>
      </c>
      <c r="O17" s="35">
        <v>-2616576870</v>
      </c>
      <c r="P17" s="35">
        <v>-1713063156</v>
      </c>
      <c r="Q17" s="35">
        <v>-1160692945</v>
      </c>
      <c r="R17" s="35">
        <v>-1017712386</v>
      </c>
      <c r="S17" s="35">
        <v>-1029592528</v>
      </c>
      <c r="T17" s="35">
        <v>-6921216688</v>
      </c>
      <c r="U17" s="35">
        <v>-1185354495</v>
      </c>
      <c r="V17" s="35">
        <v>-88374650</v>
      </c>
      <c r="W17" s="35">
        <v>-234075552</v>
      </c>
      <c r="X17" s="35">
        <v>-879480179</v>
      </c>
      <c r="Y17" s="35">
        <v>-1401910312</v>
      </c>
      <c r="Z17" s="35">
        <v>-442989404</v>
      </c>
      <c r="AA17" s="35">
        <v>393021083</v>
      </c>
      <c r="AB17" s="35">
        <v>616821607</v>
      </c>
      <c r="AC17" s="35">
        <v>-518694522</v>
      </c>
      <c r="AD17" s="35">
        <v>523365372</v>
      </c>
      <c r="AE17" s="35">
        <v>270964564</v>
      </c>
      <c r="AF17" s="35">
        <v>-104951225</v>
      </c>
      <c r="AG17" s="35">
        <v>-341656770</v>
      </c>
      <c r="AH17" s="35">
        <v>405547445</v>
      </c>
      <c r="AI17" s="35">
        <v>72589424</v>
      </c>
      <c r="AJ17" s="35">
        <v>311176834</v>
      </c>
      <c r="AK17" s="35"/>
      <c r="AL17" s="35">
        <v>-1204292798</v>
      </c>
      <c r="AM17" s="35">
        <v>-1989222282</v>
      </c>
      <c r="AN17" s="35">
        <v>372777599</v>
      </c>
      <c r="AO17" s="35"/>
      <c r="AP17" s="35"/>
      <c r="AQ17" s="35"/>
      <c r="AR17" s="35"/>
      <c r="AS17" s="35"/>
      <c r="AT17" s="35"/>
      <c r="AU17" s="35"/>
      <c r="AV17" s="35"/>
      <c r="AW17" s="35">
        <v>1169047833</v>
      </c>
      <c r="AX17" s="35">
        <v>696155386</v>
      </c>
      <c r="AY17" s="35">
        <v>1000976009</v>
      </c>
      <c r="AZ17" s="35">
        <v>110283488</v>
      </c>
      <c r="BA17" s="35">
        <v>-4175776372</v>
      </c>
      <c r="BB17" s="35">
        <v>601863673</v>
      </c>
      <c r="BC17" s="35">
        <v>1249320119</v>
      </c>
      <c r="BD17" s="35">
        <v>1913803036</v>
      </c>
      <c r="BE17" s="35">
        <v>-5497715935</v>
      </c>
      <c r="BF17" s="35">
        <v>-592614643</v>
      </c>
      <c r="BG17" s="35">
        <v>-371361391</v>
      </c>
      <c r="BH17" s="35">
        <v>2579678545</v>
      </c>
      <c r="BI17" s="35">
        <v>1512112454</v>
      </c>
      <c r="BJ17" s="35">
        <v>2428581212</v>
      </c>
      <c r="BK17" s="35">
        <v>374694148</v>
      </c>
      <c r="BL17" s="35">
        <v>1820605679</v>
      </c>
      <c r="BM17" s="35">
        <v>1054820971</v>
      </c>
      <c r="BN17" s="35">
        <v>-171978952</v>
      </c>
      <c r="BO17" s="35">
        <v>-392776099</v>
      </c>
      <c r="BP17" s="35">
        <v>-877993234</v>
      </c>
      <c r="BQ17" s="35">
        <v>903849225</v>
      </c>
      <c r="BR17" s="35"/>
      <c r="BS17" s="35"/>
      <c r="BT17" s="35"/>
      <c r="BU17" s="35"/>
      <c r="BV17" s="35"/>
      <c r="BW17" s="35"/>
    </row>
    <row r="18" spans="1:75">
      <c r="A18" s="135">
        <v>15</v>
      </c>
      <c r="B18" s="136" t="s">
        <v>382</v>
      </c>
      <c r="C18" s="127">
        <v>5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</row>
    <row r="19" spans="1:75">
      <c r="A19" s="135">
        <v>16</v>
      </c>
      <c r="B19" s="136" t="s">
        <v>383</v>
      </c>
      <c r="C19" s="127">
        <v>5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>
        <v>-29659213</v>
      </c>
      <c r="V19" s="35">
        <v>-631302971</v>
      </c>
      <c r="W19" s="35">
        <v>-699695123</v>
      </c>
      <c r="X19" s="35">
        <v>-854484433</v>
      </c>
      <c r="Y19" s="35">
        <v>-862022364</v>
      </c>
      <c r="Z19" s="35">
        <v>-1093552795</v>
      </c>
      <c r="AA19" s="35">
        <v>-539758786</v>
      </c>
      <c r="AB19" s="35">
        <v>-44321388</v>
      </c>
      <c r="AC19" s="35">
        <v>0</v>
      </c>
      <c r="AD19" s="35">
        <v>-71817780</v>
      </c>
      <c r="AE19" s="35">
        <v>-71817780</v>
      </c>
      <c r="AF19" s="35">
        <v>-68801482</v>
      </c>
      <c r="AG19" s="35">
        <v>28249626</v>
      </c>
      <c r="AH19" s="35">
        <v>-91396439</v>
      </c>
      <c r="AI19" s="35">
        <v>-93845376</v>
      </c>
      <c r="AJ19" s="35">
        <v>-328175187</v>
      </c>
      <c r="AK19" s="35">
        <v>-136008596</v>
      </c>
      <c r="AL19" s="35">
        <v>-174111456</v>
      </c>
      <c r="AM19" s="35">
        <v>-261220654</v>
      </c>
      <c r="AN19" s="35">
        <v>-422755791</v>
      </c>
      <c r="AO19" s="35">
        <v>-563909516</v>
      </c>
      <c r="AP19" s="35">
        <v>-567924561</v>
      </c>
      <c r="AQ19" s="35">
        <v>-840791009</v>
      </c>
      <c r="AR19" s="35">
        <v>-961855770</v>
      </c>
      <c r="AS19" s="35">
        <v>-1030712173</v>
      </c>
      <c r="AT19" s="35">
        <v>-1160823006</v>
      </c>
      <c r="AU19" s="35">
        <v>-939585045</v>
      </c>
      <c r="AV19" s="35">
        <v>-859444105</v>
      </c>
      <c r="AW19" s="35">
        <v>-840165515</v>
      </c>
      <c r="AX19" s="35">
        <v>-889159081</v>
      </c>
      <c r="AY19" s="35">
        <v>-1032562923</v>
      </c>
      <c r="AZ19" s="35">
        <v>-739360517</v>
      </c>
      <c r="BA19" s="35">
        <v>-1303843040</v>
      </c>
      <c r="BB19" s="35">
        <v>-673966789</v>
      </c>
      <c r="BC19" s="35">
        <v>-888393452</v>
      </c>
      <c r="BD19" s="35">
        <v>-1186588729</v>
      </c>
      <c r="BE19" s="35">
        <v>-1448899822</v>
      </c>
      <c r="BF19" s="35">
        <v>-1242023326</v>
      </c>
      <c r="BG19" s="35">
        <v>-1303560910</v>
      </c>
      <c r="BH19" s="35">
        <v>-1595764355</v>
      </c>
      <c r="BI19" s="35">
        <v>-1368802426</v>
      </c>
      <c r="BJ19" s="35">
        <v>-1256132292</v>
      </c>
      <c r="BK19" s="35">
        <v>-1256103396</v>
      </c>
      <c r="BL19" s="35">
        <v>-1240115065</v>
      </c>
      <c r="BM19" s="35">
        <v>-1156279418</v>
      </c>
      <c r="BN19" s="35">
        <v>-959718564</v>
      </c>
      <c r="BO19" s="35">
        <v>-1062084475</v>
      </c>
      <c r="BP19" s="35">
        <v>-838836791</v>
      </c>
      <c r="BQ19" s="35">
        <v>-856841656</v>
      </c>
      <c r="BR19" s="35"/>
      <c r="BS19" s="35"/>
      <c r="BT19" s="35"/>
      <c r="BU19" s="35"/>
      <c r="BV19" s="35"/>
      <c r="BW19" s="35"/>
    </row>
    <row r="20" spans="1:75">
      <c r="A20" s="135">
        <v>17</v>
      </c>
      <c r="B20" s="136" t="s">
        <v>384</v>
      </c>
      <c r="C20" s="127">
        <v>5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>
        <v>-871281602</v>
      </c>
      <c r="W20" s="35"/>
      <c r="X20" s="35"/>
      <c r="Y20" s="35">
        <v>-1029352042</v>
      </c>
      <c r="Z20" s="35"/>
      <c r="AA20" s="35"/>
      <c r="AB20" s="35"/>
      <c r="AC20" s="35">
        <v>-12849777499</v>
      </c>
      <c r="AD20" s="35"/>
      <c r="AE20" s="35">
        <v>-6172263344</v>
      </c>
      <c r="AF20" s="35"/>
      <c r="AG20" s="35">
        <v>-634587963</v>
      </c>
      <c r="AH20" s="35">
        <v>437353701</v>
      </c>
      <c r="AI20" s="35">
        <v>0</v>
      </c>
      <c r="AJ20" s="35">
        <v>0</v>
      </c>
      <c r="AK20" s="35">
        <v>0</v>
      </c>
      <c r="AL20" s="35">
        <v>0</v>
      </c>
      <c r="AM20" s="35">
        <v>-229386904</v>
      </c>
      <c r="AN20" s="35"/>
      <c r="AO20" s="35">
        <v>-6372627736</v>
      </c>
      <c r="AP20" s="35"/>
      <c r="AQ20" s="35">
        <v>-1567047590</v>
      </c>
      <c r="AR20" s="35"/>
      <c r="AS20" s="35"/>
      <c r="AT20" s="35">
        <v>-4839738089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>
        <v>0</v>
      </c>
      <c r="BJ20" s="35">
        <v>0</v>
      </c>
      <c r="BK20" s="35">
        <v>0</v>
      </c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</row>
    <row r="21" spans="1:75">
      <c r="A21" s="135">
        <v>18</v>
      </c>
      <c r="B21" s="136" t="s">
        <v>385</v>
      </c>
      <c r="C21" s="141">
        <v>5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>
        <v>46325683</v>
      </c>
      <c r="AH21" s="39">
        <v>395384118</v>
      </c>
      <c r="AI21" s="39">
        <v>27683900</v>
      </c>
      <c r="AJ21" s="39"/>
      <c r="AK21" s="39"/>
      <c r="AL21" s="39">
        <v>10002066000</v>
      </c>
      <c r="AM21" s="39">
        <v>5500000000</v>
      </c>
      <c r="AN21" s="39">
        <v>33300285459</v>
      </c>
      <c r="AO21" s="39"/>
      <c r="AP21" s="39"/>
      <c r="AQ21" s="39">
        <v>6000000000</v>
      </c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</row>
    <row r="22" spans="1:75">
      <c r="A22" s="135">
        <v>19</v>
      </c>
      <c r="B22" s="136" t="s">
        <v>386</v>
      </c>
      <c r="C22" s="131">
        <v>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>
        <v>-3048988935</v>
      </c>
      <c r="AH22" s="19"/>
      <c r="AI22" s="19"/>
      <c r="AJ22" s="19"/>
      <c r="AK22" s="19"/>
      <c r="AL22" s="19">
        <v>-7275417194</v>
      </c>
      <c r="AM22" s="19">
        <v>-1619085027</v>
      </c>
      <c r="AN22" s="19">
        <v>-160000000</v>
      </c>
      <c r="AO22" s="19"/>
      <c r="AP22" s="19">
        <v>-2626029698</v>
      </c>
      <c r="AQ22" s="19">
        <v>-1520939337</v>
      </c>
      <c r="AR22" s="19"/>
      <c r="AS22" s="19">
        <v>-168183405</v>
      </c>
      <c r="AT22" s="19">
        <v>-7178605141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>
        <v>0</v>
      </c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</row>
    <row r="23" spans="1:75">
      <c r="A23" s="118">
        <v>20</v>
      </c>
      <c r="B23" s="142" t="s">
        <v>213</v>
      </c>
      <c r="C23" s="143">
        <v>5</v>
      </c>
      <c r="D23" s="21">
        <f t="shared" ref="D23:AI23" si="2">SUM(D13:D22)</f>
        <v>-6907679374</v>
      </c>
      <c r="E23" s="21">
        <f t="shared" si="2"/>
        <v>4967871520</v>
      </c>
      <c r="F23" s="21">
        <f t="shared" si="2"/>
        <v>-714655404</v>
      </c>
      <c r="G23" s="21">
        <f t="shared" si="2"/>
        <v>-1276469018</v>
      </c>
      <c r="H23" s="21">
        <f t="shared" si="2"/>
        <v>-5970350781</v>
      </c>
      <c r="I23" s="21">
        <f t="shared" si="2"/>
        <v>-140999536</v>
      </c>
      <c r="J23" s="21">
        <f t="shared" si="2"/>
        <v>588169400</v>
      </c>
      <c r="K23" s="21">
        <f t="shared" si="2"/>
        <v>185377526990</v>
      </c>
      <c r="L23" s="21">
        <f t="shared" si="2"/>
        <v>4750972335</v>
      </c>
      <c r="M23" s="21">
        <f t="shared" si="2"/>
        <v>-7049683898</v>
      </c>
      <c r="N23" s="21">
        <f t="shared" si="2"/>
        <v>-11641812982</v>
      </c>
      <c r="O23" s="21">
        <f t="shared" si="2"/>
        <v>-3638009373</v>
      </c>
      <c r="P23" s="21">
        <f t="shared" si="2"/>
        <v>-7930341044</v>
      </c>
      <c r="Q23" s="21">
        <f t="shared" si="2"/>
        <v>12605283528</v>
      </c>
      <c r="R23" s="21">
        <f t="shared" si="2"/>
        <v>-27406639452</v>
      </c>
      <c r="S23" s="21">
        <f t="shared" si="2"/>
        <v>3136062992</v>
      </c>
      <c r="T23" s="21">
        <f t="shared" si="2"/>
        <v>-22520442994</v>
      </c>
      <c r="U23" s="21">
        <f t="shared" si="2"/>
        <v>-6089492207</v>
      </c>
      <c r="V23" s="21">
        <f t="shared" si="2"/>
        <v>-12470513215</v>
      </c>
      <c r="W23" s="21">
        <f t="shared" si="2"/>
        <v>22551787502</v>
      </c>
      <c r="X23" s="21">
        <f t="shared" si="2"/>
        <v>6016510481</v>
      </c>
      <c r="Y23" s="21">
        <f t="shared" si="2"/>
        <v>-16575565423</v>
      </c>
      <c r="Z23" s="21">
        <f t="shared" si="2"/>
        <v>-21401875402</v>
      </c>
      <c r="AA23" s="21">
        <f t="shared" si="2"/>
        <v>6721779944</v>
      </c>
      <c r="AB23" s="21">
        <f t="shared" si="2"/>
        <v>-23872024230</v>
      </c>
      <c r="AC23" s="21">
        <f t="shared" si="2"/>
        <v>-3973932843</v>
      </c>
      <c r="AD23" s="21">
        <f t="shared" si="2"/>
        <v>2595844060</v>
      </c>
      <c r="AE23" s="21">
        <f t="shared" si="2"/>
        <v>-10583808043</v>
      </c>
      <c r="AF23" s="21">
        <f t="shared" si="2"/>
        <v>3629172325</v>
      </c>
      <c r="AG23" s="21">
        <f t="shared" si="2"/>
        <v>17872928521</v>
      </c>
      <c r="AH23" s="21">
        <f t="shared" si="2"/>
        <v>1181990792</v>
      </c>
      <c r="AI23" s="21">
        <f t="shared" si="2"/>
        <v>-21743730486</v>
      </c>
      <c r="AJ23" s="21">
        <f t="shared" ref="AJ23:BM23" si="3">SUM(AJ13:AJ22)</f>
        <v>2549848066</v>
      </c>
      <c r="AK23" s="21">
        <f t="shared" si="3"/>
        <v>-7968574600</v>
      </c>
      <c r="AL23" s="21">
        <f t="shared" si="3"/>
        <v>-15331880454</v>
      </c>
      <c r="AM23" s="21">
        <f t="shared" si="3"/>
        <v>-16351527835</v>
      </c>
      <c r="AN23" s="21">
        <f t="shared" si="3"/>
        <v>-27767901762</v>
      </c>
      <c r="AO23" s="21">
        <f t="shared" si="3"/>
        <v>599948230</v>
      </c>
      <c r="AP23" s="21">
        <f t="shared" si="3"/>
        <v>-59257165459</v>
      </c>
      <c r="AQ23" s="21">
        <f t="shared" si="3"/>
        <v>-32190030675</v>
      </c>
      <c r="AR23" s="21">
        <f t="shared" si="3"/>
        <v>-30579598635</v>
      </c>
      <c r="AS23" s="21">
        <f t="shared" si="3"/>
        <v>-24853549692</v>
      </c>
      <c r="AT23" s="21">
        <f t="shared" si="3"/>
        <v>56181197989</v>
      </c>
      <c r="AU23" s="21">
        <f t="shared" si="3"/>
        <v>23925322602</v>
      </c>
      <c r="AV23" s="21">
        <f t="shared" si="3"/>
        <v>3571840525</v>
      </c>
      <c r="AW23" s="21">
        <f t="shared" si="3"/>
        <v>8883196549</v>
      </c>
      <c r="AX23" s="21">
        <f t="shared" si="3"/>
        <v>-46649199168</v>
      </c>
      <c r="AY23" s="21">
        <f t="shared" si="3"/>
        <v>-2476063754</v>
      </c>
      <c r="AZ23" s="21">
        <f t="shared" si="3"/>
        <v>77939030716</v>
      </c>
      <c r="BA23" s="21">
        <f t="shared" si="3"/>
        <v>52466748566</v>
      </c>
      <c r="BB23" s="21">
        <f t="shared" si="3"/>
        <v>-20916557445</v>
      </c>
      <c r="BC23" s="21">
        <f t="shared" si="3"/>
        <v>-32579374222</v>
      </c>
      <c r="BD23" s="21">
        <f t="shared" si="3"/>
        <v>-21808072831</v>
      </c>
      <c r="BE23" s="21">
        <f t="shared" si="3"/>
        <v>-2281933617</v>
      </c>
      <c r="BF23" s="21">
        <f t="shared" si="3"/>
        <v>-27735233437</v>
      </c>
      <c r="BG23" s="21">
        <f t="shared" si="3"/>
        <v>-40414033126</v>
      </c>
      <c r="BH23" s="21">
        <f t="shared" si="3"/>
        <v>20032593261</v>
      </c>
      <c r="BI23" s="21">
        <f t="shared" si="3"/>
        <v>64968693462</v>
      </c>
      <c r="BJ23" s="21">
        <f t="shared" si="3"/>
        <v>2742715530</v>
      </c>
      <c r="BK23" s="21">
        <f t="shared" si="3"/>
        <v>-22475023560</v>
      </c>
      <c r="BL23" s="21">
        <f t="shared" si="3"/>
        <v>64771056074</v>
      </c>
      <c r="BM23" s="21">
        <f t="shared" si="3"/>
        <v>9180753197</v>
      </c>
      <c r="BN23" s="21">
        <v>52119683826</v>
      </c>
      <c r="BO23" s="21">
        <v>82694562008</v>
      </c>
      <c r="BP23" s="21">
        <v>-53142624294</v>
      </c>
      <c r="BQ23" s="21">
        <v>134347609533</v>
      </c>
      <c r="BR23" s="21"/>
      <c r="BS23" s="21"/>
      <c r="BT23" s="21"/>
      <c r="BU23" s="21"/>
      <c r="BV23" s="21"/>
      <c r="BW23" s="21"/>
    </row>
    <row r="24" spans="1:75">
      <c r="A24" s="118">
        <v>21</v>
      </c>
      <c r="B24" s="119" t="s">
        <v>214</v>
      </c>
      <c r="C24" s="144">
        <v>5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</row>
    <row r="25" spans="1:75">
      <c r="A25" s="145">
        <v>22</v>
      </c>
      <c r="B25" s="146" t="s">
        <v>387</v>
      </c>
      <c r="C25" s="130">
        <v>5</v>
      </c>
      <c r="D25" s="38">
        <v>-5732522640</v>
      </c>
      <c r="E25" s="38">
        <v>-7993071735</v>
      </c>
      <c r="F25" s="38">
        <v>-1466729523</v>
      </c>
      <c r="G25" s="38">
        <v>-1019953712</v>
      </c>
      <c r="H25" s="38">
        <v>-4642922350</v>
      </c>
      <c r="I25" s="38">
        <v>-1416651756</v>
      </c>
      <c r="J25" s="38">
        <v>-12470108955</v>
      </c>
      <c r="K25" s="38">
        <v>-179450361889</v>
      </c>
      <c r="L25" s="38">
        <v>-5222105950</v>
      </c>
      <c r="M25" s="38">
        <v>-920192000</v>
      </c>
      <c r="N25" s="38">
        <v>-4297392445</v>
      </c>
      <c r="O25" s="38">
        <v>-5310358930</v>
      </c>
      <c r="P25" s="38">
        <v>-7408632528</v>
      </c>
      <c r="Q25" s="38">
        <v>-2422885772</v>
      </c>
      <c r="R25" s="38">
        <v>-506310653</v>
      </c>
      <c r="S25" s="38">
        <v>-9143793192</v>
      </c>
      <c r="T25" s="38">
        <v>-9135831448</v>
      </c>
      <c r="U25" s="38">
        <v>-12640283088</v>
      </c>
      <c r="V25" s="38">
        <v>-8991633959</v>
      </c>
      <c r="W25" s="38">
        <v>-8471710274</v>
      </c>
      <c r="X25" s="38">
        <v>-14197664157</v>
      </c>
      <c r="Y25" s="38">
        <v>-18009571199</v>
      </c>
      <c r="Z25" s="38">
        <v>-11229043823</v>
      </c>
      <c r="AA25" s="38">
        <v>-2521925072</v>
      </c>
      <c r="AB25" s="552">
        <f>-26544171165+22150000000</f>
        <v>-4394171165</v>
      </c>
      <c r="AC25" s="38">
        <v>-9690187149</v>
      </c>
      <c r="AD25" s="38">
        <v>-11325473673</v>
      </c>
      <c r="AE25" s="38">
        <v>-8904350903</v>
      </c>
      <c r="AF25" s="38">
        <v>-14788386000</v>
      </c>
      <c r="AG25" s="38">
        <v>-17288624186</v>
      </c>
      <c r="AH25" s="38">
        <v>-3717448129</v>
      </c>
      <c r="AI25" s="38">
        <v>-6396750081</v>
      </c>
      <c r="AJ25" s="38">
        <v>-5484322571</v>
      </c>
      <c r="AK25" s="38">
        <v>-9448800919</v>
      </c>
      <c r="AL25" s="38">
        <v>-9479343301</v>
      </c>
      <c r="AM25" s="38">
        <v>-4688766951</v>
      </c>
      <c r="AN25" s="38">
        <v>-4762682554</v>
      </c>
      <c r="AO25" s="38">
        <v>-4326536447</v>
      </c>
      <c r="AP25" s="38">
        <v>-1164996000</v>
      </c>
      <c r="AQ25" s="38">
        <v>-1992822833</v>
      </c>
      <c r="AR25" s="38">
        <v>-1782228497</v>
      </c>
      <c r="AS25" s="38">
        <v>-833209764</v>
      </c>
      <c r="AT25" s="38">
        <v>-1378714978</v>
      </c>
      <c r="AU25" s="38">
        <v>-855184497</v>
      </c>
      <c r="AV25" s="38">
        <v>-737051257</v>
      </c>
      <c r="AW25" s="38">
        <v>-2821949386</v>
      </c>
      <c r="AX25" s="38">
        <v>-4084384131</v>
      </c>
      <c r="AY25" s="38">
        <v>-10311962607</v>
      </c>
      <c r="AZ25" s="38">
        <v>-9820805490</v>
      </c>
      <c r="BA25" s="38">
        <v>-2688251335</v>
      </c>
      <c r="BB25" s="38">
        <v>-5950435401</v>
      </c>
      <c r="BC25" s="38">
        <v>-4022280971</v>
      </c>
      <c r="BD25" s="38">
        <v>-9142433511</v>
      </c>
      <c r="BE25" s="38">
        <v>-4827154812</v>
      </c>
      <c r="BF25" s="38">
        <v>-944507473</v>
      </c>
      <c r="BG25" s="38">
        <v>-3998692586</v>
      </c>
      <c r="BH25" s="38">
        <v>-12299284463</v>
      </c>
      <c r="BI25" s="38">
        <v>-16012258392</v>
      </c>
      <c r="BJ25" s="38">
        <v>-3849925706</v>
      </c>
      <c r="BK25" s="38">
        <v>-9722078427</v>
      </c>
      <c r="BL25" s="38">
        <v>-13446870160</v>
      </c>
      <c r="BM25" s="38">
        <v>-30478230596</v>
      </c>
      <c r="BN25" s="38">
        <v>-12593604790</v>
      </c>
      <c r="BO25" s="38">
        <v>-5001804801</v>
      </c>
      <c r="BP25" s="38">
        <v>-91879331048</v>
      </c>
      <c r="BQ25" s="38">
        <v>-3540267632</v>
      </c>
      <c r="BR25" s="38"/>
      <c r="BS25" s="38"/>
      <c r="BT25" s="38"/>
      <c r="BU25" s="38"/>
      <c r="BV25" s="38"/>
      <c r="BW25" s="38"/>
    </row>
    <row r="26" spans="1:75">
      <c r="A26" s="145">
        <v>23</v>
      </c>
      <c r="B26" s="146" t="s">
        <v>388</v>
      </c>
      <c r="C26" s="141">
        <v>5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>
        <v>35876700000</v>
      </c>
      <c r="AC26" s="40"/>
      <c r="AD26" s="40"/>
      <c r="AE26" s="40">
        <v>258500000000</v>
      </c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>
        <v>623633187</v>
      </c>
      <c r="BD26" s="40">
        <v>95000000</v>
      </c>
      <c r="BE26" s="40">
        <v>226000000</v>
      </c>
      <c r="BF26" s="40"/>
      <c r="BG26" s="40">
        <v>226000000</v>
      </c>
      <c r="BH26" s="40"/>
      <c r="BI26" s="40"/>
      <c r="BJ26" s="40"/>
      <c r="BK26" s="40"/>
      <c r="BL26" s="40"/>
      <c r="BM26" s="40"/>
      <c r="BN26" s="40"/>
      <c r="BO26" s="40"/>
      <c r="BP26" s="40"/>
      <c r="BQ26" s="40">
        <v>0</v>
      </c>
      <c r="BR26" s="40"/>
      <c r="BS26" s="40"/>
      <c r="BT26" s="40"/>
      <c r="BU26" s="40"/>
      <c r="BV26" s="40"/>
      <c r="BW26" s="40"/>
    </row>
    <row r="27" spans="1:75">
      <c r="A27" s="145">
        <v>24</v>
      </c>
      <c r="B27" s="146" t="s">
        <v>389</v>
      </c>
      <c r="C27" s="141">
        <v>5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>
        <v>-188000000000</v>
      </c>
      <c r="AF27" s="553">
        <v>-15000000000</v>
      </c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>
        <v>-37000000000</v>
      </c>
      <c r="BC27" s="41">
        <v>-30000000000</v>
      </c>
      <c r="BD27" s="41">
        <v>-10000000000</v>
      </c>
      <c r="BE27" s="41">
        <v>0</v>
      </c>
      <c r="BF27" s="41"/>
      <c r="BG27" s="41"/>
      <c r="BH27" s="41"/>
      <c r="BI27" s="41">
        <v>-20000000000</v>
      </c>
      <c r="BJ27" s="41">
        <v>-20000000000</v>
      </c>
      <c r="BK27" s="41"/>
      <c r="BL27" s="41"/>
      <c r="BM27" s="41">
        <v>-12000000000</v>
      </c>
      <c r="BN27" s="41">
        <v>-18200000000</v>
      </c>
      <c r="BO27" s="41">
        <v>-19800000000</v>
      </c>
      <c r="BP27" s="41">
        <v>-37000000000</v>
      </c>
      <c r="BQ27" s="41">
        <v>-34455263957</v>
      </c>
      <c r="BR27" s="41"/>
      <c r="BS27" s="41"/>
      <c r="BT27" s="41"/>
      <c r="BU27" s="41"/>
      <c r="BV27" s="41"/>
      <c r="BW27" s="41"/>
    </row>
    <row r="28" spans="1:75">
      <c r="A28" s="145">
        <v>25</v>
      </c>
      <c r="B28" s="146" t="s">
        <v>390</v>
      </c>
      <c r="C28" s="141">
        <v>5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>
        <v>12000000000</v>
      </c>
      <c r="W28" s="40"/>
      <c r="X28" s="40"/>
      <c r="Y28" s="40"/>
      <c r="Z28" s="40"/>
      <c r="AA28" s="40">
        <v>180000000000</v>
      </c>
      <c r="AB28" s="40"/>
      <c r="AC28" s="40"/>
      <c r="AD28" s="40"/>
      <c r="AE28" s="549">
        <v>15000000000</v>
      </c>
      <c r="AF28" s="40"/>
      <c r="AG28" s="40"/>
      <c r="AH28" s="40"/>
      <c r="AI28" s="40"/>
      <c r="AJ28" s="40"/>
      <c r="AK28" s="549">
        <v>2840000000</v>
      </c>
      <c r="AL28" s="40"/>
      <c r="AM28" s="40">
        <v>20000000000</v>
      </c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>
        <v>5500000000</v>
      </c>
      <c r="BD28" s="40"/>
      <c r="BE28" s="40"/>
      <c r="BF28" s="40">
        <v>15000000000</v>
      </c>
      <c r="BG28" s="40"/>
      <c r="BH28" s="40">
        <v>12000000000</v>
      </c>
      <c r="BI28" s="40">
        <v>10000000000</v>
      </c>
      <c r="BJ28" s="40">
        <v>30000000000</v>
      </c>
      <c r="BK28" s="40">
        <v>25000000000</v>
      </c>
      <c r="BL28" s="40"/>
      <c r="BM28" s="40"/>
      <c r="BN28" s="40">
        <v>3000000000</v>
      </c>
      <c r="BO28" s="40">
        <v>6200000000</v>
      </c>
      <c r="BP28" s="40">
        <v>42000000000</v>
      </c>
      <c r="BQ28" s="40">
        <v>10000000000</v>
      </c>
      <c r="BR28" s="40"/>
      <c r="BS28" s="40"/>
      <c r="BT28" s="40"/>
      <c r="BU28" s="40"/>
      <c r="BV28" s="40"/>
      <c r="BW28" s="40"/>
    </row>
    <row r="29" spans="1:75">
      <c r="A29" s="145">
        <v>26</v>
      </c>
      <c r="B29" s="146" t="s">
        <v>391</v>
      </c>
      <c r="C29" s="127">
        <v>5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>
        <v>-830000000</v>
      </c>
      <c r="AW29" s="35"/>
      <c r="AX29" s="35"/>
      <c r="AY29" s="550"/>
      <c r="AZ29" s="35"/>
      <c r="BA29" s="35"/>
      <c r="BB29" s="35"/>
      <c r="BC29" s="35"/>
      <c r="BD29" s="35"/>
      <c r="BE29" s="35"/>
      <c r="BF29" s="35"/>
      <c r="BG29" s="35"/>
      <c r="BH29" s="35"/>
      <c r="BI29" s="35">
        <v>0</v>
      </c>
      <c r="BJ29" s="35">
        <v>0</v>
      </c>
      <c r="BK29" s="35">
        <v>0</v>
      </c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</row>
    <row r="30" spans="1:75">
      <c r="A30" s="145">
        <v>27</v>
      </c>
      <c r="B30" s="146" t="s">
        <v>392</v>
      </c>
      <c r="C30" s="141">
        <v>5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</row>
    <row r="31" spans="1:75">
      <c r="A31" s="145">
        <v>28</v>
      </c>
      <c r="B31" s="146" t="s">
        <v>393</v>
      </c>
      <c r="C31" s="127">
        <v>5</v>
      </c>
      <c r="D31" s="35">
        <v>1228117</v>
      </c>
      <c r="E31" s="35">
        <v>1370668</v>
      </c>
      <c r="F31" s="35">
        <v>503786</v>
      </c>
      <c r="G31" s="35">
        <v>991223</v>
      </c>
      <c r="H31" s="35">
        <v>924399</v>
      </c>
      <c r="I31" s="35">
        <v>2721429</v>
      </c>
      <c r="J31" s="35">
        <v>5630167167</v>
      </c>
      <c r="K31" s="35">
        <v>4552274821</v>
      </c>
      <c r="L31" s="35">
        <v>4006107516</v>
      </c>
      <c r="M31" s="35">
        <v>1404451824</v>
      </c>
      <c r="N31" s="35">
        <v>1487413089</v>
      </c>
      <c r="O31" s="35">
        <v>1249240389</v>
      </c>
      <c r="P31" s="35">
        <v>1479346434</v>
      </c>
      <c r="Q31" s="35">
        <v>1527456177</v>
      </c>
      <c r="R31" s="35">
        <v>1512346597</v>
      </c>
      <c r="S31" s="35">
        <v>1655612808</v>
      </c>
      <c r="T31" s="35">
        <v>2665641339</v>
      </c>
      <c r="U31" s="35">
        <v>488185</v>
      </c>
      <c r="V31" s="35">
        <v>55392</v>
      </c>
      <c r="W31" s="35">
        <v>345319</v>
      </c>
      <c r="X31" s="35">
        <v>1696472</v>
      </c>
      <c r="Y31" s="35">
        <v>-1669883</v>
      </c>
      <c r="Z31" s="35">
        <v>4587721</v>
      </c>
      <c r="AA31" s="35">
        <v>10279090214</v>
      </c>
      <c r="AB31" s="35">
        <v>277299897</v>
      </c>
      <c r="AC31" s="35">
        <v>4079373</v>
      </c>
      <c r="AD31" s="35">
        <v>9099455</v>
      </c>
      <c r="AE31" s="35">
        <v>2096588</v>
      </c>
      <c r="AF31" s="35">
        <v>5188030</v>
      </c>
      <c r="AG31" s="35">
        <v>1509288</v>
      </c>
      <c r="AH31" s="35">
        <v>1391718</v>
      </c>
      <c r="AI31" s="35">
        <v>1391718</v>
      </c>
      <c r="AJ31" s="35">
        <v>307578</v>
      </c>
      <c r="AK31" s="35">
        <v>631102</v>
      </c>
      <c r="AL31" s="35">
        <v>149280</v>
      </c>
      <c r="AM31" s="35">
        <v>133934</v>
      </c>
      <c r="AN31" s="35"/>
      <c r="AO31" s="35">
        <v>296561</v>
      </c>
      <c r="AP31" s="35">
        <v>171678249</v>
      </c>
      <c r="AQ31" s="35">
        <v>808078</v>
      </c>
      <c r="AR31" s="35">
        <v>439987</v>
      </c>
      <c r="AS31" s="35">
        <v>482338</v>
      </c>
      <c r="AT31" s="35">
        <v>374904</v>
      </c>
      <c r="AU31" s="35">
        <v>1014834</v>
      </c>
      <c r="AV31" s="35">
        <v>826804</v>
      </c>
      <c r="AW31" s="35">
        <v>156232879</v>
      </c>
      <c r="AX31" s="35">
        <v>1036275</v>
      </c>
      <c r="AY31" s="35">
        <v>1314400686</v>
      </c>
      <c r="AZ31" s="35">
        <v>398202236</v>
      </c>
      <c r="BA31" s="35">
        <v>1278506781</v>
      </c>
      <c r="BB31" s="35">
        <v>681642</v>
      </c>
      <c r="BC31" s="35">
        <v>1661994</v>
      </c>
      <c r="BD31" s="35">
        <v>649627</v>
      </c>
      <c r="BE31" s="35">
        <v>989334</v>
      </c>
      <c r="BF31" s="35">
        <v>870633</v>
      </c>
      <c r="BG31" s="35">
        <v>913181</v>
      </c>
      <c r="BH31" s="35">
        <v>1031619</v>
      </c>
      <c r="BI31" s="35">
        <v>717642885</v>
      </c>
      <c r="BJ31" s="35">
        <v>81582428</v>
      </c>
      <c r="BK31" s="35">
        <v>337960853</v>
      </c>
      <c r="BL31" s="35">
        <v>1708611</v>
      </c>
      <c r="BM31" s="35">
        <v>1116123</v>
      </c>
      <c r="BN31" s="35">
        <v>2001208197</v>
      </c>
      <c r="BO31" s="35">
        <v>803441325</v>
      </c>
      <c r="BP31" s="35">
        <v>73063458</v>
      </c>
      <c r="BQ31" s="35">
        <v>42752896</v>
      </c>
      <c r="BR31" s="35"/>
      <c r="BS31" s="35"/>
      <c r="BT31" s="35"/>
      <c r="BU31" s="35"/>
      <c r="BV31" s="35"/>
      <c r="BW31" s="35"/>
    </row>
    <row r="32" spans="1:75">
      <c r="A32" s="118">
        <v>29</v>
      </c>
      <c r="B32" s="119" t="s">
        <v>222</v>
      </c>
      <c r="C32" s="143">
        <v>5</v>
      </c>
      <c r="D32" s="23">
        <f t="shared" ref="D32:AI32" si="4">SUM(D25:D31)</f>
        <v>-5731294523</v>
      </c>
      <c r="E32" s="23">
        <f t="shared" si="4"/>
        <v>-7991701067</v>
      </c>
      <c r="F32" s="23">
        <f t="shared" si="4"/>
        <v>-1466225737</v>
      </c>
      <c r="G32" s="23">
        <f t="shared" si="4"/>
        <v>-1018962489</v>
      </c>
      <c r="H32" s="23">
        <f t="shared" si="4"/>
        <v>-4641997951</v>
      </c>
      <c r="I32" s="23">
        <f t="shared" si="4"/>
        <v>-1413930327</v>
      </c>
      <c r="J32" s="23">
        <f t="shared" si="4"/>
        <v>-6839941788</v>
      </c>
      <c r="K32" s="23">
        <f t="shared" si="4"/>
        <v>-174898087068</v>
      </c>
      <c r="L32" s="23">
        <f t="shared" si="4"/>
        <v>-1215998434</v>
      </c>
      <c r="M32" s="23">
        <f t="shared" si="4"/>
        <v>484259824</v>
      </c>
      <c r="N32" s="23">
        <f t="shared" si="4"/>
        <v>-2809979356</v>
      </c>
      <c r="O32" s="23">
        <f t="shared" si="4"/>
        <v>-4061118541</v>
      </c>
      <c r="P32" s="23">
        <f t="shared" si="4"/>
        <v>-5929286094</v>
      </c>
      <c r="Q32" s="23">
        <f t="shared" si="4"/>
        <v>-895429595</v>
      </c>
      <c r="R32" s="23">
        <f t="shared" si="4"/>
        <v>1006035944</v>
      </c>
      <c r="S32" s="23">
        <f t="shared" si="4"/>
        <v>-7488180384</v>
      </c>
      <c r="T32" s="23">
        <f t="shared" si="4"/>
        <v>-6470190109</v>
      </c>
      <c r="U32" s="23">
        <f t="shared" si="4"/>
        <v>-12639794903</v>
      </c>
      <c r="V32" s="23">
        <f t="shared" si="4"/>
        <v>3008421433</v>
      </c>
      <c r="W32" s="23">
        <f t="shared" si="4"/>
        <v>-8471364955</v>
      </c>
      <c r="X32" s="23">
        <f t="shared" si="4"/>
        <v>-14195967685</v>
      </c>
      <c r="Y32" s="23">
        <f t="shared" si="4"/>
        <v>-18011241082</v>
      </c>
      <c r="Z32" s="23">
        <f t="shared" si="4"/>
        <v>-11224456102</v>
      </c>
      <c r="AA32" s="23">
        <f t="shared" si="4"/>
        <v>187757165142</v>
      </c>
      <c r="AB32" s="23">
        <f t="shared" si="4"/>
        <v>31759828732</v>
      </c>
      <c r="AC32" s="23">
        <f t="shared" si="4"/>
        <v>-9686107776</v>
      </c>
      <c r="AD32" s="23">
        <f t="shared" si="4"/>
        <v>-11316374218</v>
      </c>
      <c r="AE32" s="23">
        <f t="shared" si="4"/>
        <v>76597745685</v>
      </c>
      <c r="AF32" s="23">
        <f t="shared" si="4"/>
        <v>-29783197970</v>
      </c>
      <c r="AG32" s="23">
        <f t="shared" si="4"/>
        <v>-17287114898</v>
      </c>
      <c r="AH32" s="23">
        <f t="shared" si="4"/>
        <v>-3716056411</v>
      </c>
      <c r="AI32" s="23">
        <f t="shared" si="4"/>
        <v>-6395358363</v>
      </c>
      <c r="AJ32" s="23">
        <f t="shared" ref="AJ32:BM32" si="5">SUM(AJ25:AJ31)</f>
        <v>-5484014993</v>
      </c>
      <c r="AK32" s="23">
        <f t="shared" si="5"/>
        <v>-6608169817</v>
      </c>
      <c r="AL32" s="23">
        <f t="shared" si="5"/>
        <v>-9479194021</v>
      </c>
      <c r="AM32" s="23">
        <f t="shared" si="5"/>
        <v>15311366983</v>
      </c>
      <c r="AN32" s="23">
        <f t="shared" si="5"/>
        <v>-4762682554</v>
      </c>
      <c r="AO32" s="23">
        <f t="shared" si="5"/>
        <v>-4326239886</v>
      </c>
      <c r="AP32" s="23">
        <f t="shared" si="5"/>
        <v>-993317751</v>
      </c>
      <c r="AQ32" s="23">
        <f t="shared" si="5"/>
        <v>-1992014755</v>
      </c>
      <c r="AR32" s="23">
        <f t="shared" si="5"/>
        <v>-1781788510</v>
      </c>
      <c r="AS32" s="23">
        <f t="shared" si="5"/>
        <v>-832727426</v>
      </c>
      <c r="AT32" s="23">
        <f t="shared" si="5"/>
        <v>-1378340074</v>
      </c>
      <c r="AU32" s="23">
        <f t="shared" si="5"/>
        <v>-854169663</v>
      </c>
      <c r="AV32" s="23">
        <f t="shared" si="5"/>
        <v>-1566224453</v>
      </c>
      <c r="AW32" s="23">
        <f t="shared" si="5"/>
        <v>-2665716507</v>
      </c>
      <c r="AX32" s="23">
        <f t="shared" si="5"/>
        <v>-4083347856</v>
      </c>
      <c r="AY32" s="23">
        <f t="shared" si="5"/>
        <v>-8997561921</v>
      </c>
      <c r="AZ32" s="23">
        <f t="shared" si="5"/>
        <v>-9422603254</v>
      </c>
      <c r="BA32" s="23">
        <f t="shared" si="5"/>
        <v>-1409744554</v>
      </c>
      <c r="BB32" s="23">
        <f t="shared" si="5"/>
        <v>-42949753759</v>
      </c>
      <c r="BC32" s="23">
        <f t="shared" si="5"/>
        <v>-27896985790</v>
      </c>
      <c r="BD32" s="23">
        <f t="shared" si="5"/>
        <v>-19046783884</v>
      </c>
      <c r="BE32" s="23">
        <f t="shared" si="5"/>
        <v>-4600165478</v>
      </c>
      <c r="BF32" s="23">
        <f t="shared" si="5"/>
        <v>14056363160</v>
      </c>
      <c r="BG32" s="23">
        <f t="shared" si="5"/>
        <v>-3771779405</v>
      </c>
      <c r="BH32" s="23">
        <f t="shared" si="5"/>
        <v>-298252844</v>
      </c>
      <c r="BI32" s="23">
        <f t="shared" si="5"/>
        <v>-25294615507</v>
      </c>
      <c r="BJ32" s="23">
        <f t="shared" si="5"/>
        <v>6231656722</v>
      </c>
      <c r="BK32" s="23">
        <f t="shared" si="5"/>
        <v>15615882426</v>
      </c>
      <c r="BL32" s="23">
        <f>SUM(BL25:BL31)</f>
        <v>-13445161549</v>
      </c>
      <c r="BM32" s="23">
        <f t="shared" si="5"/>
        <v>-42477114473</v>
      </c>
      <c r="BN32" s="23">
        <v>-21851806644</v>
      </c>
      <c r="BO32" s="23">
        <v>-36965946130</v>
      </c>
      <c r="BP32" s="23">
        <v>2488619135</v>
      </c>
      <c r="BQ32" s="23">
        <v>-157273443614</v>
      </c>
      <c r="BR32" s="23"/>
      <c r="BS32" s="23"/>
      <c r="BT32" s="23"/>
      <c r="BU32" s="23"/>
      <c r="BV32" s="23"/>
      <c r="BW32" s="23"/>
    </row>
    <row r="33" spans="1:75">
      <c r="A33" s="118">
        <v>30</v>
      </c>
      <c r="B33" s="119" t="s">
        <v>223</v>
      </c>
      <c r="C33" s="144">
        <v>5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</row>
    <row r="34" spans="1:75">
      <c r="A34" s="145">
        <v>31</v>
      </c>
      <c r="B34" s="146" t="s">
        <v>394</v>
      </c>
      <c r="C34" s="131">
        <v>5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</row>
    <row r="35" spans="1:75">
      <c r="A35" s="147">
        <v>32</v>
      </c>
      <c r="B35" s="148" t="s">
        <v>395</v>
      </c>
      <c r="C35" s="149">
        <v>5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>
        <v>14788386000</v>
      </c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</row>
    <row r="36" spans="1:75">
      <c r="A36" s="145">
        <v>33</v>
      </c>
      <c r="B36" s="146" t="s">
        <v>396</v>
      </c>
      <c r="C36" s="127">
        <v>5</v>
      </c>
      <c r="D36" s="35">
        <v>4451818462</v>
      </c>
      <c r="E36" s="35">
        <v>4329286950</v>
      </c>
      <c r="F36" s="35">
        <v>897609400</v>
      </c>
      <c r="G36" s="35">
        <v>6038957553</v>
      </c>
      <c r="H36" s="35">
        <v>9827593659</v>
      </c>
      <c r="I36" s="35">
        <v>1763992981</v>
      </c>
      <c r="J36" s="35">
        <v>6305914947</v>
      </c>
      <c r="K36" s="35">
        <v>0</v>
      </c>
      <c r="L36" s="35">
        <v>0</v>
      </c>
      <c r="M36" s="35">
        <v>4369709003</v>
      </c>
      <c r="N36" s="35">
        <v>5158144860</v>
      </c>
      <c r="O36" s="35">
        <v>8019312949</v>
      </c>
      <c r="P36" s="35">
        <v>12163940628</v>
      </c>
      <c r="Q36" s="35">
        <v>6191246406</v>
      </c>
      <c r="R36" s="35">
        <v>10887456472</v>
      </c>
      <c r="S36" s="35">
        <v>17275696793</v>
      </c>
      <c r="T36" s="35">
        <v>21312681931</v>
      </c>
      <c r="U36" s="35">
        <v>9185445881</v>
      </c>
      <c r="V36" s="35">
        <v>8393701115</v>
      </c>
      <c r="W36" s="35">
        <v>6692107919</v>
      </c>
      <c r="X36" s="35">
        <v>14099688697</v>
      </c>
      <c r="Y36" s="35">
        <v>15823190911</v>
      </c>
      <c r="Z36" s="35">
        <v>30000000000</v>
      </c>
      <c r="AA36" s="35"/>
      <c r="AB36" s="35"/>
      <c r="AC36" s="35">
        <v>12739412325</v>
      </c>
      <c r="AD36" s="35">
        <v>8893547776</v>
      </c>
      <c r="AE36" s="35">
        <v>7195000000</v>
      </c>
      <c r="AF36" s="35">
        <v>-16554089331</v>
      </c>
      <c r="AG36" s="35">
        <v>-2769000000</v>
      </c>
      <c r="AH36" s="35">
        <v>3688000000</v>
      </c>
      <c r="AI36" s="35">
        <v>9408447309</v>
      </c>
      <c r="AJ36" s="35">
        <v>10374000000</v>
      </c>
      <c r="AK36" s="35">
        <v>14112366780</v>
      </c>
      <c r="AL36" s="35">
        <v>28962710950</v>
      </c>
      <c r="AM36" s="35">
        <v>2430000000</v>
      </c>
      <c r="AN36" s="35">
        <v>57270669795</v>
      </c>
      <c r="AO36" s="35">
        <v>2700000000</v>
      </c>
      <c r="AP36" s="35">
        <v>51941747542</v>
      </c>
      <c r="AQ36" s="35">
        <v>43144705866</v>
      </c>
      <c r="AR36" s="35">
        <v>34881897765</v>
      </c>
      <c r="AS36" s="35">
        <v>19187776584</v>
      </c>
      <c r="AT36" s="35">
        <v>4706000000</v>
      </c>
      <c r="AU36" s="35">
        <v>51191060696</v>
      </c>
      <c r="AV36" s="35">
        <v>84691804308</v>
      </c>
      <c r="AW36" s="35">
        <v>102825721496</v>
      </c>
      <c r="AX36" s="35">
        <v>83853569555</v>
      </c>
      <c r="AY36" s="35">
        <v>37383794832</v>
      </c>
      <c r="AZ36" s="35">
        <v>2310562000</v>
      </c>
      <c r="BA36" s="35">
        <v>5428000000</v>
      </c>
      <c r="BB36" s="35">
        <v>58529191203</v>
      </c>
      <c r="BC36" s="35">
        <v>90358841948</v>
      </c>
      <c r="BD36" s="35">
        <v>46360978617</v>
      </c>
      <c r="BE36" s="35">
        <v>47723278583</v>
      </c>
      <c r="BF36" s="35">
        <v>49379624959</v>
      </c>
      <c r="BG36" s="35">
        <v>76433887270</v>
      </c>
      <c r="BH36" s="35">
        <v>74543374853</v>
      </c>
      <c r="BI36" s="35">
        <v>35990648109</v>
      </c>
      <c r="BJ36" s="35">
        <v>46874996976</v>
      </c>
      <c r="BK36" s="35">
        <v>40177257513</v>
      </c>
      <c r="BL36" s="35">
        <v>56609988510</v>
      </c>
      <c r="BM36" s="35">
        <v>47431035680</v>
      </c>
      <c r="BN36" s="35">
        <v>28824946157</v>
      </c>
      <c r="BO36" s="35"/>
      <c r="BP36" s="35">
        <v>104042294769</v>
      </c>
      <c r="BQ36" s="35">
        <v>70714568555</v>
      </c>
      <c r="BR36" s="35"/>
      <c r="BS36" s="35"/>
      <c r="BT36" s="35"/>
      <c r="BU36" s="35"/>
      <c r="BV36" s="35"/>
      <c r="BW36" s="35"/>
    </row>
    <row r="37" spans="1:75">
      <c r="A37" s="145">
        <v>34</v>
      </c>
      <c r="B37" s="146" t="s">
        <v>397</v>
      </c>
      <c r="C37" s="127">
        <v>5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>
        <v>-1000000000</v>
      </c>
      <c r="Y37" s="35"/>
      <c r="Z37" s="35"/>
      <c r="AA37" s="35">
        <v>-191378060257</v>
      </c>
      <c r="AB37" s="35">
        <v>-4365166410</v>
      </c>
      <c r="AC37" s="35"/>
      <c r="AD37" s="35"/>
      <c r="AE37" s="35"/>
      <c r="AF37" s="35"/>
      <c r="AG37" s="35"/>
      <c r="AH37" s="35"/>
      <c r="AI37" s="35">
        <v>-1554488000</v>
      </c>
      <c r="AJ37" s="35"/>
      <c r="AK37" s="35"/>
      <c r="AL37" s="35">
        <v>-9154355480</v>
      </c>
      <c r="AM37" s="35">
        <v>-59000000</v>
      </c>
      <c r="AN37" s="35"/>
      <c r="AO37" s="35">
        <v>-7768970250</v>
      </c>
      <c r="AP37" s="35">
        <v>-8016000000</v>
      </c>
      <c r="AQ37" s="35">
        <v>-295193392</v>
      </c>
      <c r="AR37" s="35">
        <v>-2906560000</v>
      </c>
      <c r="AS37" s="35">
        <v>-6016005797</v>
      </c>
      <c r="AT37" s="35">
        <v>-26451297542</v>
      </c>
      <c r="AU37" s="35">
        <v>-94694168939</v>
      </c>
      <c r="AV37" s="35">
        <v>-70491152886</v>
      </c>
      <c r="AW37" s="35">
        <v>-86950072394</v>
      </c>
      <c r="AX37" s="35">
        <v>-46997210051</v>
      </c>
      <c r="AY37" s="35">
        <v>-30836777778</v>
      </c>
      <c r="AZ37" s="35">
        <v>-33725113955</v>
      </c>
      <c r="BA37" s="35">
        <v>-100211784973</v>
      </c>
      <c r="BB37" s="35">
        <v>-4197000000</v>
      </c>
      <c r="BC37" s="35">
        <v>-15728148401</v>
      </c>
      <c r="BD37" s="35">
        <v>-22093621349</v>
      </c>
      <c r="BE37" s="35">
        <v>-30106272270</v>
      </c>
      <c r="BF37" s="35">
        <v>-37490126842</v>
      </c>
      <c r="BG37" s="35">
        <v>-32982546300</v>
      </c>
      <c r="BH37" s="35">
        <v>-59818118843</v>
      </c>
      <c r="BI37" s="35">
        <v>-86548152225</v>
      </c>
      <c r="BJ37" s="35">
        <v>-53673092111</v>
      </c>
      <c r="BK37" s="35">
        <v>-51123323764</v>
      </c>
      <c r="BL37" s="35">
        <v>-101278931518</v>
      </c>
      <c r="BM37" s="35">
        <v>-9737588663</v>
      </c>
      <c r="BN37" s="35">
        <v>-71496103739</v>
      </c>
      <c r="BO37" s="35">
        <v>-31484303775</v>
      </c>
      <c r="BP37" s="35">
        <v>-59390127409</v>
      </c>
      <c r="BQ37" s="35">
        <v>-46678918453</v>
      </c>
      <c r="BR37" s="35"/>
      <c r="BS37" s="35"/>
      <c r="BT37" s="35"/>
      <c r="BU37" s="35"/>
      <c r="BV37" s="35"/>
      <c r="BW37" s="35"/>
    </row>
    <row r="38" spans="1:75">
      <c r="A38" s="145">
        <v>35</v>
      </c>
      <c r="B38" s="146" t="s">
        <v>398</v>
      </c>
      <c r="C38" s="127">
        <v>5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>
        <v>-777777778</v>
      </c>
      <c r="BA38" s="35">
        <v>-777777778</v>
      </c>
      <c r="BB38" s="35">
        <v>-777777778</v>
      </c>
      <c r="BC38" s="35">
        <v>-777777778</v>
      </c>
      <c r="BD38" s="35">
        <v>-777777778</v>
      </c>
      <c r="BE38" s="35">
        <v>-777777778</v>
      </c>
      <c r="BF38" s="35">
        <v>-777777778</v>
      </c>
      <c r="BG38" s="35">
        <v>-777777778</v>
      </c>
      <c r="BH38" s="35">
        <v>-777777778</v>
      </c>
      <c r="BI38" s="35">
        <v>-777777778</v>
      </c>
      <c r="BJ38" s="35">
        <v>-777777778</v>
      </c>
      <c r="BK38" s="35">
        <v>-777777778</v>
      </c>
      <c r="BL38" s="35">
        <v>-1647651024</v>
      </c>
      <c r="BM38" s="35">
        <v>-738238085</v>
      </c>
      <c r="BN38" s="35">
        <v>-738238085</v>
      </c>
      <c r="BO38" s="35">
        <v>-738238085</v>
      </c>
      <c r="BP38" s="35">
        <v>-738238085</v>
      </c>
      <c r="BQ38" s="35">
        <v>-738238085</v>
      </c>
      <c r="BR38" s="35"/>
      <c r="BS38" s="35"/>
      <c r="BT38" s="35"/>
      <c r="BU38" s="35"/>
      <c r="BV38" s="35"/>
      <c r="BW38" s="35"/>
    </row>
    <row r="39" spans="1:75">
      <c r="A39" s="145">
        <v>36</v>
      </c>
      <c r="B39" s="146" t="s">
        <v>399</v>
      </c>
      <c r="C39" s="131">
        <v>5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>
        <v>-38000000000</v>
      </c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</row>
    <row r="40" spans="1:75">
      <c r="A40" s="118">
        <v>37</v>
      </c>
      <c r="B40" s="119" t="s">
        <v>400</v>
      </c>
      <c r="C40" s="143">
        <v>5</v>
      </c>
      <c r="D40" s="23">
        <f t="shared" ref="D40:AI40" si="6">SUM(D34:D39)</f>
        <v>4451818462</v>
      </c>
      <c r="E40" s="23">
        <f t="shared" si="6"/>
        <v>4329286950</v>
      </c>
      <c r="F40" s="23">
        <f t="shared" si="6"/>
        <v>897609400</v>
      </c>
      <c r="G40" s="23">
        <f t="shared" si="6"/>
        <v>6038957553</v>
      </c>
      <c r="H40" s="23">
        <f t="shared" si="6"/>
        <v>9827593659</v>
      </c>
      <c r="I40" s="23">
        <f t="shared" si="6"/>
        <v>1763992981</v>
      </c>
      <c r="J40" s="23">
        <f t="shared" si="6"/>
        <v>6305914947</v>
      </c>
      <c r="K40" s="23">
        <f t="shared" si="6"/>
        <v>0</v>
      </c>
      <c r="L40" s="23">
        <f t="shared" si="6"/>
        <v>0</v>
      </c>
      <c r="M40" s="23">
        <f t="shared" si="6"/>
        <v>4369709003</v>
      </c>
      <c r="N40" s="23">
        <f t="shared" si="6"/>
        <v>5158144860</v>
      </c>
      <c r="O40" s="23">
        <f t="shared" si="6"/>
        <v>8019312949</v>
      </c>
      <c r="P40" s="23">
        <f t="shared" si="6"/>
        <v>12163940628</v>
      </c>
      <c r="Q40" s="23">
        <f t="shared" si="6"/>
        <v>6191246406</v>
      </c>
      <c r="R40" s="23">
        <f t="shared" si="6"/>
        <v>10887456472</v>
      </c>
      <c r="S40" s="23">
        <f t="shared" si="6"/>
        <v>17275696793</v>
      </c>
      <c r="T40" s="23">
        <f t="shared" si="6"/>
        <v>21312681931</v>
      </c>
      <c r="U40" s="23">
        <f t="shared" si="6"/>
        <v>9185445881</v>
      </c>
      <c r="V40" s="23">
        <f t="shared" si="6"/>
        <v>8393701115</v>
      </c>
      <c r="W40" s="23">
        <f t="shared" si="6"/>
        <v>6692107919</v>
      </c>
      <c r="X40" s="23">
        <f t="shared" si="6"/>
        <v>13099688697</v>
      </c>
      <c r="Y40" s="23">
        <f t="shared" si="6"/>
        <v>15823190911</v>
      </c>
      <c r="Z40" s="23">
        <f t="shared" si="6"/>
        <v>30000000000</v>
      </c>
      <c r="AA40" s="23">
        <f t="shared" si="6"/>
        <v>-191378060257</v>
      </c>
      <c r="AB40" s="23">
        <f t="shared" si="6"/>
        <v>-4365166410</v>
      </c>
      <c r="AC40" s="23">
        <f t="shared" si="6"/>
        <v>12739412325</v>
      </c>
      <c r="AD40" s="23">
        <f t="shared" si="6"/>
        <v>8893547776</v>
      </c>
      <c r="AE40" s="23">
        <f t="shared" si="6"/>
        <v>-30805000000</v>
      </c>
      <c r="AF40" s="23">
        <f t="shared" si="6"/>
        <v>-1765703331</v>
      </c>
      <c r="AG40" s="23">
        <f t="shared" si="6"/>
        <v>-2769000000</v>
      </c>
      <c r="AH40" s="23">
        <f t="shared" si="6"/>
        <v>3688000000</v>
      </c>
      <c r="AI40" s="23">
        <f t="shared" si="6"/>
        <v>7853959309</v>
      </c>
      <c r="AJ40" s="23">
        <f t="shared" ref="AJ40:BM40" si="7">SUM(AJ34:AJ39)</f>
        <v>10374000000</v>
      </c>
      <c r="AK40" s="23">
        <f t="shared" si="7"/>
        <v>14112366780</v>
      </c>
      <c r="AL40" s="23">
        <f t="shared" si="7"/>
        <v>19808355470</v>
      </c>
      <c r="AM40" s="23">
        <f t="shared" si="7"/>
        <v>2371000000</v>
      </c>
      <c r="AN40" s="23">
        <f t="shared" si="7"/>
        <v>57270669795</v>
      </c>
      <c r="AO40" s="23">
        <f t="shared" si="7"/>
        <v>-5068970250</v>
      </c>
      <c r="AP40" s="23">
        <f t="shared" si="7"/>
        <v>43925747542</v>
      </c>
      <c r="AQ40" s="23">
        <f t="shared" si="7"/>
        <v>42849512474</v>
      </c>
      <c r="AR40" s="23">
        <f t="shared" si="7"/>
        <v>31975337765</v>
      </c>
      <c r="AS40" s="23">
        <f t="shared" si="7"/>
        <v>13171770787</v>
      </c>
      <c r="AT40" s="23">
        <f t="shared" si="7"/>
        <v>-21745297542</v>
      </c>
      <c r="AU40" s="23">
        <f t="shared" si="7"/>
        <v>-43503108243</v>
      </c>
      <c r="AV40" s="23">
        <f t="shared" si="7"/>
        <v>14200651422</v>
      </c>
      <c r="AW40" s="23">
        <f t="shared" si="7"/>
        <v>15875649102</v>
      </c>
      <c r="AX40" s="23">
        <f t="shared" si="7"/>
        <v>36856359504</v>
      </c>
      <c r="AY40" s="23">
        <f t="shared" si="7"/>
        <v>6547017054</v>
      </c>
      <c r="AZ40" s="23">
        <f t="shared" si="7"/>
        <v>-32192329733</v>
      </c>
      <c r="BA40" s="23">
        <f t="shared" si="7"/>
        <v>-95561562751</v>
      </c>
      <c r="BB40" s="23">
        <f t="shared" si="7"/>
        <v>53554413425</v>
      </c>
      <c r="BC40" s="23">
        <f t="shared" si="7"/>
        <v>73852915769</v>
      </c>
      <c r="BD40" s="23">
        <f t="shared" si="7"/>
        <v>23489579490</v>
      </c>
      <c r="BE40" s="23">
        <f t="shared" si="7"/>
        <v>16839228535</v>
      </c>
      <c r="BF40" s="23">
        <f t="shared" si="7"/>
        <v>11111720339</v>
      </c>
      <c r="BG40" s="23">
        <f t="shared" si="7"/>
        <v>42673563192</v>
      </c>
      <c r="BH40" s="23">
        <f t="shared" si="7"/>
        <v>13947478232</v>
      </c>
      <c r="BI40" s="23">
        <f t="shared" si="7"/>
        <v>-51335281894</v>
      </c>
      <c r="BJ40" s="23">
        <f t="shared" si="7"/>
        <v>-7575872913</v>
      </c>
      <c r="BK40" s="23">
        <f>SUM(BK34:BK39)</f>
        <v>-11723844029</v>
      </c>
      <c r="BL40" s="23">
        <f t="shared" si="7"/>
        <v>-46316594032</v>
      </c>
      <c r="BM40" s="23">
        <f t="shared" si="7"/>
        <v>36955208932</v>
      </c>
      <c r="BN40" s="23">
        <v>-43409395667</v>
      </c>
      <c r="BO40" s="23">
        <v>-32222541860</v>
      </c>
      <c r="BP40" s="23">
        <v>43913929275</v>
      </c>
      <c r="BQ40" s="23">
        <v>23297412017</v>
      </c>
      <c r="BR40" s="23"/>
      <c r="BS40" s="23"/>
      <c r="BT40" s="23"/>
      <c r="BU40" s="23"/>
      <c r="BV40" s="23"/>
      <c r="BW40" s="23"/>
    </row>
    <row r="41" spans="1:75">
      <c r="A41" s="150">
        <v>38</v>
      </c>
      <c r="B41" s="151" t="s">
        <v>231</v>
      </c>
      <c r="C41" s="152">
        <v>5</v>
      </c>
      <c r="D41" s="25">
        <f t="shared" ref="D41:AI41" si="8">SUM(D23,D32,D40)</f>
        <v>-8187155435</v>
      </c>
      <c r="E41" s="25">
        <f t="shared" si="8"/>
        <v>1305457403</v>
      </c>
      <c r="F41" s="25">
        <f t="shared" si="8"/>
        <v>-1283271741</v>
      </c>
      <c r="G41" s="25">
        <f t="shared" si="8"/>
        <v>3743526046</v>
      </c>
      <c r="H41" s="25">
        <f t="shared" si="8"/>
        <v>-784755073</v>
      </c>
      <c r="I41" s="25">
        <f t="shared" si="8"/>
        <v>209063118</v>
      </c>
      <c r="J41" s="25">
        <f t="shared" si="8"/>
        <v>54142559</v>
      </c>
      <c r="K41" s="25">
        <f t="shared" si="8"/>
        <v>10479439922</v>
      </c>
      <c r="L41" s="25">
        <f t="shared" si="8"/>
        <v>3534973901</v>
      </c>
      <c r="M41" s="25">
        <f t="shared" si="8"/>
        <v>-2195715071</v>
      </c>
      <c r="N41" s="25">
        <f t="shared" si="8"/>
        <v>-9293647478</v>
      </c>
      <c r="O41" s="25">
        <f t="shared" si="8"/>
        <v>320185035</v>
      </c>
      <c r="P41" s="25">
        <f t="shared" si="8"/>
        <v>-1695686510</v>
      </c>
      <c r="Q41" s="25">
        <f t="shared" si="8"/>
        <v>17901100339</v>
      </c>
      <c r="R41" s="25">
        <f t="shared" si="8"/>
        <v>-15513147036</v>
      </c>
      <c r="S41" s="25">
        <f t="shared" si="8"/>
        <v>12923579401</v>
      </c>
      <c r="T41" s="25">
        <f t="shared" si="8"/>
        <v>-7677951172</v>
      </c>
      <c r="U41" s="25">
        <f t="shared" si="8"/>
        <v>-9543841229</v>
      </c>
      <c r="V41" s="25">
        <f t="shared" si="8"/>
        <v>-1068390667</v>
      </c>
      <c r="W41" s="25">
        <f t="shared" si="8"/>
        <v>20772530466</v>
      </c>
      <c r="X41" s="25">
        <f t="shared" si="8"/>
        <v>4920231493</v>
      </c>
      <c r="Y41" s="25">
        <f t="shared" si="8"/>
        <v>-18763615594</v>
      </c>
      <c r="Z41" s="25">
        <f t="shared" si="8"/>
        <v>-2626331504</v>
      </c>
      <c r="AA41" s="25">
        <f t="shared" si="8"/>
        <v>3100884829</v>
      </c>
      <c r="AB41" s="25">
        <f t="shared" si="8"/>
        <v>3522638092</v>
      </c>
      <c r="AC41" s="25">
        <f t="shared" si="8"/>
        <v>-920628294</v>
      </c>
      <c r="AD41" s="25">
        <f t="shared" si="8"/>
        <v>173017618</v>
      </c>
      <c r="AE41" s="25">
        <f t="shared" si="8"/>
        <v>35208937642</v>
      </c>
      <c r="AF41" s="25">
        <f t="shared" si="8"/>
        <v>-27919728976</v>
      </c>
      <c r="AG41" s="25">
        <f t="shared" si="8"/>
        <v>-2183186377</v>
      </c>
      <c r="AH41" s="25">
        <f t="shared" si="8"/>
        <v>1153934381</v>
      </c>
      <c r="AI41" s="25">
        <f t="shared" si="8"/>
        <v>-20285129540</v>
      </c>
      <c r="AJ41" s="25">
        <f t="shared" ref="AJ41:BM41" si="9">SUM(AJ23,AJ32,AJ40)</f>
        <v>7439833073</v>
      </c>
      <c r="AK41" s="25">
        <f t="shared" si="9"/>
        <v>-464377637</v>
      </c>
      <c r="AL41" s="25">
        <f t="shared" si="9"/>
        <v>-5002719005</v>
      </c>
      <c r="AM41" s="25">
        <f t="shared" si="9"/>
        <v>1330839148</v>
      </c>
      <c r="AN41" s="25">
        <f t="shared" si="9"/>
        <v>24740085479</v>
      </c>
      <c r="AO41" s="25">
        <f t="shared" si="9"/>
        <v>-8795261906</v>
      </c>
      <c r="AP41" s="25">
        <f t="shared" si="9"/>
        <v>-16324735668</v>
      </c>
      <c r="AQ41" s="25">
        <f t="shared" si="9"/>
        <v>8667467044</v>
      </c>
      <c r="AR41" s="25">
        <f t="shared" si="9"/>
        <v>-386049380</v>
      </c>
      <c r="AS41" s="25">
        <f t="shared" si="9"/>
        <v>-12514506331</v>
      </c>
      <c r="AT41" s="25">
        <f t="shared" si="9"/>
        <v>33057560373</v>
      </c>
      <c r="AU41" s="25">
        <f t="shared" si="9"/>
        <v>-20431955304</v>
      </c>
      <c r="AV41" s="25">
        <f t="shared" si="9"/>
        <v>16206267494</v>
      </c>
      <c r="AW41" s="25">
        <f t="shared" si="9"/>
        <v>22093129144</v>
      </c>
      <c r="AX41" s="25">
        <f t="shared" si="9"/>
        <v>-13876187520</v>
      </c>
      <c r="AY41" s="25">
        <f t="shared" si="9"/>
        <v>-4926608621</v>
      </c>
      <c r="AZ41" s="25">
        <f t="shared" si="9"/>
        <v>36324097729</v>
      </c>
      <c r="BA41" s="25">
        <f t="shared" si="9"/>
        <v>-44504558739</v>
      </c>
      <c r="BB41" s="25">
        <f t="shared" si="9"/>
        <v>-10311897779</v>
      </c>
      <c r="BC41" s="25">
        <f t="shared" si="9"/>
        <v>13376555757</v>
      </c>
      <c r="BD41" s="25">
        <f t="shared" si="9"/>
        <v>-17365277225</v>
      </c>
      <c r="BE41" s="25">
        <f t="shared" si="9"/>
        <v>9957129440</v>
      </c>
      <c r="BF41" s="25">
        <f t="shared" si="9"/>
        <v>-2567149938</v>
      </c>
      <c r="BG41" s="25">
        <f t="shared" si="9"/>
        <v>-1512249339</v>
      </c>
      <c r="BH41" s="25">
        <f t="shared" si="9"/>
        <v>33681818649</v>
      </c>
      <c r="BI41" s="25">
        <f t="shared" si="9"/>
        <v>-11661203939</v>
      </c>
      <c r="BJ41" s="25">
        <f t="shared" si="9"/>
        <v>1398499339</v>
      </c>
      <c r="BK41" s="25">
        <f>SUM(BK23,BK32,BK40)</f>
        <v>-18582985163</v>
      </c>
      <c r="BL41" s="25">
        <f t="shared" si="9"/>
        <v>5009300493</v>
      </c>
      <c r="BM41" s="25">
        <f t="shared" si="9"/>
        <v>3658847656</v>
      </c>
      <c r="BN41" s="25">
        <v>-13141518485</v>
      </c>
      <c r="BO41" s="25">
        <v>13506074018</v>
      </c>
      <c r="BP41" s="25">
        <v>-6740075884</v>
      </c>
      <c r="BQ41" s="25">
        <v>371577936</v>
      </c>
      <c r="BR41" s="25"/>
      <c r="BS41" s="25"/>
      <c r="BT41" s="25"/>
      <c r="BU41" s="25"/>
      <c r="BV41" s="25"/>
      <c r="BW41" s="25"/>
    </row>
    <row r="42" spans="1:75">
      <c r="A42" s="118">
        <v>39</v>
      </c>
      <c r="B42" s="119" t="s">
        <v>232</v>
      </c>
      <c r="C42" s="143">
        <v>5</v>
      </c>
      <c r="D42" s="23">
        <v>11634995297</v>
      </c>
      <c r="E42" s="23">
        <f t="shared" ref="E42:AJ42" si="10">D44</f>
        <v>3447839862</v>
      </c>
      <c r="F42" s="23">
        <f t="shared" si="10"/>
        <v>4753297265</v>
      </c>
      <c r="G42" s="23">
        <f t="shared" si="10"/>
        <v>3470025524</v>
      </c>
      <c r="H42" s="23">
        <f t="shared" si="10"/>
        <v>7213551570</v>
      </c>
      <c r="I42" s="23">
        <f t="shared" si="10"/>
        <v>6428796497</v>
      </c>
      <c r="J42" s="23">
        <f t="shared" si="10"/>
        <v>6637859615</v>
      </c>
      <c r="K42" s="23">
        <f t="shared" si="10"/>
        <v>6692002174</v>
      </c>
      <c r="L42" s="23">
        <f t="shared" si="10"/>
        <v>17171442096</v>
      </c>
      <c r="M42" s="23">
        <f t="shared" si="10"/>
        <v>20706415997</v>
      </c>
      <c r="N42" s="23">
        <f t="shared" si="10"/>
        <v>18510700926</v>
      </c>
      <c r="O42" s="23">
        <f t="shared" si="10"/>
        <v>9217053448</v>
      </c>
      <c r="P42" s="23">
        <f t="shared" si="10"/>
        <v>9537238483</v>
      </c>
      <c r="Q42" s="23">
        <f t="shared" si="10"/>
        <v>7841551973</v>
      </c>
      <c r="R42" s="23">
        <f t="shared" si="10"/>
        <v>25742652312</v>
      </c>
      <c r="S42" s="23">
        <f t="shared" si="10"/>
        <v>10229505276</v>
      </c>
      <c r="T42" s="23">
        <f t="shared" si="10"/>
        <v>23153084677</v>
      </c>
      <c r="U42" s="23">
        <f t="shared" si="10"/>
        <v>15475133505</v>
      </c>
      <c r="V42" s="23">
        <f t="shared" si="10"/>
        <v>6070662597</v>
      </c>
      <c r="W42" s="23">
        <f t="shared" si="10"/>
        <v>5025380377</v>
      </c>
      <c r="X42" s="23">
        <f t="shared" si="10"/>
        <v>25956322209</v>
      </c>
      <c r="Y42" s="23">
        <f t="shared" si="10"/>
        <v>31102397335</v>
      </c>
      <c r="Z42" s="23">
        <f t="shared" si="10"/>
        <v>12848278176</v>
      </c>
      <c r="AA42" s="23">
        <f t="shared" si="10"/>
        <v>10250965252</v>
      </c>
      <c r="AB42" s="23">
        <f t="shared" si="10"/>
        <v>13274374142</v>
      </c>
      <c r="AC42" s="23">
        <f t="shared" si="10"/>
        <v>16792099757</v>
      </c>
      <c r="AD42" s="23">
        <f t="shared" si="10"/>
        <v>15908187368</v>
      </c>
      <c r="AE42" s="23">
        <f t="shared" si="10"/>
        <v>16078630986</v>
      </c>
      <c r="AF42" s="23">
        <f t="shared" si="10"/>
        <v>51289665216</v>
      </c>
      <c r="AG42" s="23">
        <f t="shared" si="10"/>
        <v>23427390962</v>
      </c>
      <c r="AH42" s="23">
        <f t="shared" si="10"/>
        <v>21288636707</v>
      </c>
      <c r="AI42" s="23">
        <f t="shared" si="10"/>
        <v>22472091319</v>
      </c>
      <c r="AJ42" s="23">
        <f t="shared" si="10"/>
        <v>2490582158</v>
      </c>
      <c r="AK42" s="23">
        <f t="shared" ref="AK42:BM42" si="11">AJ44</f>
        <v>10148364108</v>
      </c>
      <c r="AL42" s="23">
        <f t="shared" si="11"/>
        <v>9841817259</v>
      </c>
      <c r="AM42" s="23">
        <f t="shared" si="11"/>
        <v>4968558361</v>
      </c>
      <c r="AN42" s="23">
        <f t="shared" si="11"/>
        <v>6353042534</v>
      </c>
      <c r="AO42" s="23">
        <f t="shared" si="11"/>
        <v>31037848308</v>
      </c>
      <c r="AP42" s="23">
        <f t="shared" si="11"/>
        <v>22669663716</v>
      </c>
      <c r="AQ42" s="23">
        <f t="shared" si="11"/>
        <v>6664945115</v>
      </c>
      <c r="AR42" s="23">
        <f t="shared" si="11"/>
        <v>15574807889</v>
      </c>
      <c r="AS42" s="23">
        <f t="shared" si="11"/>
        <v>16007340290</v>
      </c>
      <c r="AT42" s="23">
        <f t="shared" si="11"/>
        <v>3678057757</v>
      </c>
      <c r="AU42" s="23">
        <f t="shared" si="11"/>
        <v>36916493026</v>
      </c>
      <c r="AV42" s="23">
        <f t="shared" si="11"/>
        <v>16748498285</v>
      </c>
      <c r="AW42" s="23">
        <f t="shared" si="11"/>
        <v>33251814637</v>
      </c>
      <c r="AX42" s="23">
        <f t="shared" si="11"/>
        <v>56773964959</v>
      </c>
      <c r="AY42" s="23">
        <f t="shared" si="11"/>
        <v>43420355696</v>
      </c>
      <c r="AZ42" s="23">
        <f t="shared" si="11"/>
        <v>39805017284</v>
      </c>
      <c r="BA42" s="23">
        <f t="shared" si="11"/>
        <v>76486895109</v>
      </c>
      <c r="BB42" s="23">
        <f t="shared" si="11"/>
        <v>33258200889</v>
      </c>
      <c r="BC42" s="23">
        <f t="shared" si="11"/>
        <v>23555271373</v>
      </c>
      <c r="BD42" s="23">
        <f t="shared" si="11"/>
        <v>37590058839</v>
      </c>
      <c r="BE42" s="23">
        <f t="shared" si="11"/>
        <v>21868727527</v>
      </c>
      <c r="BF42" s="23">
        <f t="shared" si="11"/>
        <v>32470900772</v>
      </c>
      <c r="BG42" s="23">
        <f t="shared" si="11"/>
        <v>30661632458</v>
      </c>
      <c r="BH42" s="23">
        <f t="shared" si="11"/>
        <v>29770776625</v>
      </c>
      <c r="BI42" s="23">
        <f t="shared" si="11"/>
        <v>64296693910</v>
      </c>
      <c r="BJ42" s="23">
        <f t="shared" si="11"/>
        <v>53646701293</v>
      </c>
      <c r="BK42" s="23">
        <f t="shared" si="11"/>
        <v>55165406320</v>
      </c>
      <c r="BL42" s="23">
        <f t="shared" si="11"/>
        <v>36834893155</v>
      </c>
      <c r="BM42" s="23">
        <f t="shared" si="11"/>
        <v>42126572011</v>
      </c>
      <c r="BN42" s="23">
        <v>45981412915</v>
      </c>
      <c r="BO42" s="23">
        <v>33613094972</v>
      </c>
      <c r="BP42" s="23">
        <v>47135211556</v>
      </c>
      <c r="BQ42" s="23">
        <v>41014004605</v>
      </c>
      <c r="BR42" s="23"/>
      <c r="BS42" s="23"/>
      <c r="BT42" s="23"/>
      <c r="BU42" s="23"/>
      <c r="BV42" s="23"/>
      <c r="BW42" s="23"/>
    </row>
    <row r="43" spans="1:75">
      <c r="A43" s="153">
        <v>40</v>
      </c>
      <c r="B43" s="154" t="s">
        <v>233</v>
      </c>
      <c r="C43" s="155">
        <v>5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>
        <v>139370321</v>
      </c>
      <c r="V43" s="26">
        <v>23108447</v>
      </c>
      <c r="W43" s="26">
        <v>158411366</v>
      </c>
      <c r="X43" s="26">
        <v>225843633</v>
      </c>
      <c r="Y43" s="26">
        <v>509496435</v>
      </c>
      <c r="Z43" s="26">
        <v>29018580</v>
      </c>
      <c r="AA43" s="26">
        <v>-77475939</v>
      </c>
      <c r="AB43" s="26">
        <v>-4912477</v>
      </c>
      <c r="AC43" s="26">
        <v>36715905</v>
      </c>
      <c r="AD43" s="26">
        <v>-2574000</v>
      </c>
      <c r="AE43" s="26">
        <v>2096588</v>
      </c>
      <c r="AF43" s="26">
        <v>57454722</v>
      </c>
      <c r="AG43" s="26">
        <v>44432122</v>
      </c>
      <c r="AH43" s="26">
        <v>29520231</v>
      </c>
      <c r="AI43" s="26">
        <v>303620379</v>
      </c>
      <c r="AJ43" s="26">
        <v>217948877</v>
      </c>
      <c r="AK43" s="26">
        <v>157830788</v>
      </c>
      <c r="AL43" s="26">
        <v>129460107</v>
      </c>
      <c r="AM43" s="26">
        <v>53645025</v>
      </c>
      <c r="AN43" s="26">
        <v>-55279705</v>
      </c>
      <c r="AO43" s="26">
        <v>427077314</v>
      </c>
      <c r="AP43" s="26">
        <v>320017067</v>
      </c>
      <c r="AQ43" s="26">
        <v>242395730</v>
      </c>
      <c r="AR43" s="26">
        <v>818581781</v>
      </c>
      <c r="AS43" s="26">
        <v>185223798</v>
      </c>
      <c r="AT43" s="26">
        <v>180874896</v>
      </c>
      <c r="AU43" s="26">
        <v>263960563</v>
      </c>
      <c r="AV43" s="26">
        <v>297048858</v>
      </c>
      <c r="AW43" s="26">
        <v>1429021178</v>
      </c>
      <c r="AX43" s="26">
        <v>522578257</v>
      </c>
      <c r="AY43" s="26">
        <v>1311270209</v>
      </c>
      <c r="AZ43" s="26">
        <v>357780096</v>
      </c>
      <c r="BA43" s="26">
        <v>1275864519</v>
      </c>
      <c r="BB43" s="26">
        <v>608968263</v>
      </c>
      <c r="BC43" s="26">
        <v>658231709</v>
      </c>
      <c r="BD43" s="26">
        <v>1643945913</v>
      </c>
      <c r="BE43" s="26">
        <v>645043805</v>
      </c>
      <c r="BF43" s="26">
        <v>757881624</v>
      </c>
      <c r="BG43" s="26">
        <v>621393506</v>
      </c>
      <c r="BH43" s="26">
        <v>844098636</v>
      </c>
      <c r="BI43" s="26">
        <v>1011211322</v>
      </c>
      <c r="BJ43" s="26">
        <v>120205688</v>
      </c>
      <c r="BK43" s="26">
        <v>252471998</v>
      </c>
      <c r="BL43" s="26">
        <v>282378363</v>
      </c>
      <c r="BM43" s="26">
        <v>195993248</v>
      </c>
      <c r="BN43" s="26">
        <v>773200542</v>
      </c>
      <c r="BO43" s="26">
        <v>16042566</v>
      </c>
      <c r="BP43" s="26">
        <v>618868933</v>
      </c>
      <c r="BQ43" s="26">
        <v>301467078</v>
      </c>
      <c r="BR43" s="26"/>
      <c r="BS43" s="26"/>
      <c r="BT43" s="26"/>
      <c r="BU43" s="26"/>
      <c r="BV43" s="26"/>
      <c r="BW43" s="26"/>
    </row>
    <row r="44" spans="1:75">
      <c r="A44" s="118">
        <v>41</v>
      </c>
      <c r="B44" s="119" t="s">
        <v>234</v>
      </c>
      <c r="C44" s="143">
        <v>5</v>
      </c>
      <c r="D44" s="23">
        <f t="shared" ref="D44:AI44" si="12">SUM(D41:D43)</f>
        <v>3447839862</v>
      </c>
      <c r="E44" s="23">
        <f t="shared" si="12"/>
        <v>4753297265</v>
      </c>
      <c r="F44" s="23">
        <f t="shared" si="12"/>
        <v>3470025524</v>
      </c>
      <c r="G44" s="23">
        <f t="shared" si="12"/>
        <v>7213551570</v>
      </c>
      <c r="H44" s="23">
        <f t="shared" si="12"/>
        <v>6428796497</v>
      </c>
      <c r="I44" s="23">
        <f t="shared" si="12"/>
        <v>6637859615</v>
      </c>
      <c r="J44" s="23">
        <f t="shared" si="12"/>
        <v>6692002174</v>
      </c>
      <c r="K44" s="23">
        <f t="shared" si="12"/>
        <v>17171442096</v>
      </c>
      <c r="L44" s="23">
        <f t="shared" si="12"/>
        <v>20706415997</v>
      </c>
      <c r="M44" s="23">
        <f t="shared" si="12"/>
        <v>18510700926</v>
      </c>
      <c r="N44" s="23">
        <f t="shared" si="12"/>
        <v>9217053448</v>
      </c>
      <c r="O44" s="23">
        <f t="shared" si="12"/>
        <v>9537238483</v>
      </c>
      <c r="P44" s="23">
        <f t="shared" si="12"/>
        <v>7841551973</v>
      </c>
      <c r="Q44" s="23">
        <f t="shared" si="12"/>
        <v>25742652312</v>
      </c>
      <c r="R44" s="23">
        <f t="shared" si="12"/>
        <v>10229505276</v>
      </c>
      <c r="S44" s="23">
        <f t="shared" si="12"/>
        <v>23153084677</v>
      </c>
      <c r="T44" s="23">
        <f t="shared" si="12"/>
        <v>15475133505</v>
      </c>
      <c r="U44" s="23">
        <f t="shared" si="12"/>
        <v>6070662597</v>
      </c>
      <c r="V44" s="23">
        <f t="shared" si="12"/>
        <v>5025380377</v>
      </c>
      <c r="W44" s="23">
        <f t="shared" si="12"/>
        <v>25956322209</v>
      </c>
      <c r="X44" s="23">
        <f t="shared" si="12"/>
        <v>31102397335</v>
      </c>
      <c r="Y44" s="23">
        <f t="shared" si="12"/>
        <v>12848278176</v>
      </c>
      <c r="Z44" s="23">
        <f t="shared" si="12"/>
        <v>10250965252</v>
      </c>
      <c r="AA44" s="23">
        <f t="shared" si="12"/>
        <v>13274374142</v>
      </c>
      <c r="AB44" s="23">
        <f t="shared" si="12"/>
        <v>16792099757</v>
      </c>
      <c r="AC44" s="23">
        <f t="shared" si="12"/>
        <v>15908187368</v>
      </c>
      <c r="AD44" s="23">
        <f t="shared" si="12"/>
        <v>16078630986</v>
      </c>
      <c r="AE44" s="23">
        <f t="shared" si="12"/>
        <v>51289665216</v>
      </c>
      <c r="AF44" s="23">
        <f t="shared" si="12"/>
        <v>23427390962</v>
      </c>
      <c r="AG44" s="23">
        <f t="shared" si="12"/>
        <v>21288636707</v>
      </c>
      <c r="AH44" s="23">
        <f t="shared" si="12"/>
        <v>22472091319</v>
      </c>
      <c r="AI44" s="23">
        <f t="shared" si="12"/>
        <v>2490582158</v>
      </c>
      <c r="AJ44" s="23">
        <f t="shared" ref="AJ44:BM44" si="13">SUM(AJ41:AJ43)</f>
        <v>10148364108</v>
      </c>
      <c r="AK44" s="23">
        <f t="shared" si="13"/>
        <v>9841817259</v>
      </c>
      <c r="AL44" s="23">
        <f t="shared" si="13"/>
        <v>4968558361</v>
      </c>
      <c r="AM44" s="23">
        <f t="shared" si="13"/>
        <v>6353042534</v>
      </c>
      <c r="AN44" s="23">
        <f t="shared" si="13"/>
        <v>31037848308</v>
      </c>
      <c r="AO44" s="23">
        <f t="shared" si="13"/>
        <v>22669663716</v>
      </c>
      <c r="AP44" s="23">
        <f t="shared" si="13"/>
        <v>6664945115</v>
      </c>
      <c r="AQ44" s="23">
        <f t="shared" si="13"/>
        <v>15574807889</v>
      </c>
      <c r="AR44" s="23">
        <f t="shared" si="13"/>
        <v>16007340290</v>
      </c>
      <c r="AS44" s="23">
        <f t="shared" si="13"/>
        <v>3678057757</v>
      </c>
      <c r="AT44" s="23">
        <f t="shared" si="13"/>
        <v>36916493026</v>
      </c>
      <c r="AU44" s="23">
        <f t="shared" si="13"/>
        <v>16748498285</v>
      </c>
      <c r="AV44" s="23">
        <f t="shared" si="13"/>
        <v>33251814637</v>
      </c>
      <c r="AW44" s="23">
        <f t="shared" si="13"/>
        <v>56773964959</v>
      </c>
      <c r="AX44" s="23">
        <f t="shared" si="13"/>
        <v>43420355696</v>
      </c>
      <c r="AY44" s="23">
        <f t="shared" si="13"/>
        <v>39805017284</v>
      </c>
      <c r="AZ44" s="23">
        <f t="shared" si="13"/>
        <v>76486895109</v>
      </c>
      <c r="BA44" s="23">
        <f t="shared" si="13"/>
        <v>33258200889</v>
      </c>
      <c r="BB44" s="23">
        <f t="shared" si="13"/>
        <v>23555271373</v>
      </c>
      <c r="BC44" s="23">
        <f t="shared" si="13"/>
        <v>37590058839</v>
      </c>
      <c r="BD44" s="23">
        <f t="shared" si="13"/>
        <v>21868727527</v>
      </c>
      <c r="BE44" s="23">
        <f t="shared" si="13"/>
        <v>32470900772</v>
      </c>
      <c r="BF44" s="23">
        <f t="shared" si="13"/>
        <v>30661632458</v>
      </c>
      <c r="BG44" s="23">
        <f t="shared" si="13"/>
        <v>29770776625</v>
      </c>
      <c r="BH44" s="23">
        <f t="shared" si="13"/>
        <v>64296693910</v>
      </c>
      <c r="BI44" s="23">
        <f t="shared" si="13"/>
        <v>53646701293</v>
      </c>
      <c r="BJ44" s="23">
        <f t="shared" si="13"/>
        <v>55165406320</v>
      </c>
      <c r="BK44" s="23">
        <f t="shared" si="13"/>
        <v>36834893155</v>
      </c>
      <c r="BL44" s="23">
        <f>SUM(BL41:BL43)</f>
        <v>42126572011</v>
      </c>
      <c r="BM44" s="23">
        <f t="shared" si="13"/>
        <v>45981412915</v>
      </c>
      <c r="BN44" s="23">
        <v>33613094972</v>
      </c>
      <c r="BO44" s="23">
        <v>47135211556</v>
      </c>
      <c r="BP44" s="23">
        <v>41014004605</v>
      </c>
      <c r="BQ44" s="23">
        <v>41687049619</v>
      </c>
      <c r="BR44" s="23"/>
      <c r="BS44" s="23"/>
      <c r="BT44" s="23"/>
      <c r="BU44" s="23"/>
      <c r="BV44" s="23"/>
      <c r="BW44" s="23"/>
    </row>
    <row r="46" spans="1:75">
      <c r="D46" s="532"/>
      <c r="E46" s="532"/>
      <c r="F46" s="532"/>
      <c r="G46" s="532"/>
      <c r="H46" s="532"/>
      <c r="I46" s="532"/>
      <c r="J46" s="532"/>
      <c r="K46" s="532"/>
      <c r="L46" s="532"/>
      <c r="M46" s="532"/>
      <c r="N46" s="532"/>
      <c r="O46" s="532"/>
      <c r="P46" s="532"/>
      <c r="Q46" s="532"/>
      <c r="R46" s="532"/>
      <c r="S46" s="532"/>
      <c r="T46" s="532"/>
      <c r="U46" s="532"/>
      <c r="V46" s="532"/>
      <c r="W46" s="532"/>
      <c r="X46" s="532"/>
      <c r="Y46" s="532"/>
      <c r="Z46" s="532"/>
      <c r="AA46" s="532"/>
      <c r="AB46" s="532"/>
      <c r="AC46" s="532"/>
      <c r="AD46" s="532"/>
      <c r="AE46" s="532"/>
      <c r="AF46" s="532"/>
      <c r="AG46" s="532"/>
      <c r="AH46" s="532"/>
      <c r="AI46" s="532"/>
      <c r="AJ46" s="532"/>
      <c r="AK46" s="532"/>
      <c r="AL46" s="532"/>
      <c r="AM46" s="532"/>
      <c r="AN46" s="532"/>
      <c r="AO46" s="532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  <c r="BC46" s="532"/>
      <c r="BD46" s="532"/>
      <c r="BE46" s="532"/>
      <c r="BF46" s="532"/>
      <c r="BG46" s="532"/>
      <c r="BH46" s="532"/>
      <c r="BI46" s="532"/>
      <c r="BJ46" s="532"/>
      <c r="BK46" s="532"/>
      <c r="BL46" s="532"/>
      <c r="BM46" s="532"/>
    </row>
  </sheetData>
  <sheetProtection algorithmName="SHA-512" hashValue="WXfL19zHwdPNnsQ5T5CUomLIBWbUSoBbfomykV1LESL1zz1sWIDr3g4iw5HWoMi1sgdaaN0HGG+5zIsjQq8rHg==" saltValue="HKwVVamd+KgqMPek7JXZ8g==" spinCount="100000" sheet="1" objects="1" scenarios="1"/>
  <protectedRanges>
    <protectedRange sqref="D4:BW44" name="CF"/>
  </protectedRange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B84F-98B8-4CD1-B755-0358D9CE0820}">
  <sheetPr>
    <tabColor theme="9" tint="0.59999389629810485"/>
  </sheetPr>
  <dimension ref="A1:BW62"/>
  <sheetViews>
    <sheetView showGridLines="0" zoomScaleNormal="100" workbookViewId="0">
      <pane xSplit="3" ySplit="3" topLeftCell="BO4" activePane="bottomRight" state="frozen"/>
      <selection pane="topRight" activeCell="BL10" sqref="BL10"/>
      <selection pane="bottomLeft" activeCell="BL10" sqref="BL10"/>
      <selection pane="bottomRight" activeCell="BQ24" sqref="BQ24"/>
    </sheetView>
  </sheetViews>
  <sheetFormatPr defaultRowHeight="14.4"/>
  <cols>
    <col min="1" max="1" width="10.6640625" customWidth="1"/>
    <col min="2" max="2" width="55" bestFit="1" customWidth="1"/>
    <col min="3" max="3" width="12" hidden="1" customWidth="1"/>
    <col min="4" max="9" width="14.33203125" customWidth="1"/>
    <col min="10" max="10" width="14.6640625" customWidth="1"/>
    <col min="11" max="11" width="14.44140625" customWidth="1"/>
    <col min="12" max="14" width="14.33203125" customWidth="1"/>
    <col min="15" max="15" width="14.6640625" customWidth="1"/>
    <col min="16" max="16" width="14.33203125" customWidth="1"/>
    <col min="17" max="17" width="14.44140625" customWidth="1"/>
    <col min="18" max="39" width="14.6640625" customWidth="1"/>
    <col min="40" max="43" width="15.5546875" customWidth="1"/>
    <col min="44" max="44" width="15.6640625" customWidth="1"/>
    <col min="45" max="46" width="15.5546875" customWidth="1"/>
    <col min="47" max="49" width="15.6640625" customWidth="1"/>
    <col min="50" max="50" width="15.5546875" customWidth="1"/>
    <col min="51" max="51" width="16.5546875" customWidth="1"/>
    <col min="52" max="59" width="15.6640625" bestFit="1" customWidth="1"/>
    <col min="60" max="60" width="15.5546875" bestFit="1" customWidth="1"/>
    <col min="61" max="61" width="15.6640625" bestFit="1" customWidth="1"/>
    <col min="62" max="62" width="14.6640625" bestFit="1" customWidth="1"/>
    <col min="63" max="63" width="15.6640625" bestFit="1" customWidth="1"/>
    <col min="64" max="75" width="16" customWidth="1"/>
  </cols>
  <sheetData>
    <row r="1" spans="1:75" ht="17.399999999999999">
      <c r="B1" s="56" t="s">
        <v>236</v>
      </c>
      <c r="AZ1" s="539"/>
    </row>
    <row r="2" spans="1:75">
      <c r="B2" s="62" t="s">
        <v>237</v>
      </c>
      <c r="AN2" s="539"/>
      <c r="BQ2" s="605"/>
    </row>
    <row r="3" spans="1:75" ht="27.6">
      <c r="A3" s="156" t="s">
        <v>401</v>
      </c>
      <c r="B3" s="157" t="s">
        <v>402</v>
      </c>
      <c r="C3" s="158" t="s">
        <v>240</v>
      </c>
      <c r="D3" s="65" t="s">
        <v>241</v>
      </c>
      <c r="E3" s="65" t="s">
        <v>242</v>
      </c>
      <c r="F3" s="65" t="s">
        <v>243</v>
      </c>
      <c r="G3" s="65" t="s">
        <v>244</v>
      </c>
      <c r="H3" s="65" t="s">
        <v>245</v>
      </c>
      <c r="I3" s="65" t="s">
        <v>246</v>
      </c>
      <c r="J3" s="65" t="s">
        <v>247</v>
      </c>
      <c r="K3" s="65" t="s">
        <v>248</v>
      </c>
      <c r="L3" s="65" t="s">
        <v>249</v>
      </c>
      <c r="M3" s="65" t="s">
        <v>250</v>
      </c>
      <c r="N3" s="65" t="s">
        <v>251</v>
      </c>
      <c r="O3" s="65" t="s">
        <v>252</v>
      </c>
      <c r="P3" s="65" t="s">
        <v>253</v>
      </c>
      <c r="Q3" s="65" t="s">
        <v>254</v>
      </c>
      <c r="R3" s="65" t="s">
        <v>255</v>
      </c>
      <c r="S3" s="65" t="s">
        <v>256</v>
      </c>
      <c r="T3" s="65" t="s">
        <v>257</v>
      </c>
      <c r="U3" s="65" t="s">
        <v>258</v>
      </c>
      <c r="V3" s="65" t="s">
        <v>259</v>
      </c>
      <c r="W3" s="65" t="s">
        <v>260</v>
      </c>
      <c r="X3" s="65" t="s">
        <v>261</v>
      </c>
      <c r="Y3" s="65" t="s">
        <v>262</v>
      </c>
      <c r="Z3" s="65" t="s">
        <v>263</v>
      </c>
      <c r="AA3" s="65" t="s">
        <v>264</v>
      </c>
      <c r="AB3" s="65" t="s">
        <v>265</v>
      </c>
      <c r="AC3" s="65" t="s">
        <v>266</v>
      </c>
      <c r="AD3" s="65" t="s">
        <v>267</v>
      </c>
      <c r="AE3" s="65" t="s">
        <v>268</v>
      </c>
      <c r="AF3" s="65" t="s">
        <v>269</v>
      </c>
      <c r="AG3" s="65" t="s">
        <v>270</v>
      </c>
      <c r="AH3" s="65" t="s">
        <v>271</v>
      </c>
      <c r="AI3" s="65" t="s">
        <v>272</v>
      </c>
      <c r="AJ3" s="65" t="s">
        <v>273</v>
      </c>
      <c r="AK3" s="65" t="s">
        <v>274</v>
      </c>
      <c r="AL3" s="65" t="s">
        <v>275</v>
      </c>
      <c r="AM3" s="65" t="s">
        <v>276</v>
      </c>
      <c r="AN3" s="65" t="s">
        <v>277</v>
      </c>
      <c r="AO3" s="65" t="s">
        <v>278</v>
      </c>
      <c r="AP3" s="65" t="s">
        <v>279</v>
      </c>
      <c r="AQ3" s="65" t="s">
        <v>280</v>
      </c>
      <c r="AR3" s="65" t="s">
        <v>281</v>
      </c>
      <c r="AS3" s="65" t="s">
        <v>282</v>
      </c>
      <c r="AT3" s="65" t="s">
        <v>283</v>
      </c>
      <c r="AU3" s="65" t="s">
        <v>284</v>
      </c>
      <c r="AV3" s="65" t="s">
        <v>285</v>
      </c>
      <c r="AW3" s="65" t="s">
        <v>286</v>
      </c>
      <c r="AX3" s="65" t="s">
        <v>287</v>
      </c>
      <c r="AY3" s="65" t="s">
        <v>288</v>
      </c>
      <c r="AZ3" s="65" t="s">
        <v>289</v>
      </c>
      <c r="BA3" s="65" t="s">
        <v>290</v>
      </c>
      <c r="BB3" s="65" t="s">
        <v>291</v>
      </c>
      <c r="BC3" s="65" t="s">
        <v>292</v>
      </c>
      <c r="BD3" s="65" t="s">
        <v>293</v>
      </c>
      <c r="BE3" s="65" t="s">
        <v>294</v>
      </c>
      <c r="BF3" s="65" t="s">
        <v>295</v>
      </c>
      <c r="BG3" s="65" t="s">
        <v>296</v>
      </c>
      <c r="BH3" s="65" t="s">
        <v>297</v>
      </c>
      <c r="BI3" s="65" t="s">
        <v>298</v>
      </c>
      <c r="BJ3" s="65" t="s">
        <v>299</v>
      </c>
      <c r="BK3" s="65" t="s">
        <v>300</v>
      </c>
      <c r="BL3" s="65" t="s">
        <v>301</v>
      </c>
      <c r="BM3" s="65" t="s">
        <v>302</v>
      </c>
      <c r="BN3" s="65" t="s">
        <v>303</v>
      </c>
      <c r="BO3" s="65" t="s">
        <v>304</v>
      </c>
      <c r="BP3" s="65" t="s">
        <v>305</v>
      </c>
      <c r="BQ3" s="65" t="s">
        <v>306</v>
      </c>
      <c r="BR3" s="65" t="s">
        <v>307</v>
      </c>
      <c r="BS3" s="65" t="s">
        <v>308</v>
      </c>
      <c r="BT3" s="65" t="s">
        <v>309</v>
      </c>
      <c r="BU3" s="65" t="s">
        <v>310</v>
      </c>
      <c r="BV3" s="65" t="s">
        <v>311</v>
      </c>
      <c r="BW3" s="65" t="s">
        <v>312</v>
      </c>
    </row>
    <row r="4" spans="1:75">
      <c r="A4" s="159">
        <v>1</v>
      </c>
      <c r="B4" s="160" t="s">
        <v>403</v>
      </c>
      <c r="C4" s="161">
        <v>5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>
        <f>431+3958/8/27+N("quy đổi outsource ra số người")</f>
        <v>449.32407407407408</v>
      </c>
      <c r="AO4" s="42">
        <f>420+1444/8/26+N("quy đổi outsource ra số người")</f>
        <v>426.94230769230768</v>
      </c>
      <c r="AP4" s="42">
        <f>461+1754/8/25+N("quy đổi outsource ra số người")</f>
        <v>469.77</v>
      </c>
      <c r="AQ4" s="42">
        <f>483+2650/8/27+N("quy đổi outsource ra số người")</f>
        <v>495.26851851851853</v>
      </c>
      <c r="AR4" s="42">
        <f>507+1016/8/26+N("quy đổi outsource ra số người")</f>
        <v>511.88461538461536</v>
      </c>
      <c r="AS4" s="42">
        <f>515+1168/8/26+N("quy đổi outsource ra số người")</f>
        <v>520.61538461538464</v>
      </c>
      <c r="AT4" s="42">
        <f>520+1066/8/26+N("quy đổi outsource ra số người")</f>
        <v>525.125</v>
      </c>
      <c r="AU4" s="42">
        <f>518+192/8/26+N("quy đổi outsource ra số người")</f>
        <v>518.92307692307691</v>
      </c>
      <c r="AV4" s="42">
        <f>551+216/8/27+N("quy đổi outsource ra số người")</f>
        <v>552</v>
      </c>
      <c r="AW4" s="42">
        <f>562+1999/8/26+N("quy đổi outsource ra số người")</f>
        <v>571.61057692307691</v>
      </c>
      <c r="AX4" s="42">
        <f>575+7028/8/26+N("quy đổi outsource ra số người")</f>
        <v>608.78846153846155</v>
      </c>
      <c r="AY4" s="42">
        <f>582+7000/8/26+N("quy đổi outsource ra số người")</f>
        <v>615.65384615384619</v>
      </c>
      <c r="AZ4" s="42">
        <f>569+5336/8/27+N("quy đổi outsource ra số người")</f>
        <v>593.7037037037037</v>
      </c>
      <c r="BA4" s="42">
        <f>582+2696/8/26+N("quy đổi outsource ra số người")</f>
        <v>594.96153846153845</v>
      </c>
      <c r="BB4" s="42">
        <f>602+2540/8/24+N("quy đổi outsource ra số người")</f>
        <v>615.22916666666663</v>
      </c>
      <c r="BC4" s="42">
        <f>614+2284/8/27+N("quy đổi outsource ra số người")</f>
        <v>624.57407407407402</v>
      </c>
      <c r="BD4" s="42">
        <f>609+1748/8/25+N("quy đổi outsource ra số người")</f>
        <v>617.74</v>
      </c>
      <c r="BE4" s="42">
        <f>621+3485/8/26+N("quy đổi outsource ra số người")+N("quy đổi outsource ra số người")</f>
        <v>637.75480769230774</v>
      </c>
      <c r="BF4" s="42">
        <f>633+1512/26+N("quy đổi outsource ra số người")</f>
        <v>691.15384615384619</v>
      </c>
      <c r="BG4" s="42">
        <f>663+903/26+N("quy đổi outsource ra số người")</f>
        <v>697.73076923076928</v>
      </c>
      <c r="BH4" s="42">
        <f>682+626.5/27+N("quy đổi outsource ra số người")</f>
        <v>705.2037037037037</v>
      </c>
      <c r="BI4" s="42">
        <f>660+400.625/26+N("quy đổi outsource ra số người")</f>
        <v>675.40865384615381</v>
      </c>
      <c r="BJ4" s="42">
        <f>644+166/26+N("quy đổi outsource ra số người")</f>
        <v>650.38461538461536</v>
      </c>
      <c r="BK4" s="42">
        <f>629+141.125/26+N("quy đổi outsource ra số người")</f>
        <v>634.42788461538464</v>
      </c>
      <c r="BL4" s="42">
        <f>611+133/25+N("quy đổi outsource ra số người")</f>
        <v>616.32000000000005</v>
      </c>
      <c r="BM4" s="42">
        <f>575+1175/22+N("quy đổi outsource ra số người")</f>
        <v>628.40909090909088</v>
      </c>
      <c r="BN4" s="42">
        <f>582+6546.5/8/24+N("quy đổi outsource ra số người")</f>
        <v>616.09635416666663</v>
      </c>
      <c r="BO4" s="42">
        <f>571+10444/8/27+N("quy đổi outsource ra số người")</f>
        <v>619.35185185185185</v>
      </c>
      <c r="BP4" s="42">
        <f>559+15756/8/25+N("quy đổi outsource ra số người")</f>
        <v>637.78</v>
      </c>
      <c r="BQ4" s="42">
        <f>560+(21817.5+2359)/8/27</f>
        <v>671.92824074074076</v>
      </c>
      <c r="BR4" s="42">
        <v>674</v>
      </c>
      <c r="BS4" s="42">
        <v>674</v>
      </c>
      <c r="BT4" s="42">
        <v>675</v>
      </c>
      <c r="BU4" s="42">
        <v>675</v>
      </c>
      <c r="BV4" s="42">
        <v>675</v>
      </c>
      <c r="BW4" s="42">
        <v>675</v>
      </c>
    </row>
    <row r="5" spans="1:75">
      <c r="A5" s="159">
        <v>2</v>
      </c>
      <c r="B5" s="160" t="s">
        <v>404</v>
      </c>
      <c r="C5" s="161">
        <v>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>
        <f>230+3958/8/27+N("quy đổi outsource ra số người")</f>
        <v>248.32407407407408</v>
      </c>
      <c r="AO5" s="42">
        <f>222+1444/8/26+N("quy đổi outsource ra số người")</f>
        <v>228.94230769230768</v>
      </c>
      <c r="AP5" s="42">
        <f>254+1754/8/25+N("quy đổi outsource ra số người")</f>
        <v>262.77</v>
      </c>
      <c r="AQ5" s="42">
        <f>263+2650/8/27+N("quy đổi outsource ra số người")</f>
        <v>275.26851851851853</v>
      </c>
      <c r="AR5" s="42">
        <f>276+1016/8/26+N("quy đổi outsource ra số người")</f>
        <v>280.88461538461536</v>
      </c>
      <c r="AS5" s="42">
        <f>286+1168/8/26+N("quy đổi outsource ra số người")</f>
        <v>291.61538461538464</v>
      </c>
      <c r="AT5" s="42">
        <f>289+1066/8/26+N("quy đổi outsource ra số người")</f>
        <v>294.125</v>
      </c>
      <c r="AU5" s="42">
        <f>289+192/8/26+N("quy đổi outsource ra số người")</f>
        <v>289.92307692307691</v>
      </c>
      <c r="AV5" s="42">
        <f>314+216/8/27+N("quy đổi outsource ra số người")</f>
        <v>315</v>
      </c>
      <c r="AW5" s="42">
        <f>320+1999/8/26+N("quy đổi outsource ra số người")</f>
        <v>329.61057692307691</v>
      </c>
      <c r="AX5" s="42">
        <f>328+7028/8/26+N("quy đổi outsource ra số người")</f>
        <v>361.78846153846155</v>
      </c>
      <c r="AY5" s="42">
        <f>327+7000/8/26+N("quy đổi outsource ra số người")</f>
        <v>360.65384615384613</v>
      </c>
      <c r="AZ5" s="42">
        <f>309+5336/8/27+N("quy đổi outsource ra số người")</f>
        <v>333.7037037037037</v>
      </c>
      <c r="BA5" s="42">
        <f>325+2696/8/26+N("quy đổi outsource ra số người")</f>
        <v>337.96153846153845</v>
      </c>
      <c r="BB5" s="42">
        <f>331+2540/8/24+N("quy đổi outsource ra số người")</f>
        <v>344.22916666666669</v>
      </c>
      <c r="BC5" s="42">
        <f>337+2284/8/27+N("quy đổi outsource ra số người")</f>
        <v>347.57407407407408</v>
      </c>
      <c r="BD5" s="42">
        <f>328+1748/8/25+N("quy đổi outsource ra số người")</f>
        <v>336.74</v>
      </c>
      <c r="BE5" s="42">
        <f>335+3485/8/26+N("quy đổi outsource ra số người")+N("quy đổi outsource ra số người")</f>
        <v>351.75480769230768</v>
      </c>
      <c r="BF5" s="42">
        <f>348+1512/26+N("quy đổi outsource ra số người")</f>
        <v>406.15384615384613</v>
      </c>
      <c r="BG5" s="42">
        <f>375+903/26+N("quy đổi outsource ra số người")</f>
        <v>409.73076923076923</v>
      </c>
      <c r="BH5" s="42">
        <f>395+626.5/27+N("quy đổi outsource ra số người")</f>
        <v>418.2037037037037</v>
      </c>
      <c r="BI5" s="42">
        <f>369+400.625/26+N("quy đổi outsource ra số người")</f>
        <v>384.40865384615387</v>
      </c>
      <c r="BJ5" s="42">
        <f>351+166/26+N("quy đổi outsource ra số người")</f>
        <v>357.38461538461536</v>
      </c>
      <c r="BK5" s="42">
        <f>335+141.125/26+N("quy đổi outsource ra số người")</f>
        <v>340.42788461538464</v>
      </c>
      <c r="BL5" s="42">
        <f>321+133/25+N("quy đổi outsource ra số người")</f>
        <v>326.32</v>
      </c>
      <c r="BM5" s="42">
        <f>295+1175/22+N("quy đổi outsource ra số người")</f>
        <v>348.40909090909088</v>
      </c>
      <c r="BN5" s="42">
        <f>301+6546.5/8/24+N("quy đổi outsource ra số người")</f>
        <v>335.09635416666669</v>
      </c>
      <c r="BO5" s="42">
        <f>294+10444/8/27+N("quy đổi outsource ra số người")</f>
        <v>342.35185185185185</v>
      </c>
      <c r="BP5" s="42">
        <f>276+15756/8/25+N("quy đổi outsource ra số người")</f>
        <v>354.78</v>
      </c>
      <c r="BQ5" s="42">
        <f>277+(21817.5+2359)/8/27</f>
        <v>388.92824074074076</v>
      </c>
      <c r="BR5" s="42">
        <v>369</v>
      </c>
      <c r="BS5" s="42">
        <v>369</v>
      </c>
      <c r="BT5" s="42">
        <v>370</v>
      </c>
      <c r="BU5" s="42">
        <v>370</v>
      </c>
      <c r="BV5" s="42">
        <v>370</v>
      </c>
      <c r="BW5" s="42">
        <v>370</v>
      </c>
    </row>
    <row r="6" spans="1:75">
      <c r="A6" s="159">
        <v>3</v>
      </c>
      <c r="B6" s="160" t="s">
        <v>405</v>
      </c>
      <c r="C6" s="161">
        <v>5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>
        <f>(62547+3958)/8</f>
        <v>8313.125</v>
      </c>
      <c r="AO6" s="42">
        <f>(44566.05+1444)/8</f>
        <v>5751.2562500000004</v>
      </c>
      <c r="AP6" s="42">
        <f>(65530.39+1754)/8</f>
        <v>8410.5487499999999</v>
      </c>
      <c r="AQ6" s="42">
        <f>(74748.11+2650)/8</f>
        <v>9674.7637500000001</v>
      </c>
      <c r="AR6" s="42">
        <f>(71551.59+1016)/8</f>
        <v>9070.9487499999996</v>
      </c>
      <c r="AS6" s="42">
        <f>(78658.72+1168)/8</f>
        <v>9978.34</v>
      </c>
      <c r="AT6" s="42">
        <f>(77977.11+1066)/8</f>
        <v>9880.3887500000001</v>
      </c>
      <c r="AU6" s="42">
        <f>(64026.22+192)/8</f>
        <v>8027.2775000000001</v>
      </c>
      <c r="AV6" s="42">
        <f>(61138.5+216)/8</f>
        <v>7669.3125</v>
      </c>
      <c r="AW6" s="42">
        <f>(70786.78+1999)/8</f>
        <v>9098.2224999999999</v>
      </c>
      <c r="AX6" s="42">
        <f>(73403.92+7028)/8</f>
        <v>10053.99</v>
      </c>
      <c r="AY6" s="42">
        <f>(72852.76+7000)/8</f>
        <v>9981.5949999999993</v>
      </c>
      <c r="AZ6" s="42">
        <f>(65773.41+5336)/8</f>
        <v>8888.6762500000004</v>
      </c>
      <c r="BA6" s="42">
        <f>(56289.2+2696)/8</f>
        <v>7373.15</v>
      </c>
      <c r="BB6" s="42">
        <f>(68541.96+2540)/8</f>
        <v>8885.2450000000008</v>
      </c>
      <c r="BC6" s="42">
        <f>(75417.37+2284)/8</f>
        <v>9712.6712499999994</v>
      </c>
      <c r="BD6" s="42">
        <f>(73263.47+1748)/8</f>
        <v>9376.4337500000001</v>
      </c>
      <c r="BE6" s="42">
        <f>(82763.04+3485)/8</f>
        <v>10781.004999999999</v>
      </c>
      <c r="BF6" s="42">
        <f>75926.7/8+1512</f>
        <v>11002.8375</v>
      </c>
      <c r="BG6" s="42">
        <f>78749.44/8+903</f>
        <v>10746.68</v>
      </c>
      <c r="BH6" s="42">
        <f>87538.88/8+626.5</f>
        <v>11568.86</v>
      </c>
      <c r="BI6" s="42">
        <f>83700.77/8+400.625</f>
        <v>10863.221250000001</v>
      </c>
      <c r="BJ6" s="42">
        <f>76314.76/8+166</f>
        <v>9705.3449999999993</v>
      </c>
      <c r="BK6" s="42">
        <f>74076.09/8+141.125</f>
        <v>9400.6362499999996</v>
      </c>
      <c r="BL6" s="42">
        <f>65112.79/8+133</f>
        <v>8272.098750000001</v>
      </c>
      <c r="BM6" s="42">
        <f>45835.36/8+1175</f>
        <v>6904.42</v>
      </c>
      <c r="BN6" s="42">
        <f>61306.27/8+6546.5/8</f>
        <v>8481.5962499999987</v>
      </c>
      <c r="BO6" s="42">
        <f>71985.01/8+10444/8</f>
        <v>10303.626249999999</v>
      </c>
      <c r="BP6" s="42">
        <f>54190.69/8+15756/8</f>
        <v>8743.3362500000003</v>
      </c>
      <c r="BQ6" s="42">
        <f>64993.14/8+(21817.5+2359)/8</f>
        <v>11146.205</v>
      </c>
      <c r="BR6" s="42">
        <f t="shared" ref="BR6:BW6" si="0">BR5*25</f>
        <v>9225</v>
      </c>
      <c r="BS6" s="42">
        <f t="shared" si="0"/>
        <v>9225</v>
      </c>
      <c r="BT6" s="42">
        <f t="shared" si="0"/>
        <v>9250</v>
      </c>
      <c r="BU6" s="42">
        <f t="shared" si="0"/>
        <v>9250</v>
      </c>
      <c r="BV6" s="42">
        <f t="shared" si="0"/>
        <v>9250</v>
      </c>
      <c r="BW6" s="42">
        <f t="shared" si="0"/>
        <v>9250</v>
      </c>
    </row>
    <row r="7" spans="1:75">
      <c r="A7" s="159">
        <v>4</v>
      </c>
      <c r="B7" s="160" t="s">
        <v>406</v>
      </c>
      <c r="C7" s="161">
        <v>5</v>
      </c>
      <c r="D7" s="42">
        <v>143.5</v>
      </c>
      <c r="E7" s="42">
        <v>6.3</v>
      </c>
      <c r="F7" s="42">
        <v>401.25</v>
      </c>
      <c r="G7" s="42">
        <v>594.59500000000003</v>
      </c>
      <c r="H7" s="42">
        <v>55.575000000000003</v>
      </c>
      <c r="I7" s="42">
        <v>16.649999999999999</v>
      </c>
      <c r="J7" s="42">
        <v>72.040000000000006</v>
      </c>
      <c r="K7" s="42">
        <v>65.325000000000003</v>
      </c>
      <c r="L7" s="42">
        <v>132.96799999999999</v>
      </c>
      <c r="M7" s="42">
        <v>223.35</v>
      </c>
      <c r="N7" s="42">
        <v>585.60699999999997</v>
      </c>
      <c r="O7" s="42">
        <v>928.78</v>
      </c>
      <c r="P7" s="42">
        <v>361.69499999999999</v>
      </c>
      <c r="Q7" s="42">
        <v>731.72500000000002</v>
      </c>
      <c r="R7" s="42">
        <v>521.31500000000005</v>
      </c>
      <c r="S7" s="42">
        <v>1486.825</v>
      </c>
      <c r="T7" s="42">
        <v>978.06600000000003</v>
      </c>
      <c r="U7" s="42">
        <v>272.14999999999998</v>
      </c>
      <c r="V7" s="42">
        <v>394.5</v>
      </c>
      <c r="W7" s="42">
        <v>1058.7</v>
      </c>
      <c r="X7" s="42">
        <v>943.28250000000003</v>
      </c>
      <c r="Y7" s="42">
        <v>1130.1110000000001</v>
      </c>
      <c r="Z7" s="42">
        <v>1211.6489999999999</v>
      </c>
      <c r="AA7" s="42">
        <v>1589.798</v>
      </c>
      <c r="AB7" s="42">
        <v>841.88200000000006</v>
      </c>
      <c r="AC7" s="42">
        <v>1307.212</v>
      </c>
      <c r="AD7" s="42">
        <v>1683.5150000000001</v>
      </c>
      <c r="AE7" s="42">
        <v>1492.932</v>
      </c>
      <c r="AF7" s="42">
        <v>1903.635</v>
      </c>
      <c r="AG7" s="42">
        <v>1515.6790000000001</v>
      </c>
      <c r="AH7" s="42">
        <v>2178.2570000000001</v>
      </c>
      <c r="AI7" s="42">
        <v>2375.1289999999999</v>
      </c>
      <c r="AJ7" s="42">
        <v>2017.2435</v>
      </c>
      <c r="AK7" s="42">
        <v>2500.7440000000001</v>
      </c>
      <c r="AL7" s="42">
        <v>1739.5754999999999</v>
      </c>
      <c r="AM7" s="42">
        <v>3906.0309999999995</v>
      </c>
      <c r="AN7" s="42">
        <v>4748.3130000000001</v>
      </c>
      <c r="AO7" s="42">
        <v>2926.502</v>
      </c>
      <c r="AP7" s="42">
        <v>4896.4380000000001</v>
      </c>
      <c r="AQ7" s="42">
        <v>4526.3689999999997</v>
      </c>
      <c r="AR7" s="42">
        <v>4417.875</v>
      </c>
      <c r="AS7" s="42">
        <v>3495.0745000000002</v>
      </c>
      <c r="AT7" s="42">
        <v>1866.424</v>
      </c>
      <c r="AU7" s="42">
        <v>2192.5825</v>
      </c>
      <c r="AV7" s="42">
        <v>2799.3997000000004</v>
      </c>
      <c r="AW7" s="42">
        <v>4293.2714999999998</v>
      </c>
      <c r="AX7" s="42">
        <v>4775.3969999999999</v>
      </c>
      <c r="AY7" s="42">
        <v>3318.6421</v>
      </c>
      <c r="AZ7" s="42">
        <v>1839.731</v>
      </c>
      <c r="BA7" s="42">
        <v>2957.2660000000001</v>
      </c>
      <c r="BB7" s="42">
        <v>4821.92</v>
      </c>
      <c r="BC7" s="42">
        <v>4088.2489999999998</v>
      </c>
      <c r="BD7" s="42">
        <v>4828.9709999999995</v>
      </c>
      <c r="BE7" s="42">
        <v>4232.4530000000004</v>
      </c>
      <c r="BF7" s="42">
        <v>4561.6409999999996</v>
      </c>
      <c r="BG7" s="42">
        <v>4570.5645000000004</v>
      </c>
      <c r="BH7" s="42">
        <v>4555.5079999999998</v>
      </c>
      <c r="BI7" s="42">
        <v>3173.9180000000001</v>
      </c>
      <c r="BJ7" s="42">
        <v>2323.2629999999999</v>
      </c>
      <c r="BK7" s="42">
        <v>3552.8618000000001</v>
      </c>
      <c r="BL7" s="42">
        <v>2868.56925</v>
      </c>
      <c r="BM7" s="42">
        <v>1811.1</v>
      </c>
      <c r="BN7" s="42">
        <v>4279.4889999999996</v>
      </c>
      <c r="BO7" s="42">
        <v>4370.2853999999998</v>
      </c>
      <c r="BP7" s="42">
        <v>3592.6819999999998</v>
      </c>
      <c r="BQ7" s="42">
        <v>3923.3257999999996</v>
      </c>
      <c r="BR7" s="42">
        <v>4330</v>
      </c>
      <c r="BS7" s="42">
        <v>4370</v>
      </c>
      <c r="BT7" s="42">
        <v>4355</v>
      </c>
      <c r="BU7" s="42">
        <v>4380</v>
      </c>
      <c r="BV7" s="42">
        <v>4320</v>
      </c>
      <c r="BW7" s="42">
        <v>4370</v>
      </c>
    </row>
    <row r="8" spans="1:75">
      <c r="A8" s="159">
        <v>5</v>
      </c>
      <c r="B8" s="160" t="s">
        <v>407</v>
      </c>
      <c r="C8" s="161">
        <v>5</v>
      </c>
      <c r="D8" s="42">
        <f>'Ket qua kinh doanh'!D4</f>
        <v>76.025000000000006</v>
      </c>
      <c r="E8" s="42">
        <f>'Ket qua kinh doanh'!E4</f>
        <v>61</v>
      </c>
      <c r="F8" s="42">
        <f>'Ket qua kinh doanh'!F4</f>
        <v>303.8</v>
      </c>
      <c r="G8" s="42">
        <f>'Ket qua kinh doanh'!G4</f>
        <v>215.35</v>
      </c>
      <c r="H8" s="42">
        <f>'Ket qua kinh doanh'!H4</f>
        <v>35.93</v>
      </c>
      <c r="I8" s="42">
        <f>'Ket qua kinh doanh'!I4</f>
        <v>30.437000000000001</v>
      </c>
      <c r="J8" s="42">
        <f>'Ket qua kinh doanh'!J4</f>
        <v>87.5</v>
      </c>
      <c r="K8" s="42">
        <f>'Ket qua kinh doanh'!K4</f>
        <v>69.2</v>
      </c>
      <c r="L8" s="42">
        <f>'Ket qua kinh doanh'!L4</f>
        <v>115.5</v>
      </c>
      <c r="M8" s="42">
        <f>'Ket qua kinh doanh'!M4</f>
        <v>262.5</v>
      </c>
      <c r="N8" s="42">
        <f>'Ket qua kinh doanh'!N4</f>
        <v>284.8</v>
      </c>
      <c r="O8" s="42">
        <f>'Ket qua kinh doanh'!O4</f>
        <v>589.91999999999996</v>
      </c>
      <c r="P8" s="42">
        <f>'Ket qua kinh doanh'!P4</f>
        <v>250.8</v>
      </c>
      <c r="Q8" s="42">
        <f>'Ket qua kinh doanh'!Q4</f>
        <v>242</v>
      </c>
      <c r="R8" s="42">
        <f>'Ket qua kinh doanh'!R4</f>
        <v>710</v>
      </c>
      <c r="S8" s="42">
        <f>'Ket qua kinh doanh'!S4</f>
        <v>815.18899999999996</v>
      </c>
      <c r="T8" s="42">
        <f>'Ket qua kinh doanh'!T4</f>
        <v>578.20799999999997</v>
      </c>
      <c r="U8" s="42">
        <f>'Ket qua kinh doanh'!U4</f>
        <v>678.9</v>
      </c>
      <c r="V8" s="42">
        <f>'Ket qua kinh doanh'!V4</f>
        <v>421.5</v>
      </c>
      <c r="W8" s="42">
        <f>'Ket qua kinh doanh'!W4</f>
        <v>1104.4680000000001</v>
      </c>
      <c r="X8" s="42">
        <f>'Ket qua kinh doanh'!X4</f>
        <v>1030.32</v>
      </c>
      <c r="Y8" s="42">
        <f>'Ket qua kinh doanh'!Y4</f>
        <v>1178.2750000000001</v>
      </c>
      <c r="Z8" s="42">
        <f>'Ket qua kinh doanh'!Z4</f>
        <v>981.1</v>
      </c>
      <c r="AA8" s="42">
        <f>'Ket qua kinh doanh'!AA4</f>
        <v>1860.105</v>
      </c>
      <c r="AB8" s="42">
        <f>'Ket qua kinh doanh'!AB4</f>
        <v>651.79999999999995</v>
      </c>
      <c r="AC8" s="42">
        <f>'Ket qua kinh doanh'!AC4</f>
        <v>653.07500000000005</v>
      </c>
      <c r="AD8" s="42">
        <f>'Ket qua kinh doanh'!AD4</f>
        <v>1875.95</v>
      </c>
      <c r="AE8" s="42">
        <f>'Ket qua kinh doanh'!AE4</f>
        <v>1792.575</v>
      </c>
      <c r="AF8" s="42">
        <f>'Ket qua kinh doanh'!AF4</f>
        <v>1632.875</v>
      </c>
      <c r="AG8" s="42">
        <f>'Ket qua kinh doanh'!AG4</f>
        <v>1573.9749999999999</v>
      </c>
      <c r="AH8" s="42">
        <f>'Ket qua kinh doanh'!AH4</f>
        <v>2078.5990000000002</v>
      </c>
      <c r="AI8" s="42">
        <f>'Ket qua kinh doanh'!AI4</f>
        <v>2591.9430000000002</v>
      </c>
      <c r="AJ8" s="42">
        <f>'Ket qua kinh doanh'!AJ4</f>
        <v>2246.875</v>
      </c>
      <c r="AK8" s="42">
        <f>'Ket qua kinh doanh'!AK4</f>
        <v>3057.3470000000002</v>
      </c>
      <c r="AL8" s="42">
        <f>'Ket qua kinh doanh'!AL4</f>
        <v>2111.308</v>
      </c>
      <c r="AM8" s="42">
        <f>'Ket qua kinh doanh'!AM4</f>
        <v>2315.768</v>
      </c>
      <c r="AN8" s="42">
        <f>'Ket qua kinh doanh'!AN4</f>
        <v>3553.2</v>
      </c>
      <c r="AO8" s="42">
        <f>'Ket qua kinh doanh'!AO4</f>
        <v>2285.0509999999999</v>
      </c>
      <c r="AP8" s="42">
        <f>'Ket qua kinh doanh'!AP4</f>
        <v>2972.0680000000002</v>
      </c>
      <c r="AQ8" s="42">
        <f>'Ket qua kinh doanh'!AQ4</f>
        <v>3202.752</v>
      </c>
      <c r="AR8" s="42">
        <f>'Ket qua kinh doanh'!AR4</f>
        <v>3455.89</v>
      </c>
      <c r="AS8" s="42">
        <f>'Ket qua kinh doanh'!AS4</f>
        <v>2432.3249999999998</v>
      </c>
      <c r="AT8" s="42">
        <f>'Ket qua kinh doanh'!AT4</f>
        <v>1986.8530000000001</v>
      </c>
      <c r="AU8" s="42">
        <f>'Ket qua kinh doanh'!AU4</f>
        <v>5184.5942000000005</v>
      </c>
      <c r="AV8" s="42">
        <f>'Ket qua kinh doanh'!AV4</f>
        <v>4932.5069999999996</v>
      </c>
      <c r="AW8" s="42">
        <f>'Ket qua kinh doanh'!AW4</f>
        <v>4058.203</v>
      </c>
      <c r="AX8" s="42">
        <f>'Ket qua kinh doanh'!AX4</f>
        <v>2606.2530000000002</v>
      </c>
      <c r="AY8" s="42">
        <f>'Ket qua kinh doanh'!AY4</f>
        <v>3375.1480000000001</v>
      </c>
      <c r="AZ8" s="42">
        <f>'Ket qua kinh doanh'!AZ4</f>
        <v>3612.7512999999999</v>
      </c>
      <c r="BA8" s="42">
        <f>'Ket qua kinh doanh'!BA4</f>
        <v>6002.0379999999996</v>
      </c>
      <c r="BB8" s="42">
        <f>'Ket qua kinh doanh'!BB4</f>
        <v>4985.5379999999996</v>
      </c>
      <c r="BC8" s="42">
        <f>'Ket qua kinh doanh'!BC4</f>
        <v>4060.3609999999999</v>
      </c>
      <c r="BD8" s="42">
        <f>'Ket qua kinh doanh'!BD4</f>
        <v>4785.7602999999999</v>
      </c>
      <c r="BE8" s="42">
        <f>'Ket qua kinh doanh'!BE4</f>
        <v>3895.6950000000002</v>
      </c>
      <c r="BF8" s="42">
        <f>'Ket qua kinh doanh'!BF4</f>
        <v>4652.4191000000001</v>
      </c>
      <c r="BG8" s="42">
        <f>'Ket qua kinh doanh'!BG4</f>
        <v>5655.27</v>
      </c>
      <c r="BH8" s="42">
        <f>'Ket qua kinh doanh'!BH4</f>
        <v>3106.2919999999999</v>
      </c>
      <c r="BI8" s="42">
        <f>'Ket qua kinh doanh'!BI4</f>
        <v>3393.5369999999998</v>
      </c>
      <c r="BJ8" s="42">
        <f>'Ket qua kinh doanh'!BJ4</f>
        <v>3040.82</v>
      </c>
      <c r="BK8" s="42">
        <f>'Ket qua kinh doanh'!BK4</f>
        <v>3185.6790000000001</v>
      </c>
      <c r="BL8" s="42">
        <f>'Ket qua kinh doanh'!BL4</f>
        <v>4409.9920000000002</v>
      </c>
      <c r="BM8" s="42">
        <f>'Ket qua kinh doanh'!BM4</f>
        <v>3267.6</v>
      </c>
      <c r="BN8" s="42">
        <f>'Ket qua kinh doanh'!BN4</f>
        <v>6445.4459999999999</v>
      </c>
      <c r="BO8" s="42">
        <f>'Ket qua kinh doanh'!BO4</f>
        <v>5748.625</v>
      </c>
      <c r="BP8" s="42">
        <f>'Ket qua kinh doanh'!BP4</f>
        <v>5140.924</v>
      </c>
      <c r="BQ8" s="42">
        <f>'Ket qua kinh doanh'!BQ4</f>
        <v>4096.5715</v>
      </c>
      <c r="BR8" s="42">
        <f>'Ket qua kinh doanh'!BR4</f>
        <v>0</v>
      </c>
      <c r="BS8" s="42">
        <f>'Ket qua kinh doanh'!BS4</f>
        <v>0</v>
      </c>
      <c r="BT8" s="42">
        <f>'Ket qua kinh doanh'!BT4</f>
        <v>0</v>
      </c>
      <c r="BU8" s="42">
        <f>'Ket qua kinh doanh'!BU4</f>
        <v>0</v>
      </c>
      <c r="BV8" s="42">
        <f>'Ket qua kinh doanh'!BV4</f>
        <v>0</v>
      </c>
      <c r="BW8" s="42">
        <f>'Ket qua kinh doanh'!BW4</f>
        <v>0</v>
      </c>
    </row>
    <row r="9" spans="1:75">
      <c r="A9" s="162">
        <v>6</v>
      </c>
      <c r="B9" s="163" t="s">
        <v>408</v>
      </c>
      <c r="C9" s="164">
        <v>5</v>
      </c>
      <c r="D9" s="43">
        <f>'Ket qua kinh doanh'!D5</f>
        <v>2192940600</v>
      </c>
      <c r="E9" s="43">
        <f>'Ket qua kinh doanh'!E5</f>
        <v>1791822000</v>
      </c>
      <c r="F9" s="43">
        <f>'Ket qua kinh doanh'!F5</f>
        <v>8682084600</v>
      </c>
      <c r="G9" s="43">
        <f>'Ket qua kinh doanh'!G5</f>
        <v>6264332700</v>
      </c>
      <c r="H9" s="43">
        <f>'Ket qua kinh doanh'!H5</f>
        <v>1376973402</v>
      </c>
      <c r="I9" s="43">
        <f>'Ket qua kinh doanh'!I5</f>
        <v>904631370</v>
      </c>
      <c r="J9" s="43">
        <f>'Ket qua kinh doanh'!J5</f>
        <v>3085582842</v>
      </c>
      <c r="K9" s="43">
        <f>'Ket qua kinh doanh'!K5</f>
        <v>2036756400</v>
      </c>
      <c r="L9" s="43">
        <f>'Ket qua kinh doanh'!L5</f>
        <v>4007834643</v>
      </c>
      <c r="M9" s="43">
        <f>'Ket qua kinh doanh'!M5</f>
        <v>8372308560</v>
      </c>
      <c r="N9" s="43">
        <f>'Ket qua kinh doanh'!N5</f>
        <v>8615033640</v>
      </c>
      <c r="O9" s="43">
        <f>'Ket qua kinh doanh'!O5</f>
        <v>13231975164</v>
      </c>
      <c r="P9" s="43">
        <f>'Ket qua kinh doanh'!P5</f>
        <v>7498036216</v>
      </c>
      <c r="Q9" s="43">
        <f>'Ket qua kinh doanh'!Q5</f>
        <v>6876982200</v>
      </c>
      <c r="R9" s="43">
        <f>'Ket qua kinh doanh'!R5</f>
        <v>21877405036</v>
      </c>
      <c r="S9" s="43">
        <f>'Ket qua kinh doanh'!S5</f>
        <v>27424133378</v>
      </c>
      <c r="T9" s="43">
        <f>'Ket qua kinh doanh'!T5</f>
        <v>18350378815</v>
      </c>
      <c r="U9" s="43">
        <f>'Ket qua kinh doanh'!U5</f>
        <v>21902018748</v>
      </c>
      <c r="V9" s="43">
        <f>'Ket qua kinh doanh'!V5</f>
        <v>15882148168</v>
      </c>
      <c r="W9" s="43">
        <f>'Ket qua kinh doanh'!W5</f>
        <v>38706132850</v>
      </c>
      <c r="X9" s="43">
        <f>'Ket qua kinh doanh'!X5</f>
        <v>36809694250</v>
      </c>
      <c r="Y9" s="43">
        <f>'Ket qua kinh doanh'!Y5</f>
        <v>41577847270</v>
      </c>
      <c r="Z9" s="43">
        <f>'Ket qua kinh doanh'!Z5</f>
        <v>34741567940</v>
      </c>
      <c r="AA9" s="43">
        <f>'Ket qua kinh doanh'!AA5</f>
        <v>58684343202</v>
      </c>
      <c r="AB9" s="43">
        <f>'Ket qua kinh doanh'!AB5</f>
        <v>24985455241</v>
      </c>
      <c r="AC9" s="43">
        <f>'Ket qua kinh doanh'!AC5</f>
        <v>23042319009</v>
      </c>
      <c r="AD9" s="43">
        <f>'Ket qua kinh doanh'!AD5</f>
        <v>59212986698</v>
      </c>
      <c r="AE9" s="43">
        <f>'Ket qua kinh doanh'!AE5</f>
        <v>54287237375</v>
      </c>
      <c r="AF9" s="43">
        <f>'Ket qua kinh doanh'!AF5</f>
        <v>57641008821</v>
      </c>
      <c r="AG9" s="43">
        <f>'Ket qua kinh doanh'!AG5</f>
        <v>50922412416</v>
      </c>
      <c r="AH9" s="43">
        <f>'Ket qua kinh doanh'!AH5</f>
        <v>53533092198</v>
      </c>
      <c r="AI9" s="43">
        <f>'Ket qua kinh doanh'!AI5</f>
        <v>78282463651</v>
      </c>
      <c r="AJ9" s="43">
        <f>'Ket qua kinh doanh'!AJ5</f>
        <v>64916176630</v>
      </c>
      <c r="AK9" s="43">
        <f>'Ket qua kinh doanh'!AK5</f>
        <v>84671529098</v>
      </c>
      <c r="AL9" s="43">
        <f>'Ket qua kinh doanh'!AL5</f>
        <v>62903041444</v>
      </c>
      <c r="AM9" s="43">
        <f>'Ket qua kinh doanh'!AM5</f>
        <v>71156644730</v>
      </c>
      <c r="AN9" s="43">
        <f>'Ket qua kinh doanh'!AN5</f>
        <v>95961616736</v>
      </c>
      <c r="AO9" s="43">
        <f>'Ket qua kinh doanh'!AO5</f>
        <v>70105871996</v>
      </c>
      <c r="AP9" s="43">
        <f>'Ket qua kinh doanh'!AP5</f>
        <v>92109508133</v>
      </c>
      <c r="AQ9" s="43">
        <f>'Ket qua kinh doanh'!AQ5</f>
        <v>97489092894</v>
      </c>
      <c r="AR9" s="43">
        <f>'Ket qua kinh doanh'!AR5</f>
        <v>102501453344</v>
      </c>
      <c r="AS9" s="43">
        <f>'Ket qua kinh doanh'!AS5</f>
        <v>68093170109</v>
      </c>
      <c r="AT9" s="43">
        <f>'Ket qua kinh doanh'!AT5</f>
        <v>56451269692</v>
      </c>
      <c r="AU9" s="43">
        <f>'Ket qua kinh doanh'!AU5</f>
        <v>160372945473</v>
      </c>
      <c r="AV9" s="43">
        <f>'Ket qua kinh doanh'!AV5</f>
        <v>161501484254</v>
      </c>
      <c r="AW9" s="43">
        <f>'Ket qua kinh doanh'!AW5</f>
        <v>119734804022</v>
      </c>
      <c r="AX9" s="43">
        <f>'Ket qua kinh doanh'!AX5</f>
        <v>76175498864</v>
      </c>
      <c r="AY9" s="43">
        <f>'Ket qua kinh doanh'!AY5</f>
        <v>110890509220</v>
      </c>
      <c r="AZ9" s="43">
        <f>'Ket qua kinh doanh'!AZ5</f>
        <v>114976445897</v>
      </c>
      <c r="BA9" s="43">
        <f>'Ket qua kinh doanh'!BA5</f>
        <v>188477338235</v>
      </c>
      <c r="BB9" s="43">
        <f>'Ket qua kinh doanh'!BB5</f>
        <v>150730683132</v>
      </c>
      <c r="BC9" s="43">
        <f>'Ket qua kinh doanh'!BC5</f>
        <v>125734240353</v>
      </c>
      <c r="BD9" s="43">
        <f>'Ket qua kinh doanh'!BD5</f>
        <v>153674258114</v>
      </c>
      <c r="BE9" s="43">
        <f>'Ket qua kinh doanh'!BE5</f>
        <v>119843310993</v>
      </c>
      <c r="BF9" s="43">
        <f>'Ket qua kinh doanh'!BF5</f>
        <v>138018360641</v>
      </c>
      <c r="BG9" s="43">
        <f>'Ket qua kinh doanh'!BG5</f>
        <v>169442946928</v>
      </c>
      <c r="BH9" s="43">
        <f>'Ket qua kinh doanh'!BH5</f>
        <v>91484253567</v>
      </c>
      <c r="BI9" s="43">
        <f>'Ket qua kinh doanh'!BI5</f>
        <v>108928556660</v>
      </c>
      <c r="BJ9" s="43">
        <f>'Ket qua kinh doanh'!BJ5</f>
        <v>89826973802</v>
      </c>
      <c r="BK9" s="43">
        <f>'Ket qua kinh doanh'!BK5</f>
        <v>100861213901</v>
      </c>
      <c r="BL9" s="43">
        <f>'Ket qua kinh doanh'!BL5</f>
        <v>126786913920</v>
      </c>
      <c r="BM9" s="43">
        <f>'Ket qua kinh doanh'!BM5</f>
        <v>96600110916</v>
      </c>
      <c r="BN9" s="43">
        <f>'Ket qua kinh doanh'!BN5</f>
        <v>174261948689</v>
      </c>
      <c r="BO9" s="43">
        <f>'Ket qua kinh doanh'!BO5</f>
        <v>159143428903</v>
      </c>
      <c r="BP9" s="43">
        <f>'Ket qua kinh doanh'!BP5</f>
        <v>160987273061</v>
      </c>
      <c r="BQ9" s="43">
        <f>'Ket qua kinh doanh'!BQ5</f>
        <v>123233804019</v>
      </c>
      <c r="BR9" s="43">
        <f>'Ket qua kinh doanh'!BR5</f>
        <v>0</v>
      </c>
      <c r="BS9" s="43">
        <f>'Ket qua kinh doanh'!BS5</f>
        <v>0</v>
      </c>
      <c r="BT9" s="43">
        <f>'Ket qua kinh doanh'!BT5</f>
        <v>0</v>
      </c>
      <c r="BU9" s="43">
        <f>'Ket qua kinh doanh'!BU5</f>
        <v>0</v>
      </c>
      <c r="BV9" s="43">
        <f>'Ket qua kinh doanh'!BV5</f>
        <v>0</v>
      </c>
      <c r="BW9" s="43">
        <f>'Ket qua kinh doanh'!BW5</f>
        <v>0</v>
      </c>
    </row>
    <row r="10" spans="1:75">
      <c r="A10" s="165">
        <v>7</v>
      </c>
      <c r="B10" s="166" t="s">
        <v>409</v>
      </c>
      <c r="C10" s="167">
        <v>5</v>
      </c>
      <c r="D10" s="44">
        <f>'Ket qua kinh doanh'!D6</f>
        <v>0</v>
      </c>
      <c r="E10" s="44">
        <f>'Ket qua kinh doanh'!E6</f>
        <v>0</v>
      </c>
      <c r="F10" s="44">
        <f>'Ket qua kinh doanh'!F6</f>
        <v>0</v>
      </c>
      <c r="G10" s="44">
        <f>'Ket qua kinh doanh'!G6</f>
        <v>0</v>
      </c>
      <c r="H10" s="44">
        <f>'Ket qua kinh doanh'!H6</f>
        <v>0</v>
      </c>
      <c r="I10" s="44">
        <f>'Ket qua kinh doanh'!I6</f>
        <v>36461250</v>
      </c>
      <c r="J10" s="44">
        <f>'Ket qua kinh doanh'!J6</f>
        <v>0</v>
      </c>
      <c r="K10" s="44">
        <f>'Ket qua kinh doanh'!K6</f>
        <v>686000</v>
      </c>
      <c r="L10" s="44">
        <f>'Ket qua kinh doanh'!L6</f>
        <v>0</v>
      </c>
      <c r="M10" s="44">
        <f>'Ket qua kinh doanh'!M6</f>
        <v>0</v>
      </c>
      <c r="N10" s="44">
        <f>'Ket qua kinh doanh'!N6</f>
        <v>0</v>
      </c>
      <c r="O10" s="44">
        <f>'Ket qua kinh doanh'!O6</f>
        <v>31203900</v>
      </c>
      <c r="P10" s="44">
        <f>'Ket qua kinh doanh'!P6</f>
        <v>0</v>
      </c>
      <c r="Q10" s="44">
        <f>'Ket qua kinh doanh'!Q6</f>
        <v>765658695</v>
      </c>
      <c r="R10" s="44">
        <f>'Ket qua kinh doanh'!R6</f>
        <v>-760221195</v>
      </c>
      <c r="S10" s="44">
        <f>'Ket qua kinh doanh'!S6</f>
        <v>0</v>
      </c>
      <c r="T10" s="44">
        <f>'Ket qua kinh doanh'!T6</f>
        <v>0</v>
      </c>
      <c r="U10" s="44">
        <f>'Ket qua kinh doanh'!U6</f>
        <v>0</v>
      </c>
      <c r="V10" s="44">
        <f>'Ket qua kinh doanh'!V6</f>
        <v>3076000</v>
      </c>
      <c r="W10" s="44">
        <f>'Ket qua kinh doanh'!W6</f>
        <v>346771999</v>
      </c>
      <c r="X10" s="44">
        <f>'Ket qua kinh doanh'!X6</f>
        <v>0</v>
      </c>
      <c r="Y10" s="44">
        <f>'Ket qua kinh doanh'!Y6</f>
        <v>0</v>
      </c>
      <c r="Z10" s="44">
        <f>'Ket qua kinh doanh'!Z6</f>
        <v>43346500</v>
      </c>
      <c r="AA10" s="44">
        <f>'Ket qua kinh doanh'!AA6</f>
        <v>0</v>
      </c>
      <c r="AB10" s="44">
        <f>'Ket qua kinh doanh'!AB6</f>
        <v>0</v>
      </c>
      <c r="AC10" s="44">
        <f>'Ket qua kinh doanh'!AC6</f>
        <v>0</v>
      </c>
      <c r="AD10" s="44">
        <f>'Ket qua kinh doanh'!AD6</f>
        <v>453218</v>
      </c>
      <c r="AE10" s="44">
        <f>'Ket qua kinh doanh'!AE6</f>
        <v>195177</v>
      </c>
      <c r="AF10" s="44">
        <f>'Ket qua kinh doanh'!AF6</f>
        <v>9024000</v>
      </c>
      <c r="AG10" s="44">
        <f>'Ket qua kinh doanh'!AG6</f>
        <v>18714230</v>
      </c>
      <c r="AH10" s="44">
        <f>'Ket qua kinh doanh'!AH6</f>
        <v>6765000</v>
      </c>
      <c r="AI10" s="44">
        <f>'Ket qua kinh doanh'!AI6</f>
        <v>0</v>
      </c>
      <c r="AJ10" s="44">
        <f>'Ket qua kinh doanh'!AJ6</f>
        <v>0</v>
      </c>
      <c r="AK10" s="44">
        <f>'Ket qua kinh doanh'!AK6</f>
        <v>0</v>
      </c>
      <c r="AL10" s="44">
        <f>'Ket qua kinh doanh'!AL6</f>
        <v>0</v>
      </c>
      <c r="AM10" s="44">
        <f>'Ket qua kinh doanh'!AM6</f>
        <v>0</v>
      </c>
      <c r="AN10" s="44">
        <f>'Ket qua kinh doanh'!AN6</f>
        <v>0</v>
      </c>
      <c r="AO10" s="44">
        <f>'Ket qua kinh doanh'!AO6</f>
        <v>1166125000</v>
      </c>
      <c r="AP10" s="44">
        <f>'Ket qua kinh doanh'!AP6</f>
        <v>0</v>
      </c>
      <c r="AQ10" s="44">
        <f>'Ket qua kinh doanh'!AQ6</f>
        <v>0</v>
      </c>
      <c r="AR10" s="44">
        <f>'Ket qua kinh doanh'!AR6</f>
        <v>136455000</v>
      </c>
      <c r="AS10" s="44">
        <f>'Ket qua kinh doanh'!AS6</f>
        <v>0</v>
      </c>
      <c r="AT10" s="44">
        <f>'Ket qua kinh doanh'!AT6</f>
        <v>0</v>
      </c>
      <c r="AU10" s="44">
        <f>'Ket qua kinh doanh'!AU6</f>
        <v>6345077301</v>
      </c>
      <c r="AV10" s="44">
        <f>'Ket qua kinh doanh'!AV6</f>
        <v>4671587529</v>
      </c>
      <c r="AW10" s="44">
        <f>'Ket qua kinh doanh'!AW6</f>
        <v>2922205276</v>
      </c>
      <c r="AX10" s="44">
        <f>'Ket qua kinh doanh'!AX6</f>
        <v>49359030</v>
      </c>
      <c r="AY10" s="44">
        <f>'Ket qua kinh doanh'!AY6</f>
        <v>4680420540</v>
      </c>
      <c r="AZ10" s="44">
        <f>'Ket qua kinh doanh'!AZ6</f>
        <v>513935495</v>
      </c>
      <c r="BA10" s="44">
        <f>'Ket qua kinh doanh'!BA6</f>
        <v>477877176</v>
      </c>
      <c r="BB10" s="44">
        <f>'Ket qua kinh doanh'!BB6</f>
        <v>477350452</v>
      </c>
      <c r="BC10" s="44">
        <f>'Ket qua kinh doanh'!BC6</f>
        <v>304590498</v>
      </c>
      <c r="BD10" s="44">
        <f>'Ket qua kinh doanh'!BD6</f>
        <v>1607115262</v>
      </c>
      <c r="BE10" s="44">
        <f>'Ket qua kinh doanh'!BE6</f>
        <v>708638196</v>
      </c>
      <c r="BF10" s="44">
        <f>'Ket qua kinh doanh'!BF6</f>
        <v>26953743</v>
      </c>
      <c r="BG10" s="44">
        <f>'Ket qua kinh doanh'!BG6</f>
        <v>1000293545</v>
      </c>
      <c r="BH10" s="44">
        <f>'Ket qua kinh doanh'!BH6</f>
        <v>6773818500</v>
      </c>
      <c r="BI10" s="44">
        <f>'Ket qua kinh doanh'!BI6</f>
        <v>0</v>
      </c>
      <c r="BJ10" s="44">
        <f>'Ket qua kinh doanh'!BJ6</f>
        <v>1479093000</v>
      </c>
      <c r="BK10" s="44">
        <f>'Ket qua kinh doanh'!BK6</f>
        <v>1103092320</v>
      </c>
      <c r="BL10" s="44">
        <f>'Ket qua kinh doanh'!BL6</f>
        <v>687876997</v>
      </c>
      <c r="BM10" s="44">
        <f>'Ket qua kinh doanh'!BM6</f>
        <v>33305556</v>
      </c>
      <c r="BN10" s="44">
        <f>'Ket qua kinh doanh'!BN6</f>
        <v>956126160</v>
      </c>
      <c r="BO10" s="44">
        <f>'Ket qua kinh doanh'!BO6</f>
        <v>86574074</v>
      </c>
      <c r="BP10" s="44">
        <f>'Ket qua kinh doanh'!BP6</f>
        <v>1221964024</v>
      </c>
      <c r="BQ10" s="44">
        <f>'Ket qua kinh doanh'!BQ6</f>
        <v>249465491</v>
      </c>
      <c r="BR10" s="44">
        <f>'Ket qua kinh doanh'!BR6</f>
        <v>0</v>
      </c>
      <c r="BS10" s="44">
        <f>'Ket qua kinh doanh'!BS6</f>
        <v>0</v>
      </c>
      <c r="BT10" s="44">
        <f>'Ket qua kinh doanh'!BT6</f>
        <v>0</v>
      </c>
      <c r="BU10" s="44">
        <f>'Ket qua kinh doanh'!BU6</f>
        <v>0</v>
      </c>
      <c r="BV10" s="44">
        <f>'Ket qua kinh doanh'!BV6</f>
        <v>0</v>
      </c>
      <c r="BW10" s="44">
        <f>'Ket qua kinh doanh'!BW6</f>
        <v>0</v>
      </c>
    </row>
    <row r="11" spans="1:75">
      <c r="A11" s="165">
        <v>8</v>
      </c>
      <c r="B11" s="166" t="s">
        <v>410</v>
      </c>
      <c r="C11" s="168">
        <v>5</v>
      </c>
      <c r="D11" s="45">
        <f t="shared" ref="D11:BO11" si="1">IFERROR(D10/D9,"")</f>
        <v>0</v>
      </c>
      <c r="E11" s="45">
        <f t="shared" si="1"/>
        <v>0</v>
      </c>
      <c r="F11" s="45">
        <f t="shared" si="1"/>
        <v>0</v>
      </c>
      <c r="G11" s="45">
        <f t="shared" si="1"/>
        <v>0</v>
      </c>
      <c r="H11" s="45">
        <f t="shared" si="1"/>
        <v>0</v>
      </c>
      <c r="I11" s="45">
        <f t="shared" si="1"/>
        <v>4.0305091343449652E-2</v>
      </c>
      <c r="J11" s="45">
        <f t="shared" si="1"/>
        <v>0</v>
      </c>
      <c r="K11" s="45">
        <f t="shared" si="1"/>
        <v>3.3681003776396627E-4</v>
      </c>
      <c r="L11" s="45">
        <f t="shared" si="1"/>
        <v>0</v>
      </c>
      <c r="M11" s="45">
        <f t="shared" si="1"/>
        <v>0</v>
      </c>
      <c r="N11" s="45">
        <f t="shared" si="1"/>
        <v>0</v>
      </c>
      <c r="O11" s="45">
        <f t="shared" si="1"/>
        <v>2.3582193597896026E-3</v>
      </c>
      <c r="P11" s="45">
        <f t="shared" si="1"/>
        <v>0</v>
      </c>
      <c r="Q11" s="45">
        <f t="shared" si="1"/>
        <v>0.11133643693304891</v>
      </c>
      <c r="R11" s="45">
        <f t="shared" si="1"/>
        <v>-3.4749148436436159E-2</v>
      </c>
      <c r="S11" s="45">
        <f t="shared" si="1"/>
        <v>0</v>
      </c>
      <c r="T11" s="45">
        <f t="shared" si="1"/>
        <v>0</v>
      </c>
      <c r="U11" s="45">
        <f t="shared" si="1"/>
        <v>0</v>
      </c>
      <c r="V11" s="45">
        <f t="shared" si="1"/>
        <v>1.9367657117049509E-4</v>
      </c>
      <c r="W11" s="45">
        <f t="shared" si="1"/>
        <v>8.9590970078014392E-3</v>
      </c>
      <c r="X11" s="45">
        <f t="shared" si="1"/>
        <v>0</v>
      </c>
      <c r="Y11" s="45">
        <f t="shared" si="1"/>
        <v>0</v>
      </c>
      <c r="Z11" s="45">
        <f t="shared" si="1"/>
        <v>1.2476840445100532E-3</v>
      </c>
      <c r="AA11" s="45">
        <f t="shared" si="1"/>
        <v>0</v>
      </c>
      <c r="AB11" s="45">
        <f t="shared" si="1"/>
        <v>0</v>
      </c>
      <c r="AC11" s="45">
        <f t="shared" si="1"/>
        <v>0</v>
      </c>
      <c r="AD11" s="45">
        <f t="shared" si="1"/>
        <v>7.654030395587326E-6</v>
      </c>
      <c r="AE11" s="45">
        <f t="shared" si="1"/>
        <v>3.595264917457038E-6</v>
      </c>
      <c r="AF11" s="45">
        <f t="shared" si="1"/>
        <v>1.5655520582617458E-4</v>
      </c>
      <c r="AG11" s="45">
        <f t="shared" si="1"/>
        <v>3.6750478054963328E-4</v>
      </c>
      <c r="AH11" s="45">
        <f t="shared" si="1"/>
        <v>1.2637043223617E-4</v>
      </c>
      <c r="AI11" s="45">
        <f t="shared" si="1"/>
        <v>0</v>
      </c>
      <c r="AJ11" s="45">
        <f t="shared" si="1"/>
        <v>0</v>
      </c>
      <c r="AK11" s="45">
        <f t="shared" si="1"/>
        <v>0</v>
      </c>
      <c r="AL11" s="45">
        <f t="shared" si="1"/>
        <v>0</v>
      </c>
      <c r="AM11" s="45">
        <f t="shared" si="1"/>
        <v>0</v>
      </c>
      <c r="AN11" s="45">
        <f t="shared" si="1"/>
        <v>0</v>
      </c>
      <c r="AO11" s="45">
        <f t="shared" si="1"/>
        <v>1.6633770707060531E-2</v>
      </c>
      <c r="AP11" s="45">
        <f t="shared" si="1"/>
        <v>0</v>
      </c>
      <c r="AQ11" s="45">
        <f t="shared" si="1"/>
        <v>0</v>
      </c>
      <c r="AR11" s="45">
        <f t="shared" si="1"/>
        <v>1.3312494169429013E-3</v>
      </c>
      <c r="AS11" s="45">
        <f t="shared" si="1"/>
        <v>0</v>
      </c>
      <c r="AT11" s="45">
        <f t="shared" si="1"/>
        <v>0</v>
      </c>
      <c r="AU11" s="45">
        <f t="shared" si="1"/>
        <v>3.9564511846346566E-2</v>
      </c>
      <c r="AV11" s="45">
        <f t="shared" si="1"/>
        <v>2.8925972727611611E-2</v>
      </c>
      <c r="AW11" s="45">
        <f t="shared" si="1"/>
        <v>2.4405646293646381E-2</v>
      </c>
      <c r="AX11" s="45">
        <f t="shared" si="1"/>
        <v>6.4796464396148148E-4</v>
      </c>
      <c r="AY11" s="45">
        <f t="shared" si="1"/>
        <v>4.2207584516672489E-2</v>
      </c>
      <c r="AZ11" s="45">
        <f t="shared" si="1"/>
        <v>4.4699198256693525E-3</v>
      </c>
      <c r="BA11" s="45">
        <f t="shared" si="1"/>
        <v>2.5354622496003543E-3</v>
      </c>
      <c r="BB11" s="45">
        <f t="shared" si="1"/>
        <v>3.1669096303502315E-3</v>
      </c>
      <c r="BC11" s="45">
        <f t="shared" si="1"/>
        <v>2.4224944386259419E-3</v>
      </c>
      <c r="BD11" s="45">
        <f t="shared" si="1"/>
        <v>1.0457934085536925E-2</v>
      </c>
      <c r="BE11" s="45">
        <f t="shared" si="1"/>
        <v>5.9130392020076217E-3</v>
      </c>
      <c r="BF11" s="45">
        <f t="shared" si="1"/>
        <v>1.9529099516048788E-4</v>
      </c>
      <c r="BG11" s="45">
        <f t="shared" si="1"/>
        <v>5.9034239142750893E-3</v>
      </c>
      <c r="BH11" s="45">
        <f t="shared" si="1"/>
        <v>7.4043545592674939E-2</v>
      </c>
      <c r="BI11" s="45">
        <f t="shared" si="1"/>
        <v>0</v>
      </c>
      <c r="BJ11" s="45">
        <f t="shared" si="1"/>
        <v>1.6466022814709005E-2</v>
      </c>
      <c r="BK11" s="45">
        <f t="shared" si="1"/>
        <v>1.0936734521981233E-2</v>
      </c>
      <c r="BL11" s="45">
        <f t="shared" si="1"/>
        <v>5.4254573735743467E-3</v>
      </c>
      <c r="BM11" s="45">
        <f t="shared" si="1"/>
        <v>3.4477761654912924E-4</v>
      </c>
      <c r="BN11" s="45">
        <f t="shared" si="1"/>
        <v>5.4867179392465611E-3</v>
      </c>
      <c r="BO11" s="45">
        <f t="shared" si="1"/>
        <v>5.4400030586728169E-4</v>
      </c>
      <c r="BP11" s="45">
        <f t="shared" ref="BP11:BV11" si="2">IFERROR(BP10/BP9,"")</f>
        <v>7.5904386773293763E-3</v>
      </c>
      <c r="BQ11" s="45">
        <f t="shared" si="2"/>
        <v>2.0243267907362316E-3</v>
      </c>
      <c r="BR11" s="45" t="str">
        <f t="shared" si="2"/>
        <v/>
      </c>
      <c r="BS11" s="45" t="str">
        <f t="shared" si="2"/>
        <v/>
      </c>
      <c r="BT11" s="45" t="str">
        <f t="shared" si="2"/>
        <v/>
      </c>
      <c r="BU11" s="45" t="str">
        <f t="shared" si="2"/>
        <v/>
      </c>
      <c r="BV11" s="45" t="str">
        <f t="shared" si="2"/>
        <v/>
      </c>
      <c r="BW11" s="45" t="str">
        <f t="shared" ref="BW11" si="3">IFERROR(BW10/BW9,"")</f>
        <v/>
      </c>
    </row>
    <row r="12" spans="1:75">
      <c r="A12" s="162">
        <v>9</v>
      </c>
      <c r="B12" s="163" t="s">
        <v>411</v>
      </c>
      <c r="C12" s="169">
        <v>5</v>
      </c>
      <c r="D12" s="46">
        <f>'Ket qua kinh doanh'!D7</f>
        <v>2192940600</v>
      </c>
      <c r="E12" s="46">
        <f>'Ket qua kinh doanh'!E7</f>
        <v>1791822000</v>
      </c>
      <c r="F12" s="46">
        <f>'Ket qua kinh doanh'!F7</f>
        <v>8682084600</v>
      </c>
      <c r="G12" s="46">
        <f>'Ket qua kinh doanh'!G7</f>
        <v>6264332700</v>
      </c>
      <c r="H12" s="46">
        <f>'Ket qua kinh doanh'!H7</f>
        <v>1376973402</v>
      </c>
      <c r="I12" s="46">
        <f>'Ket qua kinh doanh'!I7</f>
        <v>868170120</v>
      </c>
      <c r="J12" s="46">
        <f>'Ket qua kinh doanh'!J7</f>
        <v>3085582842</v>
      </c>
      <c r="K12" s="46">
        <f>'Ket qua kinh doanh'!K7</f>
        <v>2036070400</v>
      </c>
      <c r="L12" s="46">
        <f>'Ket qua kinh doanh'!L7</f>
        <v>4007834643</v>
      </c>
      <c r="M12" s="46">
        <f>'Ket qua kinh doanh'!M7</f>
        <v>8372308560</v>
      </c>
      <c r="N12" s="46">
        <f>'Ket qua kinh doanh'!N7</f>
        <v>8615033640</v>
      </c>
      <c r="O12" s="46">
        <f>'Ket qua kinh doanh'!O7</f>
        <v>13200771264</v>
      </c>
      <c r="P12" s="46">
        <f>'Ket qua kinh doanh'!P7</f>
        <v>7498036216</v>
      </c>
      <c r="Q12" s="46">
        <f>'Ket qua kinh doanh'!Q7</f>
        <v>6111323505</v>
      </c>
      <c r="R12" s="46">
        <f>'Ket qua kinh doanh'!R7</f>
        <v>22637626231</v>
      </c>
      <c r="S12" s="46">
        <f>'Ket qua kinh doanh'!S7</f>
        <v>27424133378</v>
      </c>
      <c r="T12" s="46">
        <f>'Ket qua kinh doanh'!T7</f>
        <v>18350378815</v>
      </c>
      <c r="U12" s="46">
        <f>'Ket qua kinh doanh'!U7</f>
        <v>21902018748</v>
      </c>
      <c r="V12" s="46">
        <f>'Ket qua kinh doanh'!V7</f>
        <v>15879072168</v>
      </c>
      <c r="W12" s="46">
        <f>'Ket qua kinh doanh'!W7</f>
        <v>38359360851</v>
      </c>
      <c r="X12" s="46">
        <f>'Ket qua kinh doanh'!X7</f>
        <v>36809694250</v>
      </c>
      <c r="Y12" s="46">
        <f>'Ket qua kinh doanh'!Y7</f>
        <v>41577847270</v>
      </c>
      <c r="Z12" s="46">
        <f>'Ket qua kinh doanh'!Z7</f>
        <v>34698221440</v>
      </c>
      <c r="AA12" s="46">
        <f>'Ket qua kinh doanh'!AA7</f>
        <v>58684343202</v>
      </c>
      <c r="AB12" s="46">
        <f>'Ket qua kinh doanh'!AB7</f>
        <v>24985455241</v>
      </c>
      <c r="AC12" s="46">
        <f>'Ket qua kinh doanh'!AC7</f>
        <v>23042319009</v>
      </c>
      <c r="AD12" s="46">
        <f>'Ket qua kinh doanh'!AD7</f>
        <v>59212533480</v>
      </c>
      <c r="AE12" s="46">
        <f>'Ket qua kinh doanh'!AE7</f>
        <v>54287042198</v>
      </c>
      <c r="AF12" s="46">
        <f>'Ket qua kinh doanh'!AF7</f>
        <v>57631984821</v>
      </c>
      <c r="AG12" s="46">
        <f>'Ket qua kinh doanh'!AG7</f>
        <v>50903698186</v>
      </c>
      <c r="AH12" s="46">
        <f>'Ket qua kinh doanh'!AH7</f>
        <v>53526327198</v>
      </c>
      <c r="AI12" s="46">
        <f>'Ket qua kinh doanh'!AI7</f>
        <v>78282463651</v>
      </c>
      <c r="AJ12" s="46">
        <f>'Ket qua kinh doanh'!AJ7</f>
        <v>64916176630</v>
      </c>
      <c r="AK12" s="46">
        <f>'Ket qua kinh doanh'!AK7</f>
        <v>84671529098</v>
      </c>
      <c r="AL12" s="46">
        <f>'Ket qua kinh doanh'!AL7</f>
        <v>62903041444</v>
      </c>
      <c r="AM12" s="46">
        <f>'Ket qua kinh doanh'!AM7</f>
        <v>71156644730</v>
      </c>
      <c r="AN12" s="46">
        <f>'Ket qua kinh doanh'!AN7</f>
        <v>95961616736</v>
      </c>
      <c r="AO12" s="46">
        <f>'Ket qua kinh doanh'!AO7</f>
        <v>68939746996</v>
      </c>
      <c r="AP12" s="46">
        <f>'Ket qua kinh doanh'!AP7</f>
        <v>92109508133</v>
      </c>
      <c r="AQ12" s="46">
        <f>'Ket qua kinh doanh'!AQ7</f>
        <v>97489092894</v>
      </c>
      <c r="AR12" s="46">
        <f>'Ket qua kinh doanh'!AR7</f>
        <v>102364998344</v>
      </c>
      <c r="AS12" s="46">
        <f>'Ket qua kinh doanh'!AS7</f>
        <v>68093170109</v>
      </c>
      <c r="AT12" s="46">
        <f>'Ket qua kinh doanh'!AT7</f>
        <v>56451269692</v>
      </c>
      <c r="AU12" s="46">
        <f>'Ket qua kinh doanh'!AU7</f>
        <v>154027868172</v>
      </c>
      <c r="AV12" s="46">
        <f>'Ket qua kinh doanh'!AV7</f>
        <v>156829896725</v>
      </c>
      <c r="AW12" s="46">
        <f>'Ket qua kinh doanh'!AW7</f>
        <v>116812598746</v>
      </c>
      <c r="AX12" s="46">
        <f>'Ket qua kinh doanh'!AX7</f>
        <v>76126139834</v>
      </c>
      <c r="AY12" s="46">
        <f>'Ket qua kinh doanh'!AY7</f>
        <v>106210088680</v>
      </c>
      <c r="AZ12" s="46">
        <f>'Ket qua kinh doanh'!AZ7</f>
        <v>114462510402</v>
      </c>
      <c r="BA12" s="46">
        <f>'Ket qua kinh doanh'!BA7</f>
        <v>187999461059</v>
      </c>
      <c r="BB12" s="46">
        <f>'Ket qua kinh doanh'!BB7</f>
        <v>150253332680</v>
      </c>
      <c r="BC12" s="46">
        <f>'Ket qua kinh doanh'!BC7</f>
        <v>125429649855</v>
      </c>
      <c r="BD12" s="46">
        <f>'Ket qua kinh doanh'!BD7</f>
        <v>152067142852</v>
      </c>
      <c r="BE12" s="46">
        <f>'Ket qua kinh doanh'!BE7</f>
        <v>119134672797</v>
      </c>
      <c r="BF12" s="46">
        <f>'Ket qua kinh doanh'!BF7</f>
        <v>137991406898</v>
      </c>
      <c r="BG12" s="46">
        <f>'Ket qua kinh doanh'!BG7</f>
        <v>168442653383</v>
      </c>
      <c r="BH12" s="46">
        <f>'Ket qua kinh doanh'!BH7</f>
        <v>84710435067</v>
      </c>
      <c r="BI12" s="46">
        <f>'Ket qua kinh doanh'!BI7</f>
        <v>108928556660</v>
      </c>
      <c r="BJ12" s="46">
        <f>'Ket qua kinh doanh'!BJ7</f>
        <v>88347880802</v>
      </c>
      <c r="BK12" s="46">
        <f>'Ket qua kinh doanh'!BK7</f>
        <v>99758121581</v>
      </c>
      <c r="BL12" s="46">
        <f>'Ket qua kinh doanh'!BL7</f>
        <v>126099036923</v>
      </c>
      <c r="BM12" s="46">
        <f>'Ket qua kinh doanh'!BM7</f>
        <v>96566805360</v>
      </c>
      <c r="BN12" s="46">
        <f>'Ket qua kinh doanh'!BN7</f>
        <v>173305822529</v>
      </c>
      <c r="BO12" s="46">
        <f>'Ket qua kinh doanh'!BO7</f>
        <v>159056854829</v>
      </c>
      <c r="BP12" s="46">
        <f>'Ket qua kinh doanh'!BP7</f>
        <v>159765309037</v>
      </c>
      <c r="BQ12" s="46">
        <f>'Ket qua kinh doanh'!BQ7</f>
        <v>122984338528</v>
      </c>
      <c r="BR12" s="46">
        <f>'Ket qua kinh doanh'!BR7</f>
        <v>0</v>
      </c>
      <c r="BS12" s="46">
        <f>'Ket qua kinh doanh'!BS7</f>
        <v>0</v>
      </c>
      <c r="BT12" s="46">
        <f>'Ket qua kinh doanh'!BT7</f>
        <v>0</v>
      </c>
      <c r="BU12" s="46">
        <f>'Ket qua kinh doanh'!BU7</f>
        <v>0</v>
      </c>
      <c r="BV12" s="46">
        <f>'Ket qua kinh doanh'!BV7</f>
        <v>0</v>
      </c>
      <c r="BW12" s="46">
        <f>'Ket qua kinh doanh'!BW7</f>
        <v>0</v>
      </c>
    </row>
    <row r="13" spans="1:75">
      <c r="A13" s="159">
        <v>10</v>
      </c>
      <c r="B13" s="160" t="s">
        <v>412</v>
      </c>
      <c r="C13" s="170">
        <v>5</v>
      </c>
      <c r="D13" s="47"/>
      <c r="E13" s="47"/>
      <c r="F13" s="47"/>
      <c r="G13" s="47"/>
      <c r="H13" s="47"/>
      <c r="I13" s="47"/>
      <c r="J13" s="47">
        <v>1565002839.9999998</v>
      </c>
      <c r="K13" s="47"/>
      <c r="L13" s="47">
        <v>3171201468</v>
      </c>
      <c r="M13" s="47">
        <v>1724405760</v>
      </c>
      <c r="N13" s="47">
        <v>562542840</v>
      </c>
      <c r="O13" s="47">
        <v>41598200</v>
      </c>
      <c r="P13" s="47">
        <v>958635216.00000012</v>
      </c>
      <c r="Q13" s="47"/>
      <c r="R13" s="47">
        <v>11929826920</v>
      </c>
      <c r="S13" s="47">
        <v>16404010878</v>
      </c>
      <c r="T13" s="47">
        <v>7072995327</v>
      </c>
      <c r="U13" s="47"/>
      <c r="V13" s="47">
        <v>2831788168</v>
      </c>
      <c r="W13" s="47">
        <v>19826369667</v>
      </c>
      <c r="X13" s="47">
        <v>22484131750</v>
      </c>
      <c r="Y13" s="47">
        <v>21393176414</v>
      </c>
      <c r="Z13" s="47">
        <v>21596604480</v>
      </c>
      <c r="AA13" s="47">
        <v>23781690308</v>
      </c>
      <c r="AB13" s="47">
        <v>2479049880</v>
      </c>
      <c r="AC13" s="47">
        <v>3609604457</v>
      </c>
      <c r="AD13" s="47">
        <v>37595076600</v>
      </c>
      <c r="AE13" s="47">
        <v>29456556360</v>
      </c>
      <c r="AF13" s="47">
        <v>26283736380</v>
      </c>
      <c r="AG13" s="47">
        <v>27479663252</v>
      </c>
      <c r="AH13" s="47">
        <v>25404248364</v>
      </c>
      <c r="AI13" s="47">
        <v>47904326195</v>
      </c>
      <c r="AJ13" s="47">
        <v>29877627364</v>
      </c>
      <c r="AK13" s="47">
        <v>44283082518</v>
      </c>
      <c r="AL13" s="47">
        <v>35579672480</v>
      </c>
      <c r="AM13" s="47">
        <v>29587999550</v>
      </c>
      <c r="AN13" s="47">
        <v>63344586092</v>
      </c>
      <c r="AO13" s="47">
        <v>30529252055</v>
      </c>
      <c r="AP13" s="47">
        <v>56313461950</v>
      </c>
      <c r="AQ13" s="47">
        <v>70145350000</v>
      </c>
      <c r="AR13" s="47">
        <v>31248110080</v>
      </c>
      <c r="AS13" s="47">
        <v>7753736540</v>
      </c>
      <c r="AT13" s="47">
        <v>32497915104</v>
      </c>
      <c r="AU13" s="47">
        <v>100596695257</v>
      </c>
      <c r="AV13" s="47">
        <v>108890762068</v>
      </c>
      <c r="AW13" s="47">
        <v>64644001972</v>
      </c>
      <c r="AX13" s="47">
        <v>19227811548</v>
      </c>
      <c r="AY13" s="47">
        <v>38250151385</v>
      </c>
      <c r="AZ13" s="47">
        <v>82123174705</v>
      </c>
      <c r="BA13" s="47">
        <v>127754884829</v>
      </c>
      <c r="BB13" s="47">
        <v>103667980875</v>
      </c>
      <c r="BC13" s="47">
        <v>89699052245</v>
      </c>
      <c r="BD13" s="47">
        <v>114824058990</v>
      </c>
      <c r="BE13" s="47">
        <v>70054412500</v>
      </c>
      <c r="BF13" s="47">
        <v>88123126474</v>
      </c>
      <c r="BG13" s="47">
        <v>94069028914</v>
      </c>
      <c r="BH13" s="47">
        <v>24953975916</v>
      </c>
      <c r="BI13" s="47">
        <v>27056388040</v>
      </c>
      <c r="BJ13" s="47">
        <v>21625208400</v>
      </c>
      <c r="BK13" s="47">
        <v>29216515900</v>
      </c>
      <c r="BL13" s="47">
        <v>70701288516</v>
      </c>
      <c r="BM13" s="47">
        <v>58540341826</v>
      </c>
      <c r="BN13" s="47">
        <v>80759624796</v>
      </c>
      <c r="BO13" s="47">
        <v>67176948835</v>
      </c>
      <c r="BP13" s="47">
        <v>87346708460</v>
      </c>
      <c r="BQ13" s="47">
        <v>55103643980</v>
      </c>
      <c r="BR13" s="47"/>
      <c r="BS13" s="47"/>
      <c r="BT13" s="47"/>
      <c r="BU13" s="47"/>
      <c r="BV13" s="47"/>
      <c r="BW13" s="47"/>
    </row>
    <row r="14" spans="1:75">
      <c r="A14" s="159">
        <v>11</v>
      </c>
      <c r="B14" s="160" t="s">
        <v>413</v>
      </c>
      <c r="C14" s="170">
        <v>5</v>
      </c>
      <c r="D14" s="47">
        <v>2192940600</v>
      </c>
      <c r="E14" s="47">
        <v>1791822000</v>
      </c>
      <c r="F14" s="47">
        <v>8682084600</v>
      </c>
      <c r="G14" s="47">
        <v>6264332700</v>
      </c>
      <c r="H14" s="47">
        <v>1376973402</v>
      </c>
      <c r="I14" s="47">
        <v>868170120</v>
      </c>
      <c r="J14" s="47">
        <v>1520580002</v>
      </c>
      <c r="K14" s="47">
        <v>2036070400</v>
      </c>
      <c r="L14" s="47">
        <v>836633175</v>
      </c>
      <c r="M14" s="47">
        <v>6647902800</v>
      </c>
      <c r="N14" s="47">
        <v>8052490800</v>
      </c>
      <c r="O14" s="47">
        <v>13159173064</v>
      </c>
      <c r="P14" s="47">
        <v>6539401000</v>
      </c>
      <c r="Q14" s="47">
        <v>6111323505</v>
      </c>
      <c r="R14" s="47">
        <v>10707799311</v>
      </c>
      <c r="S14" s="47">
        <v>11020122500</v>
      </c>
      <c r="T14" s="47">
        <v>11277383488</v>
      </c>
      <c r="U14" s="47">
        <v>21902018748</v>
      </c>
      <c r="V14" s="47">
        <v>13047284000</v>
      </c>
      <c r="W14" s="47">
        <v>18532991184</v>
      </c>
      <c r="X14" s="47">
        <v>14325562500</v>
      </c>
      <c r="Y14" s="47">
        <v>20184670856</v>
      </c>
      <c r="Z14" s="47">
        <v>13101616960</v>
      </c>
      <c r="AA14" s="47">
        <v>34902652894</v>
      </c>
      <c r="AB14" s="47">
        <v>19262445283</v>
      </c>
      <c r="AC14" s="47">
        <v>19432714552</v>
      </c>
      <c r="AD14" s="47">
        <v>20865880088</v>
      </c>
      <c r="AE14" s="47">
        <v>24825865709</v>
      </c>
      <c r="AF14" s="47">
        <v>29838480952</v>
      </c>
      <c r="AG14" s="47">
        <v>23424034934</v>
      </c>
      <c r="AH14" s="47">
        <v>28122078834</v>
      </c>
      <c r="AI14" s="47">
        <v>29691984359</v>
      </c>
      <c r="AJ14" s="47">
        <v>33527791121</v>
      </c>
      <c r="AK14" s="47">
        <v>39340877301</v>
      </c>
      <c r="AL14" s="47">
        <v>27323222678</v>
      </c>
      <c r="AM14" s="47">
        <v>38991019669</v>
      </c>
      <c r="AN14" s="47">
        <v>32448806844</v>
      </c>
      <c r="AO14" s="47">
        <v>37393809660</v>
      </c>
      <c r="AP14" s="47">
        <v>35796046183</v>
      </c>
      <c r="AQ14" s="47">
        <v>27343742894</v>
      </c>
      <c r="AR14" s="47">
        <v>71116888264</v>
      </c>
      <c r="AS14" s="47">
        <v>59753433569</v>
      </c>
      <c r="AT14" s="47">
        <v>23953354588</v>
      </c>
      <c r="AU14" s="47">
        <v>53431172915</v>
      </c>
      <c r="AV14" s="47">
        <v>36477023972</v>
      </c>
      <c r="AW14" s="47">
        <v>52168596774</v>
      </c>
      <c r="AX14" s="47">
        <v>51176103667</v>
      </c>
      <c r="AY14" s="47">
        <v>53140632881</v>
      </c>
      <c r="AZ14" s="47">
        <v>32339335697</v>
      </c>
      <c r="BA14" s="47">
        <v>60244576230</v>
      </c>
      <c r="BB14" s="47">
        <v>46405979203</v>
      </c>
      <c r="BC14" s="47">
        <v>35730597610</v>
      </c>
      <c r="BD14" s="47">
        <v>37243083862</v>
      </c>
      <c r="BE14" s="47">
        <v>49080260297</v>
      </c>
      <c r="BF14" s="47">
        <v>49868280424</v>
      </c>
      <c r="BG14" s="47">
        <v>74191430822</v>
      </c>
      <c r="BH14" s="47">
        <v>58338102351</v>
      </c>
      <c r="BI14" s="47">
        <v>72117222220</v>
      </c>
      <c r="BJ14" s="47">
        <v>63327421201</v>
      </c>
      <c r="BK14" s="47">
        <v>62246318181</v>
      </c>
      <c r="BL14" s="47">
        <v>55230863407</v>
      </c>
      <c r="BM14" s="47">
        <v>37446516644</v>
      </c>
      <c r="BN14" s="47">
        <v>91465682733.000031</v>
      </c>
      <c r="BO14" s="47">
        <v>91879905994</v>
      </c>
      <c r="BP14" s="47">
        <v>70741575322</v>
      </c>
      <c r="BQ14" s="47">
        <v>65566810268</v>
      </c>
      <c r="BR14" s="47"/>
      <c r="BS14" s="47"/>
      <c r="BT14" s="47"/>
      <c r="BU14" s="47"/>
      <c r="BV14" s="47"/>
      <c r="BW14" s="47"/>
    </row>
    <row r="15" spans="1:75">
      <c r="A15" s="159">
        <v>12</v>
      </c>
      <c r="B15" s="160" t="s">
        <v>414</v>
      </c>
      <c r="C15" s="170">
        <v>5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>
        <v>3243960078</v>
      </c>
      <c r="AC15" s="47"/>
      <c r="AD15" s="47">
        <v>751576792</v>
      </c>
      <c r="AE15" s="47">
        <v>4620129</v>
      </c>
      <c r="AF15" s="47">
        <v>1509767489</v>
      </c>
      <c r="AG15" s="47"/>
      <c r="AH15" s="47"/>
      <c r="AI15" s="47">
        <v>686153097</v>
      </c>
      <c r="AJ15" s="47">
        <v>1510758145</v>
      </c>
      <c r="AK15" s="47">
        <v>1047569279</v>
      </c>
      <c r="AL15" s="47">
        <v>146286</v>
      </c>
      <c r="AM15" s="47">
        <v>2577625511</v>
      </c>
      <c r="AN15" s="47">
        <v>168223800</v>
      </c>
      <c r="AO15" s="47">
        <v>1016685281</v>
      </c>
      <c r="AP15" s="47"/>
      <c r="AQ15" s="47"/>
      <c r="AR15" s="47"/>
      <c r="AS15" s="47">
        <v>586000000</v>
      </c>
      <c r="AT15" s="47"/>
      <c r="AU15" s="47"/>
      <c r="AV15" s="47">
        <v>11462110685</v>
      </c>
      <c r="AW15" s="47"/>
      <c r="AX15" s="47">
        <v>5722224619</v>
      </c>
      <c r="AY15" s="47">
        <v>14819304414</v>
      </c>
      <c r="AZ15" s="47"/>
      <c r="BA15" s="47"/>
      <c r="BB15" s="47">
        <v>179372602</v>
      </c>
      <c r="BC15" s="47"/>
      <c r="BD15" s="47"/>
      <c r="BE15" s="47"/>
      <c r="BF15" s="47"/>
      <c r="BG15" s="47">
        <v>182193647</v>
      </c>
      <c r="BH15" s="47">
        <v>1418356800</v>
      </c>
      <c r="BI15" s="47">
        <v>9754946400</v>
      </c>
      <c r="BJ15" s="47">
        <v>3395251201</v>
      </c>
      <c r="BK15" s="47">
        <v>8295287500</v>
      </c>
      <c r="BL15" s="47">
        <v>166885000</v>
      </c>
      <c r="BM15" s="47">
        <v>579946890</v>
      </c>
      <c r="BN15" s="47">
        <v>1080515000</v>
      </c>
      <c r="BO15" s="47">
        <v>0</v>
      </c>
      <c r="BP15" s="47">
        <v>1677025255</v>
      </c>
      <c r="BQ15" s="47">
        <v>2313884280</v>
      </c>
      <c r="BR15" s="47"/>
      <c r="BS15" s="47"/>
      <c r="BT15" s="47"/>
      <c r="BU15" s="47"/>
      <c r="BV15" s="47"/>
      <c r="BW15" s="47"/>
    </row>
    <row r="16" spans="1:75">
      <c r="A16" s="162">
        <v>13</v>
      </c>
      <c r="B16" s="163" t="s">
        <v>415</v>
      </c>
      <c r="C16" s="164">
        <v>5</v>
      </c>
      <c r="D16" s="43">
        <f>'Ket qua kinh doanh'!D8</f>
        <v>1714389259</v>
      </c>
      <c r="E16" s="43">
        <f>'Ket qua kinh doanh'!E8</f>
        <v>1513381552</v>
      </c>
      <c r="F16" s="43">
        <f>'Ket qua kinh doanh'!F8</f>
        <v>6687623393</v>
      </c>
      <c r="G16" s="43">
        <f>'Ket qua kinh doanh'!G8</f>
        <v>4774057263</v>
      </c>
      <c r="H16" s="43">
        <f>'Ket qua kinh doanh'!H8</f>
        <v>1087102095</v>
      </c>
      <c r="I16" s="43">
        <f>'Ket qua kinh doanh'!I8</f>
        <v>807656278</v>
      </c>
      <c r="J16" s="43">
        <f>'Ket qua kinh doanh'!J8</f>
        <v>2716172489</v>
      </c>
      <c r="K16" s="43">
        <f>'Ket qua kinh doanh'!K8</f>
        <v>4315716140</v>
      </c>
      <c r="L16" s="43">
        <f>'Ket qua kinh doanh'!L8</f>
        <v>4265960659</v>
      </c>
      <c r="M16" s="43">
        <f>'Ket qua kinh doanh'!M8</f>
        <v>7443114351</v>
      </c>
      <c r="N16" s="43">
        <f>'Ket qua kinh doanh'!N8</f>
        <v>7773986301</v>
      </c>
      <c r="O16" s="43">
        <f>'Ket qua kinh doanh'!O8</f>
        <v>12188974942</v>
      </c>
      <c r="P16" s="43">
        <f>'Ket qua kinh doanh'!P8</f>
        <v>6843552810</v>
      </c>
      <c r="Q16" s="43">
        <f>'Ket qua kinh doanh'!Q8</f>
        <v>6912963718</v>
      </c>
      <c r="R16" s="43">
        <f>'Ket qua kinh doanh'!R8</f>
        <v>19836366360</v>
      </c>
      <c r="S16" s="43">
        <f>'Ket qua kinh doanh'!S8</f>
        <v>21907875072</v>
      </c>
      <c r="T16" s="43">
        <f>'Ket qua kinh doanh'!T8</f>
        <v>15580244606</v>
      </c>
      <c r="U16" s="43">
        <f>'Ket qua kinh doanh'!U8</f>
        <v>18312738285</v>
      </c>
      <c r="V16" s="43">
        <f>'Ket qua kinh doanh'!V8</f>
        <v>12006617281</v>
      </c>
      <c r="W16" s="43">
        <f>'Ket qua kinh doanh'!W8</f>
        <v>32529935445</v>
      </c>
      <c r="X16" s="43">
        <f>'Ket qua kinh doanh'!X8</f>
        <v>32281385317</v>
      </c>
      <c r="Y16" s="43">
        <f>'Ket qua kinh doanh'!Y8</f>
        <v>38377094489</v>
      </c>
      <c r="Z16" s="43">
        <f>'Ket qua kinh doanh'!Z8</f>
        <v>30963456194</v>
      </c>
      <c r="AA16" s="43">
        <f>'Ket qua kinh doanh'!AA8</f>
        <v>64348987323</v>
      </c>
      <c r="AB16" s="43">
        <f>'Ket qua kinh doanh'!AB8</f>
        <v>20792367485</v>
      </c>
      <c r="AC16" s="43">
        <f>'Ket qua kinh doanh'!AC8</f>
        <v>21918378947</v>
      </c>
      <c r="AD16" s="43">
        <f>'Ket qua kinh doanh'!AD8</f>
        <v>61251223688</v>
      </c>
      <c r="AE16" s="43">
        <f>'Ket qua kinh doanh'!AE8</f>
        <v>53942190282</v>
      </c>
      <c r="AF16" s="43">
        <f>'Ket qua kinh doanh'!AF8</f>
        <v>50245648463</v>
      </c>
      <c r="AG16" s="43">
        <f>'Ket qua kinh doanh'!AG8</f>
        <v>7904131770</v>
      </c>
      <c r="AH16" s="43">
        <f>'Ket qua kinh doanh'!AH8</f>
        <v>44797235508</v>
      </c>
      <c r="AI16" s="43">
        <f>'Ket qua kinh doanh'!AI8</f>
        <v>62222051344</v>
      </c>
      <c r="AJ16" s="43">
        <f>'Ket qua kinh doanh'!AJ8</f>
        <v>37728980820</v>
      </c>
      <c r="AK16" s="43">
        <f>'Ket qua kinh doanh'!AK8</f>
        <v>61940025172</v>
      </c>
      <c r="AL16" s="43">
        <f>'Ket qua kinh doanh'!AL8</f>
        <v>49113504898</v>
      </c>
      <c r="AM16" s="43">
        <f>'Ket qua kinh doanh'!AM8</f>
        <v>46738804301</v>
      </c>
      <c r="AN16" s="43">
        <f>'Ket qua kinh doanh'!AN8</f>
        <v>85841765176</v>
      </c>
      <c r="AO16" s="43">
        <f>'Ket qua kinh doanh'!AO8</f>
        <v>68748321616</v>
      </c>
      <c r="AP16" s="43">
        <f>'Ket qua kinh doanh'!AP8</f>
        <v>86824377307</v>
      </c>
      <c r="AQ16" s="43">
        <f>'Ket qua kinh doanh'!AQ8</f>
        <v>85475594862</v>
      </c>
      <c r="AR16" s="43">
        <f>'Ket qua kinh doanh'!AR8</f>
        <v>99208228636</v>
      </c>
      <c r="AS16" s="43">
        <f>'Ket qua kinh doanh'!AS8</f>
        <v>69795611979</v>
      </c>
      <c r="AT16" s="43">
        <f>'Ket qua kinh doanh'!AT8</f>
        <v>61217801757</v>
      </c>
      <c r="AU16" s="43">
        <f>'Ket qua kinh doanh'!AU8</f>
        <v>147970813832</v>
      </c>
      <c r="AV16" s="43">
        <f>'Ket qua kinh doanh'!AV8</f>
        <v>132769623597</v>
      </c>
      <c r="AW16" s="43">
        <f>'Ket qua kinh doanh'!AW8</f>
        <v>112138441893</v>
      </c>
      <c r="AX16" s="43">
        <f>'Ket qua kinh doanh'!AX8</f>
        <v>70998442117</v>
      </c>
      <c r="AY16" s="43">
        <f>'Ket qua kinh doanh'!AY8</f>
        <v>-22758768790</v>
      </c>
      <c r="AZ16" s="43">
        <f>'Ket qua kinh doanh'!AZ8</f>
        <v>96299447936</v>
      </c>
      <c r="BA16" s="43">
        <f>'Ket qua kinh doanh'!BA8</f>
        <v>154570631505</v>
      </c>
      <c r="BB16" s="43">
        <f>'Ket qua kinh doanh'!BB8</f>
        <v>129509315823</v>
      </c>
      <c r="BC16" s="43">
        <f>'Ket qua kinh doanh'!BC8</f>
        <v>109641808151</v>
      </c>
      <c r="BD16" s="43">
        <f>'Ket qua kinh doanh'!BD8</f>
        <v>129906078108</v>
      </c>
      <c r="BE16" s="43">
        <f>'Ket qua kinh doanh'!BE8</f>
        <v>105463649620</v>
      </c>
      <c r="BF16" s="43">
        <f>'Ket qua kinh doanh'!BF8</f>
        <v>128673842020</v>
      </c>
      <c r="BG16" s="43">
        <f>'Ket qua kinh doanh'!BG8</f>
        <v>155101842643</v>
      </c>
      <c r="BH16" s="43">
        <f>'Ket qua kinh doanh'!BH8</f>
        <v>83113314505</v>
      </c>
      <c r="BI16" s="43">
        <f>'Ket qua kinh doanh'!BI8</f>
        <v>99966937216</v>
      </c>
      <c r="BJ16" s="43">
        <f>'Ket qua kinh doanh'!BJ8</f>
        <v>80940600844</v>
      </c>
      <c r="BK16" s="43">
        <f>'Ket qua kinh doanh'!BK8</f>
        <v>70308328665</v>
      </c>
      <c r="BL16" s="43">
        <f>'Ket qua kinh doanh'!BL8</f>
        <v>115080112871</v>
      </c>
      <c r="BM16" s="43">
        <f>'Ket qua kinh doanh'!BM8</f>
        <v>90411470461</v>
      </c>
      <c r="BN16" s="43">
        <f>'Ket qua kinh doanh'!BN8</f>
        <v>165844739865</v>
      </c>
      <c r="BO16" s="43">
        <f>'Ket qua kinh doanh'!BO8</f>
        <v>141086003219</v>
      </c>
      <c r="BP16" s="43">
        <f>'Ket qua kinh doanh'!BP8</f>
        <v>137580032058</v>
      </c>
      <c r="BQ16" s="43">
        <f>'Ket qua kinh doanh'!BQ8</f>
        <v>103435583559</v>
      </c>
      <c r="BR16" s="43">
        <f>'Ket qua kinh doanh'!BR8</f>
        <v>0</v>
      </c>
      <c r="BS16" s="43">
        <f>'Ket qua kinh doanh'!BS8</f>
        <v>0</v>
      </c>
      <c r="BT16" s="43">
        <f>'Ket qua kinh doanh'!BT8</f>
        <v>0</v>
      </c>
      <c r="BU16" s="43">
        <f>'Ket qua kinh doanh'!BU8</f>
        <v>0</v>
      </c>
      <c r="BV16" s="43">
        <f>'Ket qua kinh doanh'!BV8</f>
        <v>0</v>
      </c>
      <c r="BW16" s="43">
        <f>'Ket qua kinh doanh'!BW8</f>
        <v>0</v>
      </c>
    </row>
    <row r="17" spans="1:75">
      <c r="A17" s="159">
        <v>14</v>
      </c>
      <c r="B17" s="160" t="s">
        <v>416</v>
      </c>
      <c r="C17" s="170">
        <v>5</v>
      </c>
      <c r="D17" s="47">
        <v>1335462230</v>
      </c>
      <c r="E17" s="47">
        <v>1100171617</v>
      </c>
      <c r="F17" s="47">
        <v>5428955599.000001</v>
      </c>
      <c r="G17" s="47">
        <v>4023435285</v>
      </c>
      <c r="H17" s="47">
        <v>815341780</v>
      </c>
      <c r="I17" s="47">
        <v>598982261</v>
      </c>
      <c r="J17" s="47">
        <v>1874000096</v>
      </c>
      <c r="K17" s="47">
        <v>1610503873</v>
      </c>
      <c r="L17" s="47">
        <v>2001200102</v>
      </c>
      <c r="M17" s="47">
        <v>4808057117.999999</v>
      </c>
      <c r="N17" s="47">
        <v>5243968954</v>
      </c>
      <c r="O17" s="47">
        <v>8624095661</v>
      </c>
      <c r="P17" s="47">
        <v>4688648728.999999</v>
      </c>
      <c r="Q17" s="47">
        <v>4883077358.999999</v>
      </c>
      <c r="R17" s="47">
        <v>13018532434.999994</v>
      </c>
      <c r="S17" s="47">
        <v>14890677012.000006</v>
      </c>
      <c r="T17" s="47">
        <v>11569124917.000002</v>
      </c>
      <c r="U17" s="47">
        <v>14006662338.000004</v>
      </c>
      <c r="V17" s="47">
        <v>9014161423.0000019</v>
      </c>
      <c r="W17" s="47">
        <v>25172907755</v>
      </c>
      <c r="X17" s="47">
        <v>24293886393.999992</v>
      </c>
      <c r="Y17" s="47">
        <v>28879667840</v>
      </c>
      <c r="Z17" s="47">
        <v>23412215101.999996</v>
      </c>
      <c r="AA17" s="47">
        <v>41898753715.999992</v>
      </c>
      <c r="AB17" s="47">
        <v>15044260765</v>
      </c>
      <c r="AC17" s="47">
        <v>15420601264.000006</v>
      </c>
      <c r="AD17" s="47">
        <v>42612790788.110512</v>
      </c>
      <c r="AE17" s="47">
        <v>40323079341</v>
      </c>
      <c r="AF17" s="47">
        <v>36176657214.000008</v>
      </c>
      <c r="AG17" s="47">
        <v>33311875335</v>
      </c>
      <c r="AH17" s="47">
        <v>32963245257.999985</v>
      </c>
      <c r="AI17" s="47">
        <v>47082274331.999977</v>
      </c>
      <c r="AJ17" s="47">
        <v>31621692448.000011</v>
      </c>
      <c r="AK17" s="47">
        <v>50971560002</v>
      </c>
      <c r="AL17" s="47">
        <v>39716696696.000031</v>
      </c>
      <c r="AM17" s="47">
        <v>35942902226.962967</v>
      </c>
      <c r="AN17" s="47">
        <v>59329689662.037117</v>
      </c>
      <c r="AO17" s="47">
        <v>44670723974</v>
      </c>
      <c r="AP17" s="47">
        <v>55370087445.000031</v>
      </c>
      <c r="AQ17" s="47">
        <v>58899111953.000015</v>
      </c>
      <c r="AR17" s="47">
        <v>68236506182.000015</v>
      </c>
      <c r="AS17" s="47">
        <v>46389174439.000008</v>
      </c>
      <c r="AT17" s="47">
        <v>40923610688.000031</v>
      </c>
      <c r="AU17" s="47">
        <v>103236605964.00002</v>
      </c>
      <c r="AV17" s="47">
        <v>96300506935.999939</v>
      </c>
      <c r="AW17" s="47">
        <v>77607107093.000031</v>
      </c>
      <c r="AX17" s="47">
        <v>45879463528.000008</v>
      </c>
      <c r="AY17" s="47">
        <v>58103730049.584564</v>
      </c>
      <c r="AZ17" s="591">
        <v>68796884647.529724</v>
      </c>
      <c r="BA17" s="591">
        <v>111905147364.12549</v>
      </c>
      <c r="BB17" s="591">
        <v>97269270443.999847</v>
      </c>
      <c r="BC17" s="591">
        <v>81914954577.000046</v>
      </c>
      <c r="BD17" s="591">
        <v>99659140441.457138</v>
      </c>
      <c r="BE17" s="591">
        <v>80913808007.503586</v>
      </c>
      <c r="BF17" s="591">
        <v>98173728942.837891</v>
      </c>
      <c r="BG17" s="591">
        <v>115502869134.16882</v>
      </c>
      <c r="BH17" s="591">
        <v>64318802066.984695</v>
      </c>
      <c r="BI17" s="591">
        <v>68470780095.370407</v>
      </c>
      <c r="BJ17" s="591">
        <v>55445170437.000031</v>
      </c>
      <c r="BK17" s="591">
        <v>60268501087.177734</v>
      </c>
      <c r="BL17" s="591">
        <v>83983009604.104111</v>
      </c>
      <c r="BM17" s="591">
        <v>60775497877.000183</v>
      </c>
      <c r="BN17" s="591">
        <v>119945885406.99994</v>
      </c>
      <c r="BO17" s="591">
        <v>103179960100.00037</v>
      </c>
      <c r="BP17" s="591">
        <v>101143751202.99995</v>
      </c>
      <c r="BQ17" s="591">
        <v>80691247680.346222</v>
      </c>
      <c r="BR17" s="47"/>
      <c r="BS17" s="47"/>
      <c r="BT17" s="47"/>
      <c r="BU17" s="47"/>
      <c r="BV17" s="47"/>
      <c r="BW17" s="47"/>
    </row>
    <row r="18" spans="1:75">
      <c r="A18" s="159">
        <v>15</v>
      </c>
      <c r="B18" s="160" t="s">
        <v>417</v>
      </c>
      <c r="C18" s="170">
        <v>5</v>
      </c>
      <c r="D18" s="47">
        <v>156627680</v>
      </c>
      <c r="E18" s="47">
        <v>123441040</v>
      </c>
      <c r="F18" s="47">
        <v>412966480</v>
      </c>
      <c r="G18" s="47">
        <v>517445700</v>
      </c>
      <c r="H18" s="47">
        <v>718108900</v>
      </c>
      <c r="I18" s="47">
        <v>262650700</v>
      </c>
      <c r="J18" s="47">
        <v>148944800</v>
      </c>
      <c r="K18" s="47">
        <v>10780540</v>
      </c>
      <c r="L18" s="47">
        <v>58623344</v>
      </c>
      <c r="M18" s="47">
        <v>625378100</v>
      </c>
      <c r="N18" s="47">
        <v>973143200</v>
      </c>
      <c r="O18" s="47">
        <v>1275765400</v>
      </c>
      <c r="P18" s="47">
        <v>764348700</v>
      </c>
      <c r="Q18" s="47">
        <v>918736000</v>
      </c>
      <c r="R18" s="47">
        <v>1329497700</v>
      </c>
      <c r="S18" s="47">
        <v>1219505413</v>
      </c>
      <c r="T18" s="47">
        <v>1216448338</v>
      </c>
      <c r="U18" s="47">
        <v>1462149517</v>
      </c>
      <c r="V18" s="47">
        <v>795008195</v>
      </c>
      <c r="W18" s="47">
        <v>1535140703</v>
      </c>
      <c r="X18" s="47">
        <v>1435953013</v>
      </c>
      <c r="Y18" s="47">
        <v>1873431409</v>
      </c>
      <c r="Z18" s="47">
        <v>1963980465</v>
      </c>
      <c r="AA18" s="47">
        <v>2211262181</v>
      </c>
      <c r="AB18" s="47">
        <v>1355018086</v>
      </c>
      <c r="AC18" s="47">
        <v>2184511341</v>
      </c>
      <c r="AD18" s="47">
        <v>2532392502</v>
      </c>
      <c r="AE18" s="47">
        <v>2346418202</v>
      </c>
      <c r="AF18" s="47">
        <v>2741505017</v>
      </c>
      <c r="AG18" s="47">
        <v>2611066232</v>
      </c>
      <c r="AH18" s="47">
        <v>3058566325</v>
      </c>
      <c r="AI18" s="47">
        <v>2900952505</v>
      </c>
      <c r="AJ18" s="47">
        <v>2872676716</v>
      </c>
      <c r="AK18" s="47">
        <v>3275286978</v>
      </c>
      <c r="AL18" s="47">
        <v>2752729463</v>
      </c>
      <c r="AM18" s="47">
        <v>5162033083</v>
      </c>
      <c r="AN18" s="47">
        <v>5457667459</v>
      </c>
      <c r="AO18" s="47">
        <v>4115002140</v>
      </c>
      <c r="AP18" s="47">
        <v>5069779794</v>
      </c>
      <c r="AQ18" s="47">
        <v>5488644404</v>
      </c>
      <c r="AR18" s="47">
        <v>5922960272</v>
      </c>
      <c r="AS18" s="47">
        <v>4771803237</v>
      </c>
      <c r="AT18" s="47">
        <v>2990887219</v>
      </c>
      <c r="AU18" s="47">
        <v>3465068093</v>
      </c>
      <c r="AV18" s="47">
        <v>4603448776</v>
      </c>
      <c r="AW18" s="47">
        <v>5484150759</v>
      </c>
      <c r="AX18" s="47">
        <v>6348864220</v>
      </c>
      <c r="AY18" s="47">
        <v>4848607138</v>
      </c>
      <c r="AZ18" s="591">
        <v>3115586041</v>
      </c>
      <c r="BA18" s="591">
        <v>4131446442</v>
      </c>
      <c r="BB18" s="591">
        <v>6471627635</v>
      </c>
      <c r="BC18" s="591">
        <v>6106208552</v>
      </c>
      <c r="BD18" s="591">
        <v>6534087601</v>
      </c>
      <c r="BE18" s="591">
        <v>6331091846</v>
      </c>
      <c r="BF18" s="591">
        <v>7033711933</v>
      </c>
      <c r="BG18" s="591">
        <v>7206770412</v>
      </c>
      <c r="BH18" s="591">
        <v>6987173251</v>
      </c>
      <c r="BI18" s="591">
        <v>6199135410</v>
      </c>
      <c r="BJ18" s="591">
        <v>4260435206</v>
      </c>
      <c r="BK18" s="591">
        <v>4839388132</v>
      </c>
      <c r="BL18" s="591">
        <v>4027863724</v>
      </c>
      <c r="BM18" s="591">
        <v>2451956924</v>
      </c>
      <c r="BN18" s="591">
        <v>5626303966</v>
      </c>
      <c r="BO18" s="591">
        <v>5649277552</v>
      </c>
      <c r="BP18" s="591">
        <v>5769165884</v>
      </c>
      <c r="BQ18" s="591">
        <v>5993483706</v>
      </c>
      <c r="BR18" s="47"/>
      <c r="BS18" s="47"/>
      <c r="BT18" s="47"/>
      <c r="BU18" s="47"/>
      <c r="BV18" s="47"/>
      <c r="BW18" s="47"/>
    </row>
    <row r="19" spans="1:75">
      <c r="A19" s="159">
        <v>16</v>
      </c>
      <c r="B19" s="160" t="s">
        <v>418</v>
      </c>
      <c r="C19" s="170">
        <v>5</v>
      </c>
      <c r="D19" s="47">
        <v>88344298</v>
      </c>
      <c r="E19" s="47">
        <v>69407193</v>
      </c>
      <c r="F19" s="47">
        <v>150950574</v>
      </c>
      <c r="G19" s="47">
        <v>225599069</v>
      </c>
      <c r="H19" s="47">
        <v>171656768</v>
      </c>
      <c r="I19" s="47">
        <v>79414565</v>
      </c>
      <c r="J19" s="47">
        <v>16692234</v>
      </c>
      <c r="K19" s="47">
        <v>4803553</v>
      </c>
      <c r="L19" s="47">
        <v>24271415</v>
      </c>
      <c r="M19" s="47">
        <v>104264540</v>
      </c>
      <c r="N19" s="47">
        <v>226025719</v>
      </c>
      <c r="O19" s="47">
        <v>274045574</v>
      </c>
      <c r="P19" s="47">
        <v>260192396</v>
      </c>
      <c r="Q19" s="47">
        <v>163465180</v>
      </c>
      <c r="R19" s="47">
        <v>322918735</v>
      </c>
      <c r="S19" s="47">
        <v>436007030</v>
      </c>
      <c r="T19" s="47">
        <v>450569631</v>
      </c>
      <c r="U19" s="47">
        <v>436955042</v>
      </c>
      <c r="V19" s="47">
        <v>419168707</v>
      </c>
      <c r="W19" s="47">
        <v>492953645</v>
      </c>
      <c r="X19" s="47">
        <v>395768394</v>
      </c>
      <c r="Y19" s="47">
        <v>411656250</v>
      </c>
      <c r="Z19" s="47">
        <v>480156064</v>
      </c>
      <c r="AA19" s="47">
        <v>490263759</v>
      </c>
      <c r="AB19" s="47">
        <v>427098515</v>
      </c>
      <c r="AC19" s="47">
        <v>508872106</v>
      </c>
      <c r="AD19" s="47">
        <v>553201961</v>
      </c>
      <c r="AE19" s="47">
        <v>656112484</v>
      </c>
      <c r="AF19" s="47">
        <v>602230623</v>
      </c>
      <c r="AG19" s="47">
        <v>719731134</v>
      </c>
      <c r="AH19" s="47">
        <v>635105547</v>
      </c>
      <c r="AI19" s="47">
        <v>611105374</v>
      </c>
      <c r="AJ19" s="47">
        <v>598938802</v>
      </c>
      <c r="AK19" s="47">
        <v>639221127</v>
      </c>
      <c r="AL19" s="47">
        <v>666088378</v>
      </c>
      <c r="AM19" s="47">
        <v>686330877</v>
      </c>
      <c r="AN19" s="47">
        <v>673524358</v>
      </c>
      <c r="AO19" s="47">
        <v>445330075</v>
      </c>
      <c r="AP19" s="47">
        <v>646654899</v>
      </c>
      <c r="AQ19" s="47">
        <v>1789160297</v>
      </c>
      <c r="AR19" s="47">
        <v>743322765</v>
      </c>
      <c r="AS19" s="47">
        <v>710659695</v>
      </c>
      <c r="AT19" s="47">
        <v>562555746</v>
      </c>
      <c r="AU19" s="47">
        <v>273359738</v>
      </c>
      <c r="AV19" s="47">
        <v>293591517</v>
      </c>
      <c r="AW19" s="47">
        <v>342226346</v>
      </c>
      <c r="AX19" s="47">
        <v>357205652</v>
      </c>
      <c r="AY19" s="47">
        <v>352714337</v>
      </c>
      <c r="AZ19" s="593">
        <v>326525959</v>
      </c>
      <c r="BA19" s="593">
        <v>301395737</v>
      </c>
      <c r="BB19" s="593">
        <v>353064382</v>
      </c>
      <c r="BC19" s="593">
        <v>367893640</v>
      </c>
      <c r="BD19" s="593">
        <v>583268535</v>
      </c>
      <c r="BE19" s="593">
        <v>409683221</v>
      </c>
      <c r="BF19" s="593">
        <v>382580514</v>
      </c>
      <c r="BG19" s="593">
        <v>409675223</v>
      </c>
      <c r="BH19" s="593">
        <v>681336938</v>
      </c>
      <c r="BI19" s="593">
        <v>434513561</v>
      </c>
      <c r="BJ19" s="593">
        <v>359300470</v>
      </c>
      <c r="BK19" s="593">
        <v>371608824</v>
      </c>
      <c r="BL19" s="593">
        <v>368816619</v>
      </c>
      <c r="BM19" s="593">
        <v>248754636</v>
      </c>
      <c r="BN19" s="593">
        <v>337308264</v>
      </c>
      <c r="BO19" s="593">
        <v>499755909</v>
      </c>
      <c r="BP19" s="593">
        <v>354846806</v>
      </c>
      <c r="BQ19" s="593">
        <v>356194902</v>
      </c>
      <c r="BR19" s="47"/>
      <c r="BS19" s="47"/>
      <c r="BT19" s="47"/>
      <c r="BU19" s="47"/>
      <c r="BV19" s="47"/>
      <c r="BW19" s="47"/>
    </row>
    <row r="20" spans="1:75">
      <c r="A20" s="159">
        <v>17</v>
      </c>
      <c r="B20" s="160" t="s">
        <v>419</v>
      </c>
      <c r="C20" s="170">
        <v>5</v>
      </c>
      <c r="D20" s="47">
        <v>205648140</v>
      </c>
      <c r="E20" s="47">
        <v>144640458</v>
      </c>
      <c r="F20" s="47">
        <v>243953823</v>
      </c>
      <c r="G20" s="47">
        <v>396949513</v>
      </c>
      <c r="H20" s="47">
        <v>440213945</v>
      </c>
      <c r="I20" s="47">
        <v>392466633</v>
      </c>
      <c r="J20" s="47">
        <v>253396354</v>
      </c>
      <c r="K20" s="47">
        <v>21069411</v>
      </c>
      <c r="L20" s="47">
        <v>81379352</v>
      </c>
      <c r="M20" s="47">
        <v>279832354</v>
      </c>
      <c r="N20" s="47">
        <v>362401317</v>
      </c>
      <c r="O20" s="47">
        <v>370356039</v>
      </c>
      <c r="P20" s="47">
        <v>449913332</v>
      </c>
      <c r="Q20" s="47">
        <v>449153283</v>
      </c>
      <c r="R20" s="47">
        <v>599451718</v>
      </c>
      <c r="S20" s="47">
        <v>733736993</v>
      </c>
      <c r="T20" s="47">
        <v>788227455</v>
      </c>
      <c r="U20" s="47">
        <v>798770387</v>
      </c>
      <c r="V20" s="47">
        <v>757942604</v>
      </c>
      <c r="W20" s="47">
        <v>888582571</v>
      </c>
      <c r="X20" s="47">
        <v>854790958</v>
      </c>
      <c r="Y20" s="47">
        <v>889776959</v>
      </c>
      <c r="Z20" s="47">
        <v>1018741903</v>
      </c>
      <c r="AA20" s="47">
        <v>987143314</v>
      </c>
      <c r="AB20" s="47">
        <v>1123011506</v>
      </c>
      <c r="AC20" s="47">
        <v>1103017967</v>
      </c>
      <c r="AD20" s="47">
        <v>1223026257</v>
      </c>
      <c r="AE20" s="47">
        <v>1424203159</v>
      </c>
      <c r="AF20" s="47">
        <v>1434209805</v>
      </c>
      <c r="AG20" s="47">
        <v>1464873517</v>
      </c>
      <c r="AH20" s="47">
        <v>1349605858</v>
      </c>
      <c r="AI20" s="47">
        <v>1727671683</v>
      </c>
      <c r="AJ20" s="47">
        <v>1383979548</v>
      </c>
      <c r="AK20" s="47">
        <v>1310202934</v>
      </c>
      <c r="AL20" s="47">
        <v>1547779076</v>
      </c>
      <c r="AM20" s="47">
        <v>1793228298</v>
      </c>
      <c r="AN20" s="47">
        <v>1708507014</v>
      </c>
      <c r="AO20" s="47">
        <v>1230497207</v>
      </c>
      <c r="AP20" s="47">
        <v>1379015197</v>
      </c>
      <c r="AQ20" s="47">
        <v>521248356</v>
      </c>
      <c r="AR20" s="47">
        <v>1657709643</v>
      </c>
      <c r="AS20" s="47">
        <v>1580786853</v>
      </c>
      <c r="AT20" s="47">
        <v>1552872520</v>
      </c>
      <c r="AU20" s="47">
        <v>1840092100</v>
      </c>
      <c r="AV20" s="47">
        <v>1842453925</v>
      </c>
      <c r="AW20" s="47">
        <v>2033072895</v>
      </c>
      <c r="AX20" s="47">
        <v>2081813555</v>
      </c>
      <c r="AY20" s="47">
        <v>2664027703</v>
      </c>
      <c r="AZ20" s="593">
        <v>2102841120</v>
      </c>
      <c r="BA20" s="593">
        <v>2139570280</v>
      </c>
      <c r="BB20" s="593">
        <v>2143336877</v>
      </c>
      <c r="BC20" s="593">
        <v>2211173874</v>
      </c>
      <c r="BD20" s="593">
        <v>2328020395</v>
      </c>
      <c r="BE20" s="593">
        <v>2570077869</v>
      </c>
      <c r="BF20" s="593">
        <v>3450671363</v>
      </c>
      <c r="BG20" s="593">
        <v>2893137111</v>
      </c>
      <c r="BH20" s="593">
        <v>3075521247</v>
      </c>
      <c r="BI20" s="593">
        <v>2805457512</v>
      </c>
      <c r="BJ20" s="593">
        <v>2486851728</v>
      </c>
      <c r="BK20" s="593">
        <v>2339162817</v>
      </c>
      <c r="BL20" s="593">
        <v>2314962109</v>
      </c>
      <c r="BM20" s="593">
        <v>1839461214</v>
      </c>
      <c r="BN20" s="593">
        <v>2152019625</v>
      </c>
      <c r="BO20" s="593">
        <v>2463187426</v>
      </c>
      <c r="BP20" s="593">
        <v>2407536723</v>
      </c>
      <c r="BQ20" s="593">
        <v>2905054575</v>
      </c>
      <c r="BR20" s="47"/>
      <c r="BS20" s="47"/>
      <c r="BT20" s="47"/>
      <c r="BU20" s="47"/>
      <c r="BV20" s="47"/>
      <c r="BW20" s="47"/>
    </row>
    <row r="21" spans="1:75">
      <c r="A21" s="159">
        <v>18</v>
      </c>
      <c r="B21" s="160" t="s">
        <v>420</v>
      </c>
      <c r="C21" s="170">
        <v>5</v>
      </c>
      <c r="D21" s="47">
        <v>74318415</v>
      </c>
      <c r="E21" s="47">
        <v>80043551</v>
      </c>
      <c r="F21" s="47">
        <v>41179638</v>
      </c>
      <c r="G21" s="47">
        <v>240980293</v>
      </c>
      <c r="H21" s="47">
        <v>99038507</v>
      </c>
      <c r="I21" s="47">
        <v>238327137</v>
      </c>
      <c r="J21" s="47">
        <v>142355538</v>
      </c>
      <c r="K21" s="47">
        <v>24836730</v>
      </c>
      <c r="L21" s="47">
        <v>96644907</v>
      </c>
      <c r="M21" s="47">
        <v>191156822</v>
      </c>
      <c r="N21" s="47">
        <v>360031717</v>
      </c>
      <c r="O21" s="47">
        <v>448286510</v>
      </c>
      <c r="P21" s="47">
        <v>441553950</v>
      </c>
      <c r="Q21" s="47">
        <v>505220427</v>
      </c>
      <c r="R21" s="47">
        <v>566793450</v>
      </c>
      <c r="S21" s="47">
        <v>666415873</v>
      </c>
      <c r="T21" s="47">
        <v>616408488</v>
      </c>
      <c r="U21" s="47">
        <v>765798897</v>
      </c>
      <c r="V21" s="47">
        <v>697046551</v>
      </c>
      <c r="W21" s="47">
        <v>768334202</v>
      </c>
      <c r="X21" s="47">
        <v>1217685257</v>
      </c>
      <c r="Y21" s="47">
        <v>1228140106</v>
      </c>
      <c r="Z21" s="47">
        <v>1353302498</v>
      </c>
      <c r="AA21" s="47">
        <v>1410798664</v>
      </c>
      <c r="AB21" s="47">
        <v>1670004778</v>
      </c>
      <c r="AC21" s="47">
        <v>1550399267</v>
      </c>
      <c r="AD21" s="47">
        <v>1672975749</v>
      </c>
      <c r="AE21" s="47">
        <v>1827159329</v>
      </c>
      <c r="AF21" s="47">
        <v>1741656036</v>
      </c>
      <c r="AG21" s="47">
        <v>1905504355</v>
      </c>
      <c r="AH21" s="47">
        <v>2038144071</v>
      </c>
      <c r="AI21" s="47">
        <v>2199642727</v>
      </c>
      <c r="AJ21" s="47">
        <v>2260973394</v>
      </c>
      <c r="AK21" s="47">
        <v>2253964543</v>
      </c>
      <c r="AL21" s="47">
        <v>2325300381</v>
      </c>
      <c r="AM21" s="47">
        <v>2193318272</v>
      </c>
      <c r="AN21" s="47">
        <v>2782213759</v>
      </c>
      <c r="AO21" s="47">
        <v>2629007193</v>
      </c>
      <c r="AP21" s="47">
        <v>2770751785</v>
      </c>
      <c r="AQ21" s="47">
        <v>3041632252</v>
      </c>
      <c r="AR21" s="47">
        <v>3141804002</v>
      </c>
      <c r="AS21" s="47">
        <v>3245971482</v>
      </c>
      <c r="AT21" s="47">
        <v>3110331141</v>
      </c>
      <c r="AU21" s="47">
        <v>3202665604</v>
      </c>
      <c r="AV21" s="47">
        <v>3369907026</v>
      </c>
      <c r="AW21" s="47">
        <v>3488049090</v>
      </c>
      <c r="AX21" s="47">
        <v>3537619794</v>
      </c>
      <c r="AY21" s="47">
        <v>3622850142</v>
      </c>
      <c r="AZ21" s="593">
        <v>3862569957</v>
      </c>
      <c r="BA21" s="593">
        <v>3594333014</v>
      </c>
      <c r="BB21" s="593">
        <v>3676490698</v>
      </c>
      <c r="BC21" s="593">
        <v>4144437406</v>
      </c>
      <c r="BD21" s="593">
        <v>4051343169</v>
      </c>
      <c r="BE21" s="593">
        <v>4168433618</v>
      </c>
      <c r="BF21" s="593">
        <v>4155409281</v>
      </c>
      <c r="BG21" s="593">
        <v>4177314711</v>
      </c>
      <c r="BH21" s="593">
        <v>4406134044</v>
      </c>
      <c r="BI21" s="593">
        <v>4029385993</v>
      </c>
      <c r="BJ21" s="593">
        <v>3859104703</v>
      </c>
      <c r="BK21" s="593">
        <v>3914832620</v>
      </c>
      <c r="BL21" s="593">
        <v>4079461212</v>
      </c>
      <c r="BM21" s="593">
        <v>3772730095</v>
      </c>
      <c r="BN21" s="593">
        <v>3815553479</v>
      </c>
      <c r="BO21" s="593">
        <v>4321000559</v>
      </c>
      <c r="BP21" s="593">
        <v>4083134231</v>
      </c>
      <c r="BQ21" s="593">
        <v>4388477142</v>
      </c>
      <c r="BR21" s="47"/>
      <c r="BS21" s="47"/>
      <c r="BT21" s="47"/>
      <c r="BU21" s="47"/>
      <c r="BV21" s="47"/>
      <c r="BW21" s="47"/>
    </row>
    <row r="22" spans="1:75">
      <c r="A22" s="159">
        <v>19</v>
      </c>
      <c r="B22" s="160" t="s">
        <v>421</v>
      </c>
      <c r="C22" s="170">
        <v>5</v>
      </c>
      <c r="D22" s="47">
        <v>62978043</v>
      </c>
      <c r="E22" s="47">
        <v>51125608</v>
      </c>
      <c r="F22" s="47">
        <v>70071925</v>
      </c>
      <c r="G22" s="47">
        <v>37147068</v>
      </c>
      <c r="H22" s="47">
        <v>91031227</v>
      </c>
      <c r="I22" s="47">
        <v>115369489</v>
      </c>
      <c r="J22" s="47">
        <v>90145749</v>
      </c>
      <c r="K22" s="47">
        <v>25113028</v>
      </c>
      <c r="L22" s="47">
        <v>78834267</v>
      </c>
      <c r="M22" s="47">
        <v>110186492</v>
      </c>
      <c r="N22" s="47">
        <v>113759380</v>
      </c>
      <c r="O22" s="47">
        <v>137094808</v>
      </c>
      <c r="P22" s="47">
        <v>166370390</v>
      </c>
      <c r="Q22" s="47">
        <v>165030668</v>
      </c>
      <c r="R22" s="47">
        <v>230696146</v>
      </c>
      <c r="S22" s="47">
        <v>265615841</v>
      </c>
      <c r="T22" s="47">
        <v>328689878</v>
      </c>
      <c r="U22" s="47">
        <v>489520071</v>
      </c>
      <c r="V22" s="47">
        <v>511181542</v>
      </c>
      <c r="W22" s="47">
        <v>684897813</v>
      </c>
      <c r="X22" s="47">
        <v>460675195</v>
      </c>
      <c r="Y22" s="47">
        <v>512044040</v>
      </c>
      <c r="Z22" s="47">
        <v>498215925</v>
      </c>
      <c r="AA22" s="47">
        <v>530555895</v>
      </c>
      <c r="AB22" s="47">
        <v>480394770</v>
      </c>
      <c r="AC22" s="47">
        <v>659488403</v>
      </c>
      <c r="AD22" s="47">
        <v>611092958</v>
      </c>
      <c r="AE22" s="47">
        <v>665461312</v>
      </c>
      <c r="AF22" s="47">
        <v>795502102</v>
      </c>
      <c r="AG22" s="47">
        <v>779320866</v>
      </c>
      <c r="AH22" s="47">
        <v>742114937</v>
      </c>
      <c r="AI22" s="47">
        <v>717667380</v>
      </c>
      <c r="AJ22" s="47">
        <v>803919327</v>
      </c>
      <c r="AK22" s="47">
        <v>770699320</v>
      </c>
      <c r="AL22" s="47">
        <v>830073132</v>
      </c>
      <c r="AM22" s="47">
        <v>808871518</v>
      </c>
      <c r="AN22" s="47">
        <v>911307115</v>
      </c>
      <c r="AO22" s="47">
        <v>1033542982</v>
      </c>
      <c r="AP22" s="47">
        <v>848336770</v>
      </c>
      <c r="AQ22" s="47">
        <v>1031003534</v>
      </c>
      <c r="AR22" s="47">
        <v>1063533369</v>
      </c>
      <c r="AS22" s="47">
        <v>973190576</v>
      </c>
      <c r="AT22" s="47">
        <v>1014630936</v>
      </c>
      <c r="AU22" s="47">
        <v>959100838</v>
      </c>
      <c r="AV22" s="47">
        <v>1144461915</v>
      </c>
      <c r="AW22" s="47">
        <v>1036988852</v>
      </c>
      <c r="AX22" s="47">
        <v>1127298804</v>
      </c>
      <c r="AY22" s="47">
        <v>1148303858</v>
      </c>
      <c r="AZ22" s="593">
        <v>1458390760</v>
      </c>
      <c r="BA22" s="593">
        <v>1416722711</v>
      </c>
      <c r="BB22" s="593">
        <v>1150490442</v>
      </c>
      <c r="BC22" s="593">
        <v>1324029310</v>
      </c>
      <c r="BD22" s="593">
        <v>1292186395</v>
      </c>
      <c r="BE22" s="593">
        <v>1242994029</v>
      </c>
      <c r="BF22" s="593">
        <v>1301826646</v>
      </c>
      <c r="BG22" s="593">
        <v>1394416901</v>
      </c>
      <c r="BH22" s="593">
        <v>1498127288</v>
      </c>
      <c r="BI22" s="593">
        <v>1494085055</v>
      </c>
      <c r="BJ22" s="593">
        <v>1322088478</v>
      </c>
      <c r="BK22" s="593">
        <v>2649801885</v>
      </c>
      <c r="BL22" s="593">
        <v>1443344072</v>
      </c>
      <c r="BM22" s="593">
        <v>1175582848</v>
      </c>
      <c r="BN22" s="593">
        <v>1272618976</v>
      </c>
      <c r="BO22" s="593">
        <v>1275871376</v>
      </c>
      <c r="BP22" s="593">
        <v>1379819445</v>
      </c>
      <c r="BQ22" s="593">
        <v>1393353255</v>
      </c>
      <c r="BR22" s="47"/>
      <c r="BS22" s="47"/>
      <c r="BT22" s="47"/>
      <c r="BU22" s="47"/>
      <c r="BV22" s="47"/>
      <c r="BW22" s="47"/>
    </row>
    <row r="23" spans="1:75">
      <c r="A23" s="159">
        <v>20</v>
      </c>
      <c r="B23" s="160" t="s">
        <v>422</v>
      </c>
      <c r="C23" s="170">
        <v>5</v>
      </c>
      <c r="D23" s="47">
        <v>3161000</v>
      </c>
      <c r="E23" s="47"/>
      <c r="F23" s="47"/>
      <c r="G23" s="47"/>
      <c r="H23" s="47">
        <v>1300000</v>
      </c>
      <c r="I23" s="47"/>
      <c r="J23" s="47"/>
      <c r="K23" s="47">
        <v>1000000</v>
      </c>
      <c r="L23" s="47"/>
      <c r="M23" s="47">
        <v>75304175</v>
      </c>
      <c r="N23" s="47">
        <v>84852500</v>
      </c>
      <c r="O23" s="47">
        <v>113970243</v>
      </c>
      <c r="P23" s="47">
        <v>18417983</v>
      </c>
      <c r="Q23" s="47">
        <v>70170983</v>
      </c>
      <c r="R23" s="47">
        <v>78064670</v>
      </c>
      <c r="S23" s="47">
        <v>18280580</v>
      </c>
      <c r="T23" s="47">
        <v>37870788</v>
      </c>
      <c r="U23" s="47">
        <v>91321955</v>
      </c>
      <c r="V23" s="47">
        <v>48019955</v>
      </c>
      <c r="W23" s="47">
        <v>72306060</v>
      </c>
      <c r="X23" s="47">
        <v>168883204</v>
      </c>
      <c r="Y23" s="47">
        <v>241442296</v>
      </c>
      <c r="Z23" s="47">
        <v>256391092</v>
      </c>
      <c r="AA23" s="47">
        <v>392904650</v>
      </c>
      <c r="AB23" s="47">
        <v>234185977</v>
      </c>
      <c r="AC23" s="47">
        <v>153538154</v>
      </c>
      <c r="AD23" s="47">
        <v>254312143</v>
      </c>
      <c r="AE23" s="47">
        <v>150569558</v>
      </c>
      <c r="AF23" s="47">
        <v>354731809</v>
      </c>
      <c r="AG23" s="47">
        <v>288592698</v>
      </c>
      <c r="AH23" s="47">
        <v>477977300</v>
      </c>
      <c r="AI23" s="47">
        <v>349030518</v>
      </c>
      <c r="AJ23" s="47">
        <v>249145439</v>
      </c>
      <c r="AK23" s="47">
        <v>414109113</v>
      </c>
      <c r="AL23" s="47">
        <v>545762858</v>
      </c>
      <c r="AM23" s="47">
        <v>743720262</v>
      </c>
      <c r="AN23" s="47">
        <v>460529842</v>
      </c>
      <c r="AO23" s="47">
        <v>434571553</v>
      </c>
      <c r="AP23" s="47">
        <v>544088110</v>
      </c>
      <c r="AQ23" s="47">
        <v>510521295</v>
      </c>
      <c r="AR23" s="47">
        <v>642495196</v>
      </c>
      <c r="AS23" s="47">
        <v>690234002</v>
      </c>
      <c r="AT23" s="47">
        <v>410469104</v>
      </c>
      <c r="AU23" s="47">
        <v>569152145</v>
      </c>
      <c r="AV23" s="47">
        <v>603787768</v>
      </c>
      <c r="AW23" s="47">
        <v>725450829</v>
      </c>
      <c r="AX23" s="47">
        <v>794641207</v>
      </c>
      <c r="AY23" s="47">
        <v>939137701</v>
      </c>
      <c r="AZ23" s="604">
        <v>701196732</v>
      </c>
      <c r="BA23" s="604">
        <v>669431335</v>
      </c>
      <c r="BB23" s="604">
        <v>695561422</v>
      </c>
      <c r="BC23" s="604">
        <v>743147515</v>
      </c>
      <c r="BD23" s="604">
        <v>753334254</v>
      </c>
      <c r="BE23" s="604">
        <v>977482432</v>
      </c>
      <c r="BF23" s="604">
        <v>1028204484</v>
      </c>
      <c r="BG23" s="604">
        <v>944206342</v>
      </c>
      <c r="BH23" s="604">
        <v>727564953</v>
      </c>
      <c r="BI23" s="604">
        <v>733977685</v>
      </c>
      <c r="BJ23" s="604">
        <v>772842144</v>
      </c>
      <c r="BK23" s="604">
        <v>759303904</v>
      </c>
      <c r="BL23" s="604">
        <v>675532018</v>
      </c>
      <c r="BM23" s="604">
        <v>427508026</v>
      </c>
      <c r="BN23" s="604">
        <v>594679880</v>
      </c>
      <c r="BO23" s="604">
        <v>684234657</v>
      </c>
      <c r="BP23" s="604">
        <v>776152179</v>
      </c>
      <c r="BQ23" s="604">
        <v>762918082</v>
      </c>
      <c r="BR23" s="47"/>
      <c r="BS23" s="47"/>
      <c r="BT23" s="47"/>
      <c r="BU23" s="47"/>
      <c r="BV23" s="47"/>
      <c r="BW23" s="47"/>
    </row>
    <row r="24" spans="1:75">
      <c r="A24" s="171">
        <v>21</v>
      </c>
      <c r="B24" s="172" t="s">
        <v>423</v>
      </c>
      <c r="C24" s="170">
        <v>5</v>
      </c>
      <c r="D24" s="47">
        <v>93428209</v>
      </c>
      <c r="E24" s="47">
        <v>39355804</v>
      </c>
      <c r="F24" s="47">
        <v>281067286</v>
      </c>
      <c r="G24" s="47">
        <v>246562514</v>
      </c>
      <c r="H24" s="47">
        <v>303823633</v>
      </c>
      <c r="I24" s="47">
        <v>183272200</v>
      </c>
      <c r="J24" s="47">
        <v>99645149</v>
      </c>
      <c r="K24" s="47">
        <v>23004920</v>
      </c>
      <c r="L24" s="47">
        <v>54026215</v>
      </c>
      <c r="M24" s="47">
        <v>160906130</v>
      </c>
      <c r="N24" s="47">
        <v>415917825</v>
      </c>
      <c r="O24" s="47">
        <v>2424191396</v>
      </c>
      <c r="P24" s="47">
        <v>295537954</v>
      </c>
      <c r="Q24" s="47">
        <v>712153216</v>
      </c>
      <c r="R24" s="47">
        <v>545691720</v>
      </c>
      <c r="S24" s="47">
        <v>474613981</v>
      </c>
      <c r="T24" s="47">
        <v>648598421</v>
      </c>
      <c r="U24" s="47">
        <v>663250384</v>
      </c>
      <c r="V24" s="47">
        <v>682197622</v>
      </c>
      <c r="W24" s="47">
        <v>738962137</v>
      </c>
      <c r="X24" s="47">
        <v>1417768794</v>
      </c>
      <c r="Y24" s="47">
        <v>1830581191</v>
      </c>
      <c r="Z24" s="47">
        <v>2146768941</v>
      </c>
      <c r="AA24" s="47">
        <v>4408441451</v>
      </c>
      <c r="AB24" s="47">
        <v>6882854656</v>
      </c>
      <c r="AC24" s="47">
        <v>7764070036</v>
      </c>
      <c r="AD24" s="47">
        <v>7206898252</v>
      </c>
      <c r="AE24" s="47">
        <v>2633655044</v>
      </c>
      <c r="AF24" s="47">
        <v>3002421811</v>
      </c>
      <c r="AG24" s="47">
        <v>3200417555</v>
      </c>
      <c r="AH24" s="47">
        <v>3650679088</v>
      </c>
      <c r="AI24" s="47">
        <v>3051073188</v>
      </c>
      <c r="AJ24" s="47">
        <v>-6669394386</v>
      </c>
      <c r="AK24" s="47">
        <v>1878247180</v>
      </c>
      <c r="AL24" s="47">
        <v>1628258276</v>
      </c>
      <c r="AM24" s="47">
        <v>2174325357</v>
      </c>
      <c r="AN24" s="47">
        <v>3894354715</v>
      </c>
      <c r="AO24" s="47">
        <v>3652447665</v>
      </c>
      <c r="AP24" s="47">
        <v>10039240901</v>
      </c>
      <c r="AQ24" s="47">
        <v>8812805553</v>
      </c>
      <c r="AR24" s="47">
        <v>8812804558</v>
      </c>
      <c r="AS24" s="47">
        <v>8371551826</v>
      </c>
      <c r="AT24" s="47">
        <v>7720780123</v>
      </c>
      <c r="AU24" s="47">
        <v>8071776355</v>
      </c>
      <c r="AV24" s="47">
        <v>8327236899</v>
      </c>
      <c r="AW24" s="47">
        <v>7638641417</v>
      </c>
      <c r="AX24" s="47">
        <v>7497692372</v>
      </c>
      <c r="AY24" s="47">
        <v>4107851153</v>
      </c>
      <c r="AZ24" s="604">
        <v>8280438056</v>
      </c>
      <c r="BA24" s="604">
        <v>8580322000</v>
      </c>
      <c r="BB24" s="604">
        <v>8620509463</v>
      </c>
      <c r="BC24" s="604">
        <v>8511354475</v>
      </c>
      <c r="BD24" s="604">
        <v>8473156194</v>
      </c>
      <c r="BE24" s="604">
        <v>9429914233</v>
      </c>
      <c r="BF24" s="604">
        <v>9794820434</v>
      </c>
      <c r="BG24" s="604">
        <v>10055729380</v>
      </c>
      <c r="BH24" s="604">
        <v>10079456790</v>
      </c>
      <c r="BI24" s="604">
        <v>10484969706</v>
      </c>
      <c r="BJ24" s="604">
        <v>9984538519</v>
      </c>
      <c r="BK24" s="604">
        <v>8978402207</v>
      </c>
      <c r="BL24" s="604">
        <v>10239614313</v>
      </c>
      <c r="BM24" s="604">
        <v>10118258403</v>
      </c>
      <c r="BN24" s="604">
        <v>10192946968</v>
      </c>
      <c r="BO24" s="604">
        <v>10239046336</v>
      </c>
      <c r="BP24" s="604">
        <v>10494732050</v>
      </c>
      <c r="BQ24" s="604">
        <v>10016304840</v>
      </c>
      <c r="BR24" s="47"/>
      <c r="BS24" s="47"/>
      <c r="BT24" s="47"/>
      <c r="BU24" s="47"/>
      <c r="BV24" s="47"/>
      <c r="BW24" s="47"/>
    </row>
    <row r="25" spans="1:75">
      <c r="A25" s="159">
        <v>22</v>
      </c>
      <c r="B25" s="160" t="s">
        <v>424</v>
      </c>
      <c r="C25" s="170">
        <v>5</v>
      </c>
      <c r="D25" s="47">
        <v>113118470</v>
      </c>
      <c r="E25" s="47">
        <v>125171801</v>
      </c>
      <c r="F25" s="47">
        <v>101609082</v>
      </c>
      <c r="G25" s="47">
        <v>191324840</v>
      </c>
      <c r="H25" s="47">
        <v>208909966</v>
      </c>
      <c r="I25" s="47">
        <v>208909967</v>
      </c>
      <c r="J25" s="47">
        <v>260404493</v>
      </c>
      <c r="K25" s="47">
        <v>154669036</v>
      </c>
      <c r="L25" s="47">
        <v>1122903946</v>
      </c>
      <c r="M25" s="47">
        <v>1651936244</v>
      </c>
      <c r="N25" s="47">
        <v>1652348755</v>
      </c>
      <c r="O25" s="47">
        <v>2032189513</v>
      </c>
      <c r="P25" s="47">
        <v>1583266994</v>
      </c>
      <c r="Q25" s="47">
        <v>1681355798</v>
      </c>
      <c r="R25" s="47">
        <v>1686091185</v>
      </c>
      <c r="S25" s="47">
        <v>2054632893</v>
      </c>
      <c r="T25" s="47">
        <v>2082021882</v>
      </c>
      <c r="U25" s="47">
        <v>2101127104</v>
      </c>
      <c r="V25" s="47">
        <v>2191146490</v>
      </c>
      <c r="W25" s="47">
        <v>2325998380</v>
      </c>
      <c r="X25" s="47">
        <v>2334830143</v>
      </c>
      <c r="Y25" s="47">
        <v>2391193005</v>
      </c>
      <c r="Z25" s="47">
        <v>2542803711</v>
      </c>
      <c r="AA25" s="47">
        <v>2746116307</v>
      </c>
      <c r="AB25" s="47">
        <v>1919723932</v>
      </c>
      <c r="AC25" s="47">
        <v>2079065529</v>
      </c>
      <c r="AD25" s="47">
        <v>2176925807</v>
      </c>
      <c r="AE25" s="47">
        <v>2299979743</v>
      </c>
      <c r="AF25" s="47">
        <v>2317365481</v>
      </c>
      <c r="AG25" s="47">
        <v>2350895208</v>
      </c>
      <c r="AH25" s="47">
        <v>2460680796</v>
      </c>
      <c r="AI25" s="47">
        <v>2589414562</v>
      </c>
      <c r="AJ25" s="47">
        <v>2691094789</v>
      </c>
      <c r="AK25" s="47">
        <v>2725321682</v>
      </c>
      <c r="AL25" s="47">
        <v>2729828556</v>
      </c>
      <c r="AM25" s="47">
        <v>2847085715</v>
      </c>
      <c r="AN25" s="47">
        <v>5568667717</v>
      </c>
      <c r="AO25" s="47">
        <v>5573546970</v>
      </c>
      <c r="AP25" s="47">
        <v>2870749336</v>
      </c>
      <c r="AQ25" s="47">
        <v>2993181073</v>
      </c>
      <c r="AR25" s="47">
        <v>3046414798</v>
      </c>
      <c r="AS25" s="47">
        <v>3049589322</v>
      </c>
      <c r="AT25" s="47">
        <v>3083645781</v>
      </c>
      <c r="AU25" s="47">
        <v>3104579094</v>
      </c>
      <c r="AV25" s="47">
        <v>3243860916</v>
      </c>
      <c r="AW25" s="47">
        <v>3243941706</v>
      </c>
      <c r="AX25" s="47">
        <v>3278052242</v>
      </c>
      <c r="AY25" s="47">
        <v>3553075383</v>
      </c>
      <c r="AZ25" s="592">
        <v>3580021036</v>
      </c>
      <c r="BA25" s="592">
        <v>3581565481</v>
      </c>
      <c r="BB25" s="592">
        <v>3775596118</v>
      </c>
      <c r="BC25" s="592">
        <v>3661702831</v>
      </c>
      <c r="BD25" s="592">
        <v>3848361886</v>
      </c>
      <c r="BE25" s="592">
        <v>3844542443</v>
      </c>
      <c r="BF25" s="592">
        <v>3851845256</v>
      </c>
      <c r="BG25" s="592">
        <v>3844351847</v>
      </c>
      <c r="BH25" s="592">
        <v>4163777464</v>
      </c>
      <c r="BI25" s="592">
        <v>3970961581</v>
      </c>
      <c r="BJ25" s="592">
        <v>4134395532</v>
      </c>
      <c r="BK25" s="592">
        <v>4163728315</v>
      </c>
      <c r="BL25" s="592">
        <v>2044939335</v>
      </c>
      <c r="BM25" s="592">
        <v>2013980354</v>
      </c>
      <c r="BN25" s="592">
        <v>2036741650</v>
      </c>
      <c r="BO25" s="592">
        <v>2196309343</v>
      </c>
      <c r="BP25" s="592">
        <v>2247398242</v>
      </c>
      <c r="BQ25" s="592">
        <v>2246182965</v>
      </c>
      <c r="BR25" s="47"/>
      <c r="BS25" s="47"/>
      <c r="BT25" s="47"/>
      <c r="BU25" s="47"/>
      <c r="BV25" s="47"/>
      <c r="BW25" s="47"/>
    </row>
    <row r="26" spans="1:75">
      <c r="A26" s="159">
        <v>23</v>
      </c>
      <c r="B26" s="160" t="s">
        <v>425</v>
      </c>
      <c r="C26" s="170">
        <v>5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>
        <v>51423027</v>
      </c>
      <c r="Z26" s="47">
        <v>836485573</v>
      </c>
      <c r="AA26" s="47">
        <v>730344000</v>
      </c>
      <c r="AB26" s="47">
        <v>167043000</v>
      </c>
      <c r="AC26" s="47">
        <v>420030000</v>
      </c>
      <c r="AD26" s="47">
        <v>9885000</v>
      </c>
      <c r="AE26" s="47">
        <v>340207000</v>
      </c>
      <c r="AF26" s="47">
        <v>257910000</v>
      </c>
      <c r="AG26" s="47">
        <v>202947400</v>
      </c>
      <c r="AH26" s="47">
        <v>104538000</v>
      </c>
      <c r="AI26" s="47">
        <v>0</v>
      </c>
      <c r="AJ26" s="47">
        <v>0</v>
      </c>
      <c r="AK26" s="47">
        <v>0</v>
      </c>
      <c r="AL26" s="47">
        <v>0</v>
      </c>
      <c r="AM26" s="47">
        <v>148513005</v>
      </c>
      <c r="AN26" s="47">
        <v>2408877200</v>
      </c>
      <c r="AO26" s="47">
        <v>321736000</v>
      </c>
      <c r="AP26" s="47">
        <v>407200000</v>
      </c>
      <c r="AQ26" s="47">
        <v>1027400000</v>
      </c>
      <c r="AR26" s="47">
        <v>1296610000</v>
      </c>
      <c r="AS26" s="47">
        <v>932027000</v>
      </c>
      <c r="AT26" s="47">
        <v>1461251000</v>
      </c>
      <c r="AU26" s="47">
        <v>1743703999</v>
      </c>
      <c r="AV26" s="47">
        <v>838296001</v>
      </c>
      <c r="AW26" s="47">
        <v>1688273746</v>
      </c>
      <c r="AX26" s="47">
        <v>1220372826</v>
      </c>
      <c r="AY26" s="47">
        <v>1496105366</v>
      </c>
      <c r="AZ26" s="591">
        <v>53004285.057142869</v>
      </c>
      <c r="BA26" s="591">
        <v>1987103388.9999981</v>
      </c>
      <c r="BB26" s="591">
        <v>992269874.00000405</v>
      </c>
      <c r="BC26" s="591">
        <v>704892709.00000119</v>
      </c>
      <c r="BD26" s="591">
        <v>558895565.99999797</v>
      </c>
      <c r="BE26" s="591">
        <v>701703110.00000083</v>
      </c>
      <c r="BF26" s="591">
        <v>276397244.00000024</v>
      </c>
      <c r="BG26" s="591">
        <v>693784452.99999952</v>
      </c>
      <c r="BH26" s="591">
        <v>1255492885.9999974</v>
      </c>
      <c r="BI26" s="591">
        <v>887333518.00000048</v>
      </c>
      <c r="BJ26" s="591">
        <v>923681913.99999988</v>
      </c>
      <c r="BK26" s="591">
        <v>675421007.66224766</v>
      </c>
      <c r="BL26" s="591">
        <v>240626866.33775303</v>
      </c>
      <c r="BM26" s="591">
        <v>211742210.99999991</v>
      </c>
      <c r="BN26" s="591">
        <v>1138515788.0000031</v>
      </c>
      <c r="BO26" s="591">
        <v>256511998.99999976</v>
      </c>
      <c r="BP26" s="591">
        <v>908677723.99999881</v>
      </c>
      <c r="BQ26" s="591">
        <v>108452973.51249526</v>
      </c>
      <c r="BR26" s="47"/>
      <c r="BS26" s="47"/>
      <c r="BT26" s="47"/>
      <c r="BU26" s="47"/>
      <c r="BV26" s="47"/>
      <c r="BW26" s="47"/>
    </row>
    <row r="27" spans="1:75">
      <c r="A27" s="159">
        <v>24</v>
      </c>
      <c r="B27" s="601" t="s">
        <v>426</v>
      </c>
      <c r="C27" s="170">
        <v>5</v>
      </c>
      <c r="D27" s="47">
        <v>32715</v>
      </c>
      <c r="E27" s="47">
        <v>100199362</v>
      </c>
      <c r="F27" s="47">
        <v>44459642</v>
      </c>
      <c r="G27" s="47">
        <v>45431636</v>
      </c>
      <c r="H27" s="47">
        <v>44433918</v>
      </c>
      <c r="I27" s="47">
        <v>44515403</v>
      </c>
      <c r="J27" s="47">
        <v>44452719</v>
      </c>
      <c r="K27" s="47">
        <v>2322304915</v>
      </c>
      <c r="L27" s="47">
        <v>1004106037</v>
      </c>
      <c r="M27" s="47">
        <v>401932416</v>
      </c>
      <c r="N27" s="47">
        <v>412173838</v>
      </c>
      <c r="O27" s="47">
        <v>1138993774</v>
      </c>
      <c r="P27" s="47">
        <v>666650104</v>
      </c>
      <c r="Q27" s="47">
        <v>412073229</v>
      </c>
      <c r="R27" s="47">
        <v>3193247478</v>
      </c>
      <c r="S27" s="47">
        <v>2387474916</v>
      </c>
      <c r="T27" s="47">
        <v>1015763788</v>
      </c>
      <c r="U27" s="47">
        <v>469176756</v>
      </c>
      <c r="V27" s="47">
        <v>337493176.00000191</v>
      </c>
      <c r="W27" s="47">
        <v>590234566</v>
      </c>
      <c r="X27" s="47">
        <v>545366521.99996948</v>
      </c>
      <c r="Y27" s="47">
        <v>30793227</v>
      </c>
      <c r="Z27" s="47">
        <v>-84226077.999984741</v>
      </c>
      <c r="AA27" s="47">
        <v>9132650011.0001068</v>
      </c>
      <c r="AB27" s="47">
        <v>159377716</v>
      </c>
      <c r="AC27" s="47">
        <v>170187062</v>
      </c>
      <c r="AD27" s="47">
        <v>958331013.88948786</v>
      </c>
      <c r="AE27" s="47">
        <v>-2003523753</v>
      </c>
      <c r="AF27" s="47">
        <v>821112370</v>
      </c>
      <c r="AG27" s="47">
        <v>-38286160499</v>
      </c>
      <c r="AH27" s="47">
        <v>-7366169</v>
      </c>
      <c r="AI27" s="47">
        <v>-1277234530</v>
      </c>
      <c r="AJ27" s="47">
        <v>-3165950971</v>
      </c>
      <c r="AK27" s="47">
        <v>-1039704259</v>
      </c>
      <c r="AL27" s="47">
        <v>-592708185</v>
      </c>
      <c r="AM27" s="47">
        <v>-366497378.0149765</v>
      </c>
      <c r="AN27" s="47">
        <v>11007621578.014977</v>
      </c>
      <c r="AO27" s="47">
        <v>13844261106</v>
      </c>
      <c r="AP27" s="47">
        <v>14665843257</v>
      </c>
      <c r="AQ27" s="47">
        <v>9474693707</v>
      </c>
      <c r="AR27" s="47">
        <v>10135331818</v>
      </c>
      <c r="AS27" s="47">
        <v>9849963074</v>
      </c>
      <c r="AT27" s="47">
        <v>10038187475</v>
      </c>
      <c r="AU27" s="47">
        <v>10958543615</v>
      </c>
      <c r="AV27" s="47">
        <v>7753982412.2000008</v>
      </c>
      <c r="AW27" s="47">
        <v>11582815097</v>
      </c>
      <c r="AX27" s="47">
        <v>11133708728</v>
      </c>
      <c r="AY27" s="47">
        <v>-101012787657.81319</v>
      </c>
      <c r="AZ27" s="592">
        <v>822606797.81318665</v>
      </c>
      <c r="BA27" s="592">
        <v>3409451165.8744297</v>
      </c>
      <c r="BB27" s="592">
        <v>2021336942</v>
      </c>
      <c r="BC27" s="592">
        <v>2288115861</v>
      </c>
      <c r="BD27" s="592">
        <v>1464958481.5430465</v>
      </c>
      <c r="BE27" s="592">
        <v>-1564788072.5037079</v>
      </c>
      <c r="BF27" s="592">
        <v>-1140588347.8378301</v>
      </c>
      <c r="BG27" s="592">
        <v>1855446352.8313713</v>
      </c>
      <c r="BH27" s="592">
        <v>-759081656.98476839</v>
      </c>
      <c r="BI27" s="592">
        <v>3967605892.6295834</v>
      </c>
      <c r="BJ27" s="592">
        <v>367901957</v>
      </c>
      <c r="BK27" s="600">
        <v>-14902564477.614695</v>
      </c>
      <c r="BL27" s="592">
        <v>1973139383.0335846</v>
      </c>
      <c r="BM27" s="592">
        <v>1079639091.0002899</v>
      </c>
      <c r="BN27" s="592">
        <v>2011031439.0001526</v>
      </c>
      <c r="BO27" s="592">
        <v>367296576.00018311</v>
      </c>
      <c r="BP27" s="592">
        <v>3071676706.9998627</v>
      </c>
      <c r="BQ27" s="592">
        <v>980497197.6655755</v>
      </c>
      <c r="BR27" s="47"/>
      <c r="BS27" s="47"/>
      <c r="BT27" s="47"/>
      <c r="BU27" s="47"/>
      <c r="BV27" s="47"/>
      <c r="BW27" s="47"/>
    </row>
    <row r="28" spans="1:75">
      <c r="A28" s="159">
        <v>25</v>
      </c>
      <c r="B28" s="160" t="s">
        <v>427</v>
      </c>
      <c r="C28" s="170">
        <v>5</v>
      </c>
      <c r="D28" s="47">
        <f t="shared" ref="D28:AA28" si="4">(D16-SUM(D17:D27))+0</f>
        <v>-418729941</v>
      </c>
      <c r="E28" s="47">
        <f t="shared" si="4"/>
        <v>-320174882</v>
      </c>
      <c r="F28" s="47">
        <f t="shared" si="4"/>
        <v>-87590656.000000954</v>
      </c>
      <c r="G28" s="47">
        <f t="shared" si="4"/>
        <v>-1150818655</v>
      </c>
      <c r="H28" s="47">
        <f t="shared" si="4"/>
        <v>-1806756549</v>
      </c>
      <c r="I28" s="47">
        <f t="shared" si="4"/>
        <v>-1316252077</v>
      </c>
      <c r="J28" s="47">
        <f t="shared" si="4"/>
        <v>-213864643</v>
      </c>
      <c r="K28" s="47">
        <f t="shared" si="4"/>
        <v>117630134</v>
      </c>
      <c r="L28" s="47">
        <f t="shared" si="4"/>
        <v>-256028926</v>
      </c>
      <c r="M28" s="47">
        <f t="shared" si="4"/>
        <v>-965840039.99999905</v>
      </c>
      <c r="N28" s="47">
        <f t="shared" si="4"/>
        <v>-2070636904</v>
      </c>
      <c r="O28" s="47">
        <f t="shared" si="4"/>
        <v>-4650013976</v>
      </c>
      <c r="P28" s="47">
        <f t="shared" si="4"/>
        <v>-2491347722</v>
      </c>
      <c r="Q28" s="47">
        <f t="shared" si="4"/>
        <v>-3047472425</v>
      </c>
      <c r="R28" s="47">
        <f t="shared" si="4"/>
        <v>-1734618876.9999924</v>
      </c>
      <c r="S28" s="47">
        <f t="shared" si="4"/>
        <v>-1239085460.0000076</v>
      </c>
      <c r="T28" s="47">
        <f t="shared" si="4"/>
        <v>-3173478980</v>
      </c>
      <c r="U28" s="47">
        <f t="shared" si="4"/>
        <v>-2971994166.0000038</v>
      </c>
      <c r="V28" s="47">
        <f t="shared" si="4"/>
        <v>-3446748984.0000038</v>
      </c>
      <c r="W28" s="47">
        <f t="shared" si="4"/>
        <v>-740382387</v>
      </c>
      <c r="X28" s="47">
        <f t="shared" si="4"/>
        <v>-844222556.99996185</v>
      </c>
      <c r="Y28" s="47">
        <f t="shared" si="4"/>
        <v>36945139</v>
      </c>
      <c r="Z28" s="47">
        <f t="shared" si="4"/>
        <v>-3461379002.0000153</v>
      </c>
      <c r="AA28" s="47">
        <f t="shared" si="4"/>
        <v>-590246625.00009918</v>
      </c>
      <c r="AB28" s="47">
        <f t="shared" ref="AB28:AM28" si="5">(AB16-SUM(AB17:AB27))+0</f>
        <v>-8670606216</v>
      </c>
      <c r="AC28" s="47">
        <f t="shared" si="5"/>
        <v>-10095402182.000008</v>
      </c>
      <c r="AD28" s="47">
        <f t="shared" si="5"/>
        <v>1439391257</v>
      </c>
      <c r="AE28" s="47">
        <f t="shared" si="5"/>
        <v>3278868863</v>
      </c>
      <c r="AF28" s="47">
        <f t="shared" si="5"/>
        <v>346194.99999237061</v>
      </c>
      <c r="AG28" s="47">
        <f t="shared" si="5"/>
        <v>-644932031</v>
      </c>
      <c r="AH28" s="47">
        <f t="shared" si="5"/>
        <v>-2676055502.9999847</v>
      </c>
      <c r="AI28" s="47">
        <f t="shared" si="5"/>
        <v>2270453605.0000229</v>
      </c>
      <c r="AJ28" s="47">
        <f t="shared" si="5"/>
        <v>5081905713.9999847</v>
      </c>
      <c r="AK28" s="47">
        <f t="shared" si="5"/>
        <v>-1258883448</v>
      </c>
      <c r="AL28" s="47">
        <f t="shared" si="5"/>
        <v>-3036303733.0000305</v>
      </c>
      <c r="AM28" s="47">
        <f t="shared" si="5"/>
        <v>-5395026934.9479904</v>
      </c>
      <c r="AN28" s="47">
        <f t="shared" ref="AN28:AY28" si="6">(AN16-SUM(AN17:AN27))+0</f>
        <v>-8361195243.0520935</v>
      </c>
      <c r="AO28" s="47">
        <f t="shared" si="6"/>
        <v>-9202345249</v>
      </c>
      <c r="AP28" s="47">
        <f t="shared" si="6"/>
        <v>-7787370187.0000305</v>
      </c>
      <c r="AQ28" s="47">
        <f t="shared" si="6"/>
        <v>-8113807562.0000153</v>
      </c>
      <c r="AR28" s="47">
        <f t="shared" si="6"/>
        <v>-5491263967.0000153</v>
      </c>
      <c r="AS28" s="47">
        <f t="shared" si="6"/>
        <v>-10769339527</v>
      </c>
      <c r="AT28" s="47">
        <f t="shared" si="6"/>
        <v>-11651419976.000031</v>
      </c>
      <c r="AU28" s="47">
        <f t="shared" si="6"/>
        <v>10546166286.999985</v>
      </c>
      <c r="AV28" s="47">
        <f t="shared" si="6"/>
        <v>4448089505.8000641</v>
      </c>
      <c r="AW28" s="47">
        <f t="shared" si="6"/>
        <v>-2732275937.0000305</v>
      </c>
      <c r="AX28" s="47">
        <f t="shared" si="6"/>
        <v>-12258290811</v>
      </c>
      <c r="AY28" s="47">
        <f t="shared" si="6"/>
        <v>-2582383962.7713776</v>
      </c>
      <c r="AZ28" s="47">
        <f t="shared" ref="AZ28:BK28" si="7">AZ16-SUM(AZ17:AZ27)</f>
        <v>3199382544.5999451</v>
      </c>
      <c r="BA28" s="47">
        <f t="shared" si="7"/>
        <v>12854142586.000092</v>
      </c>
      <c r="BB28" s="47">
        <f t="shared" si="7"/>
        <v>2339761526.0001526</v>
      </c>
      <c r="BC28" s="47">
        <f t="shared" si="7"/>
        <v>-2336102599.0000458</v>
      </c>
      <c r="BD28" s="47">
        <f t="shared" si="7"/>
        <v>359325189.99981689</v>
      </c>
      <c r="BE28" s="47">
        <f t="shared" si="7"/>
        <v>-3561293115.9998779</v>
      </c>
      <c r="BF28" s="47">
        <f t="shared" si="7"/>
        <v>365234269.99993896</v>
      </c>
      <c r="BG28" s="47">
        <f t="shared" si="7"/>
        <v>6124140775.9998169</v>
      </c>
      <c r="BH28" s="47">
        <f t="shared" si="7"/>
        <v>-13320990765.999924</v>
      </c>
      <c r="BI28" s="47">
        <f t="shared" si="7"/>
        <v>-3511268792.9999847</v>
      </c>
      <c r="BJ28" s="47">
        <f t="shared" si="7"/>
        <v>-2975710244.0000305</v>
      </c>
      <c r="BK28" s="47">
        <f t="shared" si="7"/>
        <v>-3749257656.2252808</v>
      </c>
      <c r="BL28" s="47">
        <f>BL16-SUM(BL17:BL27)</f>
        <v>3688803615.5245514</v>
      </c>
      <c r="BM28" s="47">
        <f>BM16-SUM(BM17:BM27)</f>
        <v>6296358781.999527</v>
      </c>
      <c r="BN28" s="47">
        <f t="shared" ref="BN28:BQ28" si="8">BN16-SUM(BN17:BN27)</f>
        <v>16721134422.999908</v>
      </c>
      <c r="BO28" s="47">
        <f t="shared" si="8"/>
        <v>9953551385.9994507</v>
      </c>
      <c r="BP28" s="47">
        <f t="shared" si="8"/>
        <v>4943140864.0001831</v>
      </c>
      <c r="BQ28" s="47">
        <f t="shared" si="8"/>
        <v>-6406583759.524292</v>
      </c>
      <c r="BR28" s="47"/>
      <c r="BS28" s="47"/>
      <c r="BT28" s="47"/>
      <c r="BU28" s="47"/>
      <c r="BV28" s="47"/>
      <c r="BW28" s="47"/>
    </row>
    <row r="29" spans="1:75">
      <c r="A29" s="165">
        <v>26</v>
      </c>
      <c r="B29" s="166" t="s">
        <v>428</v>
      </c>
      <c r="C29" s="173">
        <v>5</v>
      </c>
      <c r="D29" s="48">
        <f t="shared" ref="D29:BO29" si="9">IFERROR(D16/D12,"")</f>
        <v>0.78177642340152764</v>
      </c>
      <c r="E29" s="48">
        <f t="shared" si="9"/>
        <v>0.84460485025856358</v>
      </c>
      <c r="F29" s="48">
        <f t="shared" si="9"/>
        <v>0.77027853345266872</v>
      </c>
      <c r="G29" s="48">
        <f t="shared" si="9"/>
        <v>0.76210148656376442</v>
      </c>
      <c r="H29" s="48">
        <f t="shared" si="9"/>
        <v>0.78948663309038991</v>
      </c>
      <c r="I29" s="48">
        <f t="shared" si="9"/>
        <v>0.93029725326183765</v>
      </c>
      <c r="J29" s="48">
        <f t="shared" si="9"/>
        <v>0.88027858206504761</v>
      </c>
      <c r="K29" s="48">
        <f t="shared" si="9"/>
        <v>2.119630116915407</v>
      </c>
      <c r="L29" s="48">
        <f t="shared" si="9"/>
        <v>1.0644053557575879</v>
      </c>
      <c r="M29" s="48">
        <f t="shared" si="9"/>
        <v>0.88901577117697628</v>
      </c>
      <c r="N29" s="48">
        <f t="shared" si="9"/>
        <v>0.90237445677577177</v>
      </c>
      <c r="O29" s="48">
        <f t="shared" si="9"/>
        <v>0.92335324188524626</v>
      </c>
      <c r="P29" s="48">
        <f t="shared" si="9"/>
        <v>0.912712690743824</v>
      </c>
      <c r="Q29" s="48">
        <f t="shared" si="9"/>
        <v>1.1311729304371034</v>
      </c>
      <c r="R29" s="48">
        <f t="shared" si="9"/>
        <v>0.87625646600861573</v>
      </c>
      <c r="S29" s="48">
        <f t="shared" si="9"/>
        <v>0.79885386969328209</v>
      </c>
      <c r="T29" s="48">
        <f t="shared" si="9"/>
        <v>0.84904212403857127</v>
      </c>
      <c r="U29" s="48">
        <f t="shared" si="9"/>
        <v>0.83612102134065802</v>
      </c>
      <c r="V29" s="48">
        <f t="shared" si="9"/>
        <v>0.75612839049853986</v>
      </c>
      <c r="W29" s="48">
        <f t="shared" si="9"/>
        <v>0.84803121645735058</v>
      </c>
      <c r="X29" s="48">
        <f t="shared" si="9"/>
        <v>0.87698053392551611</v>
      </c>
      <c r="Y29" s="48">
        <f t="shared" si="9"/>
        <v>0.92301783302500451</v>
      </c>
      <c r="Z29" s="48">
        <f t="shared" si="9"/>
        <v>0.89236436073652536</v>
      </c>
      <c r="AA29" s="48">
        <f t="shared" si="9"/>
        <v>1.0965273497481514</v>
      </c>
      <c r="AB29" s="48">
        <f t="shared" si="9"/>
        <v>0.83217885303449135</v>
      </c>
      <c r="AC29" s="48">
        <f t="shared" si="9"/>
        <v>0.95122278874964772</v>
      </c>
      <c r="AD29" s="48">
        <f t="shared" si="9"/>
        <v>1.0344300452654775</v>
      </c>
      <c r="AE29" s="48">
        <f t="shared" si="9"/>
        <v>0.99364762009427166</v>
      </c>
      <c r="AF29" s="48">
        <f t="shared" si="9"/>
        <v>0.87183616214257886</v>
      </c>
      <c r="AG29" s="48">
        <f t="shared" si="9"/>
        <v>0.15527617936753102</v>
      </c>
      <c r="AH29" s="48">
        <f t="shared" si="9"/>
        <v>0.83691965903600873</v>
      </c>
      <c r="AI29" s="48">
        <f t="shared" si="9"/>
        <v>0.79484022911439323</v>
      </c>
      <c r="AJ29" s="48">
        <f t="shared" si="9"/>
        <v>0.58119536267581318</v>
      </c>
      <c r="AK29" s="48">
        <f t="shared" si="9"/>
        <v>0.7315330882983081</v>
      </c>
      <c r="AL29" s="48">
        <f t="shared" si="9"/>
        <v>0.78078108419803105</v>
      </c>
      <c r="AM29" s="48">
        <f t="shared" si="9"/>
        <v>0.65684384751905933</v>
      </c>
      <c r="AN29" s="48">
        <f t="shared" si="9"/>
        <v>0.89454271505407501</v>
      </c>
      <c r="AO29" s="48">
        <f t="shared" si="9"/>
        <v>0.99722329442243085</v>
      </c>
      <c r="AP29" s="48">
        <f t="shared" si="9"/>
        <v>0.94262122409373172</v>
      </c>
      <c r="AQ29" s="48">
        <f t="shared" si="9"/>
        <v>0.8767708502010344</v>
      </c>
      <c r="AR29" s="48">
        <f t="shared" si="9"/>
        <v>0.96916162986305532</v>
      </c>
      <c r="AS29" s="48">
        <f t="shared" si="9"/>
        <v>1.0250016538703488</v>
      </c>
      <c r="AT29" s="48">
        <f t="shared" si="9"/>
        <v>1.0844362242161489</v>
      </c>
      <c r="AU29" s="48">
        <f t="shared" si="9"/>
        <v>0.96067559454087748</v>
      </c>
      <c r="AV29" s="48">
        <f t="shared" si="9"/>
        <v>0.84658363213622778</v>
      </c>
      <c r="AW29" s="48">
        <f t="shared" si="9"/>
        <v>0.95998584995815739</v>
      </c>
      <c r="AX29" s="48">
        <f t="shared" si="9"/>
        <v>0.9326420894559817</v>
      </c>
      <c r="AY29" s="48">
        <f t="shared" si="9"/>
        <v>-0.21428066837011892</v>
      </c>
      <c r="AZ29" s="48">
        <f t="shared" si="9"/>
        <v>0.84131867803519156</v>
      </c>
      <c r="BA29" s="48">
        <f t="shared" si="9"/>
        <v>0.82218656710133331</v>
      </c>
      <c r="BB29" s="48">
        <f t="shared" si="9"/>
        <v>0.86193972215458747</v>
      </c>
      <c r="BC29" s="48">
        <f t="shared" si="9"/>
        <v>0.87412990690597347</v>
      </c>
      <c r="BD29" s="48">
        <f t="shared" si="9"/>
        <v>0.85426789556000038</v>
      </c>
      <c r="BE29" s="48">
        <f t="shared" si="9"/>
        <v>0.88524731838316462</v>
      </c>
      <c r="BF29" s="48">
        <f t="shared" si="9"/>
        <v>0.9324772093606718</v>
      </c>
      <c r="BG29" s="48">
        <f t="shared" si="9"/>
        <v>0.92079909410079142</v>
      </c>
      <c r="BH29" s="48">
        <f t="shared" si="9"/>
        <v>0.981146117822004</v>
      </c>
      <c r="BI29" s="48">
        <f t="shared" si="9"/>
        <v>0.91772938411391969</v>
      </c>
      <c r="BJ29" s="48">
        <f t="shared" si="9"/>
        <v>0.91615780830554661</v>
      </c>
      <c r="BK29" s="48">
        <f t="shared" si="9"/>
        <v>0.70478801676224601</v>
      </c>
      <c r="BL29" s="48">
        <f t="shared" si="9"/>
        <v>0.91261690556186803</v>
      </c>
      <c r="BM29" s="48">
        <f t="shared" si="9"/>
        <v>0.9362582734713758</v>
      </c>
      <c r="BN29" s="48">
        <f t="shared" si="9"/>
        <v>0.95694845934705108</v>
      </c>
      <c r="BO29" s="48">
        <f t="shared" si="9"/>
        <v>0.88701617651549669</v>
      </c>
      <c r="BP29" s="48">
        <f t="shared" ref="BP29:BV29" si="10">IFERROR(BP16/BP12,"")</f>
        <v>0.86113833401804318</v>
      </c>
      <c r="BQ29" s="48">
        <f t="shared" si="10"/>
        <v>0.84104679341305466</v>
      </c>
      <c r="BR29" s="48" t="str">
        <f t="shared" si="10"/>
        <v/>
      </c>
      <c r="BS29" s="48" t="str">
        <f t="shared" si="10"/>
        <v/>
      </c>
      <c r="BT29" s="48" t="str">
        <f t="shared" si="10"/>
        <v/>
      </c>
      <c r="BU29" s="48" t="str">
        <f t="shared" si="10"/>
        <v/>
      </c>
      <c r="BV29" s="48" t="str">
        <f t="shared" si="10"/>
        <v/>
      </c>
      <c r="BW29" s="48" t="str">
        <f t="shared" ref="BW29" si="11">IFERROR(BW16/BW12,"")</f>
        <v/>
      </c>
    </row>
    <row r="30" spans="1:75">
      <c r="A30" s="162">
        <v>27</v>
      </c>
      <c r="B30" s="163" t="s">
        <v>429</v>
      </c>
      <c r="C30" s="164">
        <v>5</v>
      </c>
      <c r="D30" s="43">
        <f>'Ket qua kinh doanh'!D9</f>
        <v>478551341</v>
      </c>
      <c r="E30" s="43">
        <f>'Ket qua kinh doanh'!E9</f>
        <v>278440448</v>
      </c>
      <c r="F30" s="43">
        <f>'Ket qua kinh doanh'!F9</f>
        <v>1994461207</v>
      </c>
      <c r="G30" s="43">
        <f>'Ket qua kinh doanh'!G9</f>
        <v>1490275437</v>
      </c>
      <c r="H30" s="43">
        <f>'Ket qua kinh doanh'!H9</f>
        <v>289871307</v>
      </c>
      <c r="I30" s="43">
        <f>'Ket qua kinh doanh'!I9</f>
        <v>60513842</v>
      </c>
      <c r="J30" s="43">
        <f>'Ket qua kinh doanh'!J9</f>
        <v>369410353</v>
      </c>
      <c r="K30" s="43">
        <f>'Ket qua kinh doanh'!K9</f>
        <v>-2279645740</v>
      </c>
      <c r="L30" s="43">
        <f>'Ket qua kinh doanh'!L9</f>
        <v>-258126016</v>
      </c>
      <c r="M30" s="43">
        <f>'Ket qua kinh doanh'!M9</f>
        <v>929194209</v>
      </c>
      <c r="N30" s="43">
        <f>'Ket qua kinh doanh'!N9</f>
        <v>841047339</v>
      </c>
      <c r="O30" s="43">
        <f>'Ket qua kinh doanh'!O9</f>
        <v>1011796322</v>
      </c>
      <c r="P30" s="43">
        <f>'Ket qua kinh doanh'!P9</f>
        <v>654483406</v>
      </c>
      <c r="Q30" s="43">
        <f>'Ket qua kinh doanh'!Q9</f>
        <v>-801640213</v>
      </c>
      <c r="R30" s="43">
        <f>'Ket qua kinh doanh'!R9</f>
        <v>2801259871</v>
      </c>
      <c r="S30" s="43">
        <f>'Ket qua kinh doanh'!S9</f>
        <v>5516258306</v>
      </c>
      <c r="T30" s="43">
        <f>'Ket qua kinh doanh'!T9</f>
        <v>2770134209</v>
      </c>
      <c r="U30" s="43">
        <f>'Ket qua kinh doanh'!U9</f>
        <v>3589280463</v>
      </c>
      <c r="V30" s="43">
        <f>'Ket qua kinh doanh'!V9</f>
        <v>3872454887</v>
      </c>
      <c r="W30" s="43">
        <f>'Ket qua kinh doanh'!W9</f>
        <v>5829425406</v>
      </c>
      <c r="X30" s="43">
        <f>'Ket qua kinh doanh'!X9</f>
        <v>4528308933</v>
      </c>
      <c r="Y30" s="43">
        <f>'Ket qua kinh doanh'!Y9</f>
        <v>3200752781</v>
      </c>
      <c r="Z30" s="43">
        <f>'Ket qua kinh doanh'!Z9</f>
        <v>3734765246</v>
      </c>
      <c r="AA30" s="43">
        <f>'Ket qua kinh doanh'!AA9</f>
        <v>-5664644121</v>
      </c>
      <c r="AB30" s="43">
        <f>'Ket qua kinh doanh'!AB9</f>
        <v>4193087756</v>
      </c>
      <c r="AC30" s="43">
        <f>'Ket qua kinh doanh'!AC9</f>
        <v>1123940062</v>
      </c>
      <c r="AD30" s="43">
        <f>'Ket qua kinh doanh'!AD9</f>
        <v>-2038690208</v>
      </c>
      <c r="AE30" s="43">
        <f>'Ket qua kinh doanh'!AE9</f>
        <v>344851916</v>
      </c>
      <c r="AF30" s="43">
        <f>'Ket qua kinh doanh'!AF9</f>
        <v>7386336358</v>
      </c>
      <c r="AG30" s="43">
        <f>'Ket qua kinh doanh'!AG9</f>
        <v>42999566416</v>
      </c>
      <c r="AH30" s="43">
        <f>'Ket qua kinh doanh'!AH9</f>
        <v>8729091690</v>
      </c>
      <c r="AI30" s="43">
        <f>'Ket qua kinh doanh'!AI9</f>
        <v>16060412307</v>
      </c>
      <c r="AJ30" s="43">
        <f>'Ket qua kinh doanh'!AJ9</f>
        <v>27187195810</v>
      </c>
      <c r="AK30" s="43">
        <f>'Ket qua kinh doanh'!AK9</f>
        <v>22731503926</v>
      </c>
      <c r="AL30" s="43">
        <f>'Ket qua kinh doanh'!AL9</f>
        <v>13789536546</v>
      </c>
      <c r="AM30" s="43">
        <f>'Ket qua kinh doanh'!AM9</f>
        <v>24417840429</v>
      </c>
      <c r="AN30" s="43">
        <f>'Ket qua kinh doanh'!AN9</f>
        <v>10119851560</v>
      </c>
      <c r="AO30" s="43">
        <f>'Ket qua kinh doanh'!AO9</f>
        <v>191425380</v>
      </c>
      <c r="AP30" s="43">
        <f>'Ket qua kinh doanh'!AP9</f>
        <v>5285130826</v>
      </c>
      <c r="AQ30" s="43">
        <f>'Ket qua kinh doanh'!AQ9</f>
        <v>12013498032</v>
      </c>
      <c r="AR30" s="43">
        <f>'Ket qua kinh doanh'!AR9</f>
        <v>3156769708</v>
      </c>
      <c r="AS30" s="43">
        <f>'Ket qua kinh doanh'!AS9</f>
        <v>-1702441870</v>
      </c>
      <c r="AT30" s="43">
        <f>'Ket qua kinh doanh'!AT9</f>
        <v>-4766532065</v>
      </c>
      <c r="AU30" s="43">
        <f>'Ket qua kinh doanh'!AU9</f>
        <v>6057054340</v>
      </c>
      <c r="AV30" s="43">
        <f>'Ket qua kinh doanh'!AV9</f>
        <v>24060273128</v>
      </c>
      <c r="AW30" s="43">
        <f>'Ket qua kinh doanh'!AW9</f>
        <v>4674156853</v>
      </c>
      <c r="AX30" s="43">
        <f>'Ket qua kinh doanh'!AX9</f>
        <v>5127697717</v>
      </c>
      <c r="AY30" s="43">
        <f>'Ket qua kinh doanh'!AY9</f>
        <v>128968857470</v>
      </c>
      <c r="AZ30" s="43">
        <f>'Ket qua kinh doanh'!AZ9</f>
        <v>18163062466</v>
      </c>
      <c r="BA30" s="43">
        <f>'Ket qua kinh doanh'!BA9</f>
        <v>33428829554</v>
      </c>
      <c r="BB30" s="43">
        <f>'Ket qua kinh doanh'!BB9</f>
        <v>20744016857</v>
      </c>
      <c r="BC30" s="43">
        <f>'Ket qua kinh doanh'!BC9</f>
        <v>15787841704</v>
      </c>
      <c r="BD30" s="43">
        <f>'Ket qua kinh doanh'!BD9</f>
        <v>22161064744</v>
      </c>
      <c r="BE30" s="43">
        <f>'Ket qua kinh doanh'!BE9</f>
        <v>13671023177</v>
      </c>
      <c r="BF30" s="43">
        <f>'Ket qua kinh doanh'!BF9</f>
        <v>9317564878</v>
      </c>
      <c r="BG30" s="43">
        <f>'Ket qua kinh doanh'!BG9</f>
        <v>13340810740</v>
      </c>
      <c r="BH30" s="43">
        <f>'Ket qua kinh doanh'!BH9</f>
        <v>1597120562</v>
      </c>
      <c r="BI30" s="43">
        <f>'Ket qua kinh doanh'!BI9</f>
        <v>8961619444</v>
      </c>
      <c r="BJ30" s="43">
        <f>'Ket qua kinh doanh'!BJ9</f>
        <v>7407279958</v>
      </c>
      <c r="BK30" s="43">
        <f>'Ket qua kinh doanh'!BK9</f>
        <v>29449792916</v>
      </c>
      <c r="BL30" s="43">
        <f>'Ket qua kinh doanh'!BL9</f>
        <v>11018924052</v>
      </c>
      <c r="BM30" s="43">
        <f>'Ket qua kinh doanh'!BM9</f>
        <v>6155334899</v>
      </c>
      <c r="BN30" s="43">
        <f>'Ket qua kinh doanh'!BN9</f>
        <v>7461082664</v>
      </c>
      <c r="BO30" s="43">
        <f>'Ket qua kinh doanh'!BO9</f>
        <v>17970851610</v>
      </c>
      <c r="BP30" s="43">
        <f>'Ket qua kinh doanh'!BP9</f>
        <v>22185276979</v>
      </c>
      <c r="BQ30" s="43">
        <f>'Ket qua kinh doanh'!BQ9</f>
        <v>19548754969</v>
      </c>
      <c r="BR30" s="43">
        <f>'Ket qua kinh doanh'!BR9</f>
        <v>0</v>
      </c>
      <c r="BS30" s="43">
        <f>'Ket qua kinh doanh'!BS9</f>
        <v>0</v>
      </c>
      <c r="BT30" s="43">
        <f>'Ket qua kinh doanh'!BT9</f>
        <v>0</v>
      </c>
      <c r="BU30" s="43">
        <f>'Ket qua kinh doanh'!BU9</f>
        <v>0</v>
      </c>
      <c r="BV30" s="43">
        <f>'Ket qua kinh doanh'!BV9</f>
        <v>0</v>
      </c>
      <c r="BW30" s="43">
        <f>'Ket qua kinh doanh'!BW9</f>
        <v>0</v>
      </c>
    </row>
    <row r="31" spans="1:75">
      <c r="A31" s="165">
        <v>28</v>
      </c>
      <c r="B31" s="166" t="s">
        <v>430</v>
      </c>
      <c r="C31" s="168">
        <v>5</v>
      </c>
      <c r="D31" s="45">
        <f t="shared" ref="D31:BO31" si="12">IFERROR(D30/D12,"")</f>
        <v>0.21822357659847239</v>
      </c>
      <c r="E31" s="45">
        <f t="shared" si="12"/>
        <v>0.15539514974143637</v>
      </c>
      <c r="F31" s="45">
        <f t="shared" si="12"/>
        <v>0.22972146654733128</v>
      </c>
      <c r="G31" s="45">
        <f t="shared" si="12"/>
        <v>0.23789851343623558</v>
      </c>
      <c r="H31" s="45">
        <f t="shared" si="12"/>
        <v>0.21051336690961006</v>
      </c>
      <c r="I31" s="45">
        <f t="shared" si="12"/>
        <v>6.9702746738162333E-2</v>
      </c>
      <c r="J31" s="45">
        <f t="shared" si="12"/>
        <v>0.11972141793495233</v>
      </c>
      <c r="K31" s="45">
        <f t="shared" si="12"/>
        <v>-1.1196301169154073</v>
      </c>
      <c r="L31" s="45">
        <f t="shared" si="12"/>
        <v>-6.4405355757587823E-2</v>
      </c>
      <c r="M31" s="45">
        <f t="shared" si="12"/>
        <v>0.1109842288230237</v>
      </c>
      <c r="N31" s="45">
        <f t="shared" si="12"/>
        <v>9.7625543224228201E-2</v>
      </c>
      <c r="O31" s="45">
        <f t="shared" si="12"/>
        <v>7.6646758114753744E-2</v>
      </c>
      <c r="P31" s="45">
        <f t="shared" si="12"/>
        <v>8.7287309256176046E-2</v>
      </c>
      <c r="Q31" s="45">
        <f t="shared" si="12"/>
        <v>-0.1311729304371034</v>
      </c>
      <c r="R31" s="45">
        <f t="shared" si="12"/>
        <v>0.12374353399138424</v>
      </c>
      <c r="S31" s="45">
        <f t="shared" si="12"/>
        <v>0.20114613030671791</v>
      </c>
      <c r="T31" s="45">
        <f t="shared" si="12"/>
        <v>0.15095787596142876</v>
      </c>
      <c r="U31" s="45">
        <f t="shared" si="12"/>
        <v>0.16387897865934198</v>
      </c>
      <c r="V31" s="45">
        <f t="shared" si="12"/>
        <v>0.24387160950146014</v>
      </c>
      <c r="W31" s="45">
        <f t="shared" si="12"/>
        <v>0.15196878354264945</v>
      </c>
      <c r="X31" s="45">
        <f t="shared" si="12"/>
        <v>0.1230194660744839</v>
      </c>
      <c r="Y31" s="45">
        <f t="shared" si="12"/>
        <v>7.6982166974995478E-2</v>
      </c>
      <c r="Z31" s="45">
        <f t="shared" si="12"/>
        <v>0.10763563926347459</v>
      </c>
      <c r="AA31" s="45">
        <f t="shared" si="12"/>
        <v>-9.6527349748151317E-2</v>
      </c>
      <c r="AB31" s="45">
        <f t="shared" si="12"/>
        <v>0.16782114696550868</v>
      </c>
      <c r="AC31" s="45">
        <f t="shared" si="12"/>
        <v>4.877721125035224E-2</v>
      </c>
      <c r="AD31" s="45">
        <f t="shared" si="12"/>
        <v>-3.4430045265477466E-2</v>
      </c>
      <c r="AE31" s="45">
        <f t="shared" si="12"/>
        <v>6.3523799057283092E-3</v>
      </c>
      <c r="AF31" s="45">
        <f t="shared" si="12"/>
        <v>0.12816383785742114</v>
      </c>
      <c r="AG31" s="45">
        <f t="shared" si="12"/>
        <v>0.84472382063246898</v>
      </c>
      <c r="AH31" s="45">
        <f t="shared" si="12"/>
        <v>0.16308034096399129</v>
      </c>
      <c r="AI31" s="45">
        <f t="shared" si="12"/>
        <v>0.20515977088560677</v>
      </c>
      <c r="AJ31" s="45">
        <f t="shared" si="12"/>
        <v>0.41880463732418677</v>
      </c>
      <c r="AK31" s="45">
        <f t="shared" si="12"/>
        <v>0.26846691170169185</v>
      </c>
      <c r="AL31" s="45">
        <f t="shared" si="12"/>
        <v>0.21921891580196895</v>
      </c>
      <c r="AM31" s="45">
        <f t="shared" si="12"/>
        <v>0.34315615248094061</v>
      </c>
      <c r="AN31" s="45">
        <f t="shared" si="12"/>
        <v>0.10545728494592503</v>
      </c>
      <c r="AO31" s="45">
        <f t="shared" si="12"/>
        <v>2.7767055775691609E-3</v>
      </c>
      <c r="AP31" s="45">
        <f t="shared" si="12"/>
        <v>5.7378775906268255E-2</v>
      </c>
      <c r="AQ31" s="45">
        <f t="shared" si="12"/>
        <v>0.12322914979896561</v>
      </c>
      <c r="AR31" s="45">
        <f t="shared" si="12"/>
        <v>3.0838370136944668E-2</v>
      </c>
      <c r="AS31" s="45">
        <f t="shared" si="12"/>
        <v>-2.5001653870348813E-2</v>
      </c>
      <c r="AT31" s="45">
        <f t="shared" si="12"/>
        <v>-8.4436224216148853E-2</v>
      </c>
      <c r="AU31" s="45">
        <f t="shared" si="12"/>
        <v>3.9324405459122518E-2</v>
      </c>
      <c r="AV31" s="45">
        <f t="shared" si="12"/>
        <v>0.15341636786377219</v>
      </c>
      <c r="AW31" s="45">
        <f t="shared" si="12"/>
        <v>4.0014150041842611E-2</v>
      </c>
      <c r="AX31" s="45">
        <f t="shared" si="12"/>
        <v>6.7357910544018296E-2</v>
      </c>
      <c r="AY31" s="45">
        <f t="shared" si="12"/>
        <v>1.2142806683701188</v>
      </c>
      <c r="AZ31" s="45">
        <f t="shared" si="12"/>
        <v>0.15868132196480847</v>
      </c>
      <c r="BA31" s="45">
        <f t="shared" si="12"/>
        <v>0.17781343289866669</v>
      </c>
      <c r="BB31" s="45">
        <f t="shared" si="12"/>
        <v>0.13806027784541253</v>
      </c>
      <c r="BC31" s="45">
        <f t="shared" si="12"/>
        <v>0.12587009309402653</v>
      </c>
      <c r="BD31" s="45">
        <f t="shared" si="12"/>
        <v>0.14573210443999959</v>
      </c>
      <c r="BE31" s="45">
        <f t="shared" si="12"/>
        <v>0.11475268161683538</v>
      </c>
      <c r="BF31" s="45">
        <f t="shared" si="12"/>
        <v>6.7522790639328173E-2</v>
      </c>
      <c r="BG31" s="45">
        <f t="shared" si="12"/>
        <v>7.920090589920864E-2</v>
      </c>
      <c r="BH31" s="45">
        <f t="shared" si="12"/>
        <v>1.8853882177996016E-2</v>
      </c>
      <c r="BI31" s="45">
        <f t="shared" si="12"/>
        <v>8.2270615886080353E-2</v>
      </c>
      <c r="BJ31" s="45">
        <f t="shared" si="12"/>
        <v>8.3842191694453366E-2</v>
      </c>
      <c r="BK31" s="45">
        <f t="shared" si="12"/>
        <v>0.29521198323775405</v>
      </c>
      <c r="BL31" s="45">
        <f t="shared" si="12"/>
        <v>8.738309443813197E-2</v>
      </c>
      <c r="BM31" s="45">
        <f t="shared" si="12"/>
        <v>6.3741726528624185E-2</v>
      </c>
      <c r="BN31" s="45">
        <f t="shared" si="12"/>
        <v>4.3051540652948951E-2</v>
      </c>
      <c r="BO31" s="45">
        <f t="shared" si="12"/>
        <v>0.11298382348450328</v>
      </c>
      <c r="BP31" s="45">
        <f t="shared" ref="BP31:BV31" si="13">IFERROR(BP30/BP12,"")</f>
        <v>0.13886166598195682</v>
      </c>
      <c r="BQ31" s="45">
        <f t="shared" si="13"/>
        <v>0.15895320658694531</v>
      </c>
      <c r="BR31" s="45" t="str">
        <f t="shared" si="13"/>
        <v/>
      </c>
      <c r="BS31" s="45" t="str">
        <f t="shared" si="13"/>
        <v/>
      </c>
      <c r="BT31" s="45" t="str">
        <f t="shared" si="13"/>
        <v/>
      </c>
      <c r="BU31" s="45" t="str">
        <f t="shared" si="13"/>
        <v/>
      </c>
      <c r="BV31" s="45" t="str">
        <f t="shared" si="13"/>
        <v/>
      </c>
      <c r="BW31" s="45" t="str">
        <f t="shared" ref="BW31" si="14">IFERROR(BW30/BW12,"")</f>
        <v/>
      </c>
    </row>
    <row r="32" spans="1:75">
      <c r="A32" s="162">
        <v>29</v>
      </c>
      <c r="B32" s="163" t="s">
        <v>431</v>
      </c>
      <c r="C32" s="164">
        <v>5</v>
      </c>
      <c r="D32" s="43">
        <f>'Ket qua kinh doanh'!D20</f>
        <v>-145319929</v>
      </c>
      <c r="E32" s="43">
        <f>'Ket qua kinh doanh'!E20</f>
        <v>-261866118</v>
      </c>
      <c r="F32" s="43">
        <f>'Ket qua kinh doanh'!F20</f>
        <v>1866883543</v>
      </c>
      <c r="G32" s="43">
        <f>'Ket qua kinh doanh'!G20</f>
        <v>1265693699</v>
      </c>
      <c r="H32" s="43">
        <f>'Ket qua kinh doanh'!H20</f>
        <v>-227064320</v>
      </c>
      <c r="I32" s="43">
        <f>'Ket qua kinh doanh'!I20</f>
        <v>354501799</v>
      </c>
      <c r="J32" s="43">
        <f>'Ket qua kinh doanh'!J20</f>
        <v>12137445786</v>
      </c>
      <c r="K32" s="43">
        <f>'Ket qua kinh doanh'!K20</f>
        <v>1067465245</v>
      </c>
      <c r="L32" s="43">
        <f>'Ket qua kinh doanh'!L20</f>
        <v>2129055551</v>
      </c>
      <c r="M32" s="43">
        <f>'Ket qua kinh doanh'!M20</f>
        <v>868899223</v>
      </c>
      <c r="N32" s="43">
        <f>'Ket qua kinh doanh'!N20</f>
        <v>-10758350</v>
      </c>
      <c r="O32" s="43">
        <f>'Ket qua kinh doanh'!O20</f>
        <v>1343327568</v>
      </c>
      <c r="P32" s="43">
        <f>'Ket qua kinh doanh'!P20</f>
        <v>4987372370</v>
      </c>
      <c r="Q32" s="43">
        <f>'Ket qua kinh doanh'!Q20</f>
        <v>-1188569266</v>
      </c>
      <c r="R32" s="43">
        <f>'Ket qua kinh doanh'!R20</f>
        <v>-1383573435</v>
      </c>
      <c r="S32" s="43">
        <f>'Ket qua kinh doanh'!S20</f>
        <v>1018428140</v>
      </c>
      <c r="T32" s="43">
        <f>'Ket qua kinh doanh'!T20</f>
        <v>2287107255</v>
      </c>
      <c r="U32" s="43">
        <f>'Ket qua kinh doanh'!U20</f>
        <v>2139242572</v>
      </c>
      <c r="V32" s="43">
        <f>'Ket qua kinh doanh'!V20</f>
        <v>1491679123</v>
      </c>
      <c r="W32" s="43">
        <f>'Ket qua kinh doanh'!W20</f>
        <v>3506227410</v>
      </c>
      <c r="X32" s="43">
        <f>'Ket qua kinh doanh'!X20</f>
        <v>1434751730</v>
      </c>
      <c r="Y32" s="43">
        <f>'Ket qua kinh doanh'!Y20</f>
        <v>579475053</v>
      </c>
      <c r="Z32" s="43">
        <f>'Ket qua kinh doanh'!Z20</f>
        <v>2629328953</v>
      </c>
      <c r="AA32" s="43">
        <f>'Ket qua kinh doanh'!AA20</f>
        <v>63726552741</v>
      </c>
      <c r="AB32" s="43">
        <f>'Ket qua kinh doanh'!AB20</f>
        <v>724962584</v>
      </c>
      <c r="AC32" s="43">
        <f>'Ket qua kinh doanh'!AC20</f>
        <v>-2654785819</v>
      </c>
      <c r="AD32" s="43">
        <f>'Ket qua kinh doanh'!AD20</f>
        <v>-7224620341</v>
      </c>
      <c r="AE32" s="43">
        <f>'Ket qua kinh doanh'!AE20</f>
        <v>-2945815773</v>
      </c>
      <c r="AF32" s="43">
        <f>'Ket qua kinh doanh'!AF20</f>
        <v>2782824124</v>
      </c>
      <c r="AG32" s="43">
        <f>'Ket qua kinh doanh'!AG20</f>
        <v>39020207703</v>
      </c>
      <c r="AH32" s="43">
        <f>'Ket qua kinh doanh'!AH20</f>
        <v>4428971361</v>
      </c>
      <c r="AI32" s="43">
        <f>'Ket qua kinh doanh'!AI20</f>
        <v>12408029027</v>
      </c>
      <c r="AJ32" s="43">
        <f>'Ket qua kinh doanh'!AJ20</f>
        <v>22901435976</v>
      </c>
      <c r="AK32" s="43">
        <f>'Ket qua kinh doanh'!AK20</f>
        <v>17510693234</v>
      </c>
      <c r="AL32" s="43">
        <f>'Ket qua kinh doanh'!AL20</f>
        <v>9200113435</v>
      </c>
      <c r="AM32" s="43">
        <f>'Ket qua kinh doanh'!AM20</f>
        <v>17443795860</v>
      </c>
      <c r="AN32" s="43">
        <f>'Ket qua kinh doanh'!AN20</f>
        <v>1925739613</v>
      </c>
      <c r="AO32" s="43">
        <f>'Ket qua kinh doanh'!AO20</f>
        <v>-5270648797</v>
      </c>
      <c r="AP32" s="43">
        <f>'Ket qua kinh doanh'!AP20</f>
        <v>-2959309601</v>
      </c>
      <c r="AQ32" s="43">
        <f>'Ket qua kinh doanh'!AQ20</f>
        <v>2475246740</v>
      </c>
      <c r="AR32" s="43">
        <f>'Ket qua kinh doanh'!AR20</f>
        <v>-4153402340</v>
      </c>
      <c r="AS32" s="43">
        <f>'Ket qua kinh doanh'!AS20</f>
        <v>-10215448067</v>
      </c>
      <c r="AT32" s="43">
        <f>'Ket qua kinh doanh'!AT20</f>
        <v>-13524685493</v>
      </c>
      <c r="AU32" s="43">
        <f>'Ket qua kinh doanh'!AU20</f>
        <v>-8282947985</v>
      </c>
      <c r="AV32" s="43">
        <f>'Ket qua kinh doanh'!AV20</f>
        <v>9673268117</v>
      </c>
      <c r="AW32" s="43">
        <f>'Ket qua kinh doanh'!AW20</f>
        <v>-4978185231</v>
      </c>
      <c r="AX32" s="43">
        <f>'Ket qua kinh doanh'!AX20</f>
        <v>-3242020126</v>
      </c>
      <c r="AY32" s="43">
        <f>'Ket qua kinh doanh'!AY20</f>
        <v>105403947594</v>
      </c>
      <c r="AZ32" s="43">
        <f>'Ket qua kinh doanh'!AZ20</f>
        <v>5761271238</v>
      </c>
      <c r="BA32" s="43">
        <f>'Ket qua kinh doanh'!BA20</f>
        <v>20413496509</v>
      </c>
      <c r="BB32" s="43">
        <f>'Ket qua kinh doanh'!BB20</f>
        <v>8350881246</v>
      </c>
      <c r="BC32" s="43">
        <f>'Ket qua kinh doanh'!BC20</f>
        <v>4428276973</v>
      </c>
      <c r="BD32" s="43">
        <f>'Ket qua kinh doanh'!BD20</f>
        <v>11212005063</v>
      </c>
      <c r="BE32" s="43">
        <f>'Ket qua kinh doanh'!BE20</f>
        <v>1261765596</v>
      </c>
      <c r="BF32" s="43">
        <f>'Ket qua kinh doanh'!BF20</f>
        <v>-1791468483</v>
      </c>
      <c r="BG32" s="43">
        <f>'Ket qua kinh doanh'!BG20</f>
        <v>297419333</v>
      </c>
      <c r="BH32" s="43">
        <f>'Ket qua kinh doanh'!BH20</f>
        <v>-11551325497</v>
      </c>
      <c r="BI32" s="43">
        <f>'Ket qua kinh doanh'!BI20</f>
        <v>-5201346672</v>
      </c>
      <c r="BJ32" s="43">
        <f>'Ket qua kinh doanh'!BJ20</f>
        <v>-7774530924</v>
      </c>
      <c r="BK32" s="43">
        <f>'Ket qua kinh doanh'!BK20</f>
        <v>5991671450</v>
      </c>
      <c r="BL32" s="43">
        <f>'Ket qua kinh doanh'!BL20</f>
        <v>-1693460736</v>
      </c>
      <c r="BM32" s="43">
        <f>'Ket qua kinh doanh'!BM20</f>
        <v>-6419213738</v>
      </c>
      <c r="BN32" s="43">
        <f>'Ket qua kinh doanh'!BN20</f>
        <v>-6818467491</v>
      </c>
      <c r="BO32" s="43">
        <f>'Ket qua kinh doanh'!BO20</f>
        <v>3703754212</v>
      </c>
      <c r="BP32" s="43">
        <f>'Ket qua kinh doanh'!BP20</f>
        <v>8181583918</v>
      </c>
      <c r="BQ32" s="43">
        <f>'Ket qua kinh doanh'!BQ20</f>
        <v>7679262616</v>
      </c>
      <c r="BR32" s="43">
        <f>'Ket qua kinh doanh'!BR20</f>
        <v>0</v>
      </c>
      <c r="BS32" s="43">
        <f>'Ket qua kinh doanh'!BS20</f>
        <v>0</v>
      </c>
      <c r="BT32" s="43">
        <f>'Ket qua kinh doanh'!BT20</f>
        <v>0</v>
      </c>
      <c r="BU32" s="43">
        <f>'Ket qua kinh doanh'!BU20</f>
        <v>0</v>
      </c>
      <c r="BV32" s="43">
        <f>'Ket qua kinh doanh'!BV20</f>
        <v>0</v>
      </c>
      <c r="BW32" s="43">
        <f>'Ket qua kinh doanh'!BW20</f>
        <v>0</v>
      </c>
    </row>
    <row r="33" spans="1:75">
      <c r="A33" s="165">
        <v>30</v>
      </c>
      <c r="B33" s="166" t="s">
        <v>432</v>
      </c>
      <c r="C33" s="168">
        <v>5</v>
      </c>
      <c r="D33" s="45">
        <f t="shared" ref="D33:BO33" si="15">IFERROR(D32/D12,"")</f>
        <v>-6.6267152425378048E-2</v>
      </c>
      <c r="E33" s="45">
        <f t="shared" si="15"/>
        <v>-0.14614516285657839</v>
      </c>
      <c r="F33" s="45">
        <f t="shared" si="15"/>
        <v>0.21502710800583538</v>
      </c>
      <c r="G33" s="45">
        <f t="shared" si="15"/>
        <v>0.2020476497041736</v>
      </c>
      <c r="H33" s="45">
        <f t="shared" si="15"/>
        <v>-0.16490102108740659</v>
      </c>
      <c r="I33" s="45">
        <f t="shared" si="15"/>
        <v>0.40833218148535222</v>
      </c>
      <c r="J33" s="45">
        <f t="shared" si="15"/>
        <v>3.933599066208445</v>
      </c>
      <c r="K33" s="45">
        <f t="shared" si="15"/>
        <v>0.52427717872623658</v>
      </c>
      <c r="L33" s="45">
        <f t="shared" si="15"/>
        <v>0.53122340132434454</v>
      </c>
      <c r="M33" s="45">
        <f t="shared" si="15"/>
        <v>0.10378251312323826</v>
      </c>
      <c r="N33" s="45">
        <f t="shared" si="15"/>
        <v>-1.2487879269615946E-3</v>
      </c>
      <c r="O33" s="45">
        <f t="shared" si="15"/>
        <v>0.10176129418009132</v>
      </c>
      <c r="P33" s="45">
        <f t="shared" si="15"/>
        <v>0.66515714599477205</v>
      </c>
      <c r="Q33" s="45">
        <f t="shared" si="15"/>
        <v>-0.19448639317286476</v>
      </c>
      <c r="R33" s="45">
        <f t="shared" si="15"/>
        <v>-6.111830899943619E-2</v>
      </c>
      <c r="S33" s="45">
        <f t="shared" si="15"/>
        <v>3.7136201387388101E-2</v>
      </c>
      <c r="T33" s="45">
        <f t="shared" si="15"/>
        <v>0.12463542459027978</v>
      </c>
      <c r="U33" s="45">
        <f t="shared" si="15"/>
        <v>9.7673305671667668E-2</v>
      </c>
      <c r="V33" s="45">
        <f t="shared" si="15"/>
        <v>9.3939942284920031E-2</v>
      </c>
      <c r="W33" s="45">
        <f t="shared" si="15"/>
        <v>9.1404740126388093E-2</v>
      </c>
      <c r="X33" s="45">
        <f t="shared" si="15"/>
        <v>3.8977550866236818E-2</v>
      </c>
      <c r="Y33" s="45">
        <f t="shared" si="15"/>
        <v>1.3937110529965156E-2</v>
      </c>
      <c r="Z33" s="45">
        <f t="shared" si="15"/>
        <v>7.5777052652298713E-2</v>
      </c>
      <c r="AA33" s="45">
        <f t="shared" si="15"/>
        <v>1.0859208651555319</v>
      </c>
      <c r="AB33" s="45">
        <f t="shared" si="15"/>
        <v>2.9015384230837198E-2</v>
      </c>
      <c r="AC33" s="45">
        <f t="shared" si="15"/>
        <v>-0.11521348254761504</v>
      </c>
      <c r="AD33" s="45">
        <f t="shared" si="15"/>
        <v>-0.12201167415746927</v>
      </c>
      <c r="AE33" s="45">
        <f t="shared" si="15"/>
        <v>-5.4263700023585507E-2</v>
      </c>
      <c r="AF33" s="45">
        <f t="shared" si="15"/>
        <v>4.8286105929601641E-2</v>
      </c>
      <c r="AG33" s="45">
        <f t="shared" si="15"/>
        <v>0.76654956503202931</v>
      </c>
      <c r="AH33" s="45">
        <f t="shared" si="15"/>
        <v>8.2743793434896601E-2</v>
      </c>
      <c r="AI33" s="45">
        <f t="shared" si="15"/>
        <v>0.15850330263387791</v>
      </c>
      <c r="AJ33" s="45">
        <f t="shared" si="15"/>
        <v>0.35278473201726512</v>
      </c>
      <c r="AK33" s="45">
        <f t="shared" si="15"/>
        <v>0.20680733441973018</v>
      </c>
      <c r="AL33" s="45">
        <f t="shared" si="15"/>
        <v>0.14625864225008076</v>
      </c>
      <c r="AM33" s="45">
        <f t="shared" si="15"/>
        <v>0.24514640798746948</v>
      </c>
      <c r="AN33" s="45">
        <f t="shared" si="15"/>
        <v>2.0067811261432811E-2</v>
      </c>
      <c r="AO33" s="45">
        <f t="shared" si="15"/>
        <v>-7.6452975629658346E-2</v>
      </c>
      <c r="AP33" s="45">
        <f t="shared" si="15"/>
        <v>-3.2128166363964879E-2</v>
      </c>
      <c r="AQ33" s="45">
        <f t="shared" si="15"/>
        <v>2.5389986372027676E-2</v>
      </c>
      <c r="AR33" s="45">
        <f t="shared" si="15"/>
        <v>-4.0574438599045283E-2</v>
      </c>
      <c r="AS33" s="45">
        <f t="shared" si="15"/>
        <v>-0.15002162552643156</v>
      </c>
      <c r="AT33" s="45">
        <f t="shared" si="15"/>
        <v>-0.2395815996131023</v>
      </c>
      <c r="AU33" s="45">
        <f t="shared" si="15"/>
        <v>-5.3775645169292279E-2</v>
      </c>
      <c r="AV33" s="45">
        <f t="shared" si="15"/>
        <v>6.1680000554753922E-2</v>
      </c>
      <c r="AW33" s="45">
        <f t="shared" si="15"/>
        <v>-4.2616851987213128E-2</v>
      </c>
      <c r="AX33" s="45">
        <f t="shared" si="15"/>
        <v>-4.2587475643314124E-2</v>
      </c>
      <c r="AY33" s="45">
        <f t="shared" si="15"/>
        <v>0.99240993867890626</v>
      </c>
      <c r="AZ33" s="45">
        <f t="shared" si="15"/>
        <v>5.0333259490518159E-2</v>
      </c>
      <c r="BA33" s="45">
        <f t="shared" si="15"/>
        <v>0.10858273951430966</v>
      </c>
      <c r="BB33" s="45">
        <f t="shared" si="15"/>
        <v>5.5578675674270578E-2</v>
      </c>
      <c r="BC33" s="45">
        <f t="shared" si="15"/>
        <v>3.530486593974555E-2</v>
      </c>
      <c r="BD33" s="45">
        <f t="shared" si="15"/>
        <v>7.3730622228577888E-2</v>
      </c>
      <c r="BE33" s="45">
        <f t="shared" si="15"/>
        <v>1.0591086258741739E-2</v>
      </c>
      <c r="BF33" s="45">
        <f t="shared" si="15"/>
        <v>-1.2982464077087143E-2</v>
      </c>
      <c r="BG33" s="45">
        <f t="shared" si="15"/>
        <v>1.765700830678181E-3</v>
      </c>
      <c r="BH33" s="45">
        <f t="shared" si="15"/>
        <v>-0.13636248577715029</v>
      </c>
      <c r="BI33" s="45">
        <f t="shared" si="15"/>
        <v>-4.7750074282495315E-2</v>
      </c>
      <c r="BJ33" s="45">
        <f t="shared" si="15"/>
        <v>-8.7999065211578922E-2</v>
      </c>
      <c r="BK33" s="45">
        <f t="shared" si="15"/>
        <v>6.0061991495449107E-2</v>
      </c>
      <c r="BL33" s="45">
        <f t="shared" si="15"/>
        <v>-1.3429608800534138E-2</v>
      </c>
      <c r="BM33" s="45">
        <f t="shared" si="15"/>
        <v>-6.6474330532828974E-2</v>
      </c>
      <c r="BN33" s="45">
        <f t="shared" si="15"/>
        <v>-3.9343556907091431E-2</v>
      </c>
      <c r="BO33" s="45">
        <f t="shared" si="15"/>
        <v>2.3285725195445736E-2</v>
      </c>
      <c r="BP33" s="45">
        <f t="shared" ref="BP33:BV33" si="16">IFERROR(BP32/BP12,"")</f>
        <v>5.1210015286267369E-2</v>
      </c>
      <c r="BQ33" s="45">
        <f t="shared" si="16"/>
        <v>6.2440979948448092E-2</v>
      </c>
      <c r="BR33" s="45" t="str">
        <f t="shared" si="16"/>
        <v/>
      </c>
      <c r="BS33" s="45" t="str">
        <f t="shared" si="16"/>
        <v/>
      </c>
      <c r="BT33" s="45" t="str">
        <f t="shared" si="16"/>
        <v/>
      </c>
      <c r="BU33" s="45" t="str">
        <f t="shared" si="16"/>
        <v/>
      </c>
      <c r="BV33" s="45" t="str">
        <f t="shared" si="16"/>
        <v/>
      </c>
      <c r="BW33" s="45" t="str">
        <f t="shared" ref="BW33" si="17">IFERROR(BW32/BW12,"")</f>
        <v/>
      </c>
    </row>
    <row r="34" spans="1:75">
      <c r="A34" s="162">
        <v>31</v>
      </c>
      <c r="B34" s="163" t="s">
        <v>433</v>
      </c>
      <c r="C34" s="164">
        <v>5</v>
      </c>
      <c r="D34" s="43">
        <f>'Ket qua kinh doanh'!D20+'Ket qua kinh doanh'!D13+'Luu chuyen tien te'!D7</f>
        <v>136352476</v>
      </c>
      <c r="E34" s="43">
        <f>'Ket qua kinh doanh'!E20+'Ket qua kinh doanh'!E13+'Luu chuyen tien te'!E7</f>
        <v>85915529</v>
      </c>
      <c r="F34" s="43">
        <f>'Ket qua kinh doanh'!F20+'Ket qua kinh doanh'!F13+'Luu chuyen tien te'!F7</f>
        <v>2221900993</v>
      </c>
      <c r="G34" s="43">
        <f>'Ket qua kinh doanh'!G20+'Ket qua kinh doanh'!G13+'Luu chuyen tien te'!G7</f>
        <v>1766588646</v>
      </c>
      <c r="H34" s="43">
        <f>'Ket qua kinh doanh'!H20+'Ket qua kinh doanh'!H13+'Luu chuyen tien te'!H7</f>
        <v>328358875</v>
      </c>
      <c r="I34" s="43">
        <f>'Ket qua kinh doanh'!I20+'Ket qua kinh doanh'!I13+'Luu chuyen tien te'!I7</f>
        <v>992816142</v>
      </c>
      <c r="J34" s="43">
        <f>'Ket qua kinh doanh'!J20+'Ket qua kinh doanh'!J13+'Luu chuyen tien te'!J7</f>
        <v>12795508818</v>
      </c>
      <c r="K34" s="43">
        <f>'Ket qua kinh doanh'!K20+'Ket qua kinh doanh'!K13+'Luu chuyen tien te'!K7</f>
        <v>3620704523</v>
      </c>
      <c r="L34" s="43">
        <f>'Ket qua kinh doanh'!L20+'Ket qua kinh doanh'!L13+'Luu chuyen tien te'!L7</f>
        <v>4682596247</v>
      </c>
      <c r="M34" s="43">
        <f>'Ket qua kinh doanh'!M20+'Ket qua kinh doanh'!M13+'Luu chuyen tien te'!M7</f>
        <v>3412270936</v>
      </c>
      <c r="N34" s="43">
        <f>'Ket qua kinh doanh'!N20+'Ket qua kinh doanh'!N13+'Luu chuyen tien te'!N7</f>
        <v>2586928699</v>
      </c>
      <c r="O34" s="43">
        <f>'Ket qua kinh doanh'!O20+'Ket qua kinh doanh'!O13+'Luu chuyen tien te'!O7</f>
        <v>4007740865</v>
      </c>
      <c r="P34" s="43">
        <f>'Ket qua kinh doanh'!P20+'Ket qua kinh doanh'!P13+'Luu chuyen tien te'!P7</f>
        <v>7715806068</v>
      </c>
      <c r="Q34" s="43">
        <f>'Ket qua kinh doanh'!Q20+'Ket qua kinh doanh'!Q13+'Luu chuyen tien te'!Q7</f>
        <v>1679568350</v>
      </c>
      <c r="R34" s="43">
        <f>'Ket qua kinh doanh'!R20+'Ket qua kinh doanh'!R13+'Luu chuyen tien te'!R7</f>
        <v>1451406659</v>
      </c>
      <c r="S34" s="43">
        <f>'Ket qua kinh doanh'!S20+'Ket qua kinh doanh'!S13+'Luu chuyen tien te'!S7</f>
        <v>3766908334</v>
      </c>
      <c r="T34" s="43">
        <f>'Ket qua kinh doanh'!T20+'Ket qua kinh doanh'!T13+'Luu chuyen tien te'!T7</f>
        <v>5166263768</v>
      </c>
      <c r="U34" s="43">
        <f>'Ket qua kinh doanh'!U20+'Ket qua kinh doanh'!U13+'Luu chuyen tien te'!U7</f>
        <v>4580675350</v>
      </c>
      <c r="V34" s="43">
        <f>'Ket qua kinh doanh'!V20+'Ket qua kinh doanh'!V13+'Luu chuyen tien te'!V7</f>
        <v>4469949165</v>
      </c>
      <c r="W34" s="43">
        <f>'Ket qua kinh doanh'!W20+'Ket qua kinh doanh'!W13+'Luu chuyen tien te'!W7</f>
        <v>6683725042</v>
      </c>
      <c r="X34" s="43">
        <f>'Ket qua kinh doanh'!X20+'Ket qua kinh doanh'!X13+'Luu chuyen tien te'!X7</f>
        <v>4796279299</v>
      </c>
      <c r="Y34" s="43">
        <f>'Ket qua kinh doanh'!Y20+'Ket qua kinh doanh'!Y13+'Luu chuyen tien te'!Y7</f>
        <v>4015978573</v>
      </c>
      <c r="Z34" s="43">
        <f>'Ket qua kinh doanh'!Z20+'Ket qua kinh doanh'!Z13+'Luu chuyen tien te'!Z7</f>
        <v>6452029984</v>
      </c>
      <c r="AA34" s="43">
        <f>'Ket qua kinh doanh'!AA20+'Ket qua kinh doanh'!AA13+'Luu chuyen tien te'!AA7</f>
        <v>67207737364</v>
      </c>
      <c r="AB34" s="43">
        <f>'Ket qua kinh doanh'!AB20+'Ket qua kinh doanh'!AB13+'Luu chuyen tien te'!AB7</f>
        <v>2770739850</v>
      </c>
      <c r="AC34" s="43">
        <f>'Ket qua kinh doanh'!AC20+'Ket qua kinh doanh'!AC13+'Luu chuyen tien te'!AC7</f>
        <v>-493988346</v>
      </c>
      <c r="AD34" s="43">
        <f>'Ket qua kinh doanh'!AD20+'Ket qua kinh doanh'!AD13+'Luu chuyen tien te'!AD7</f>
        <v>-4818774852</v>
      </c>
      <c r="AE34" s="43">
        <f>'Ket qua kinh doanh'!AE20+'Ket qua kinh doanh'!AE13+'Luu chuyen tien te'!AE7</f>
        <v>-364576041</v>
      </c>
      <c r="AF34" s="43">
        <f>'Ket qua kinh doanh'!AF20+'Ket qua kinh doanh'!AF13+'Luu chuyen tien te'!AF7</f>
        <v>5306922746</v>
      </c>
      <c r="AG34" s="43">
        <f>'Ket qua kinh doanh'!AG20+'Ket qua kinh doanh'!AG13+'Luu chuyen tien te'!AG7</f>
        <v>41537284198</v>
      </c>
      <c r="AH34" s="43">
        <f>'Ket qua kinh doanh'!AH20+'Ket qua kinh doanh'!AH13+'Luu chuyen tien te'!AH7</f>
        <v>7118925274</v>
      </c>
      <c r="AI34" s="43">
        <f>'Ket qua kinh doanh'!AI20+'Ket qua kinh doanh'!AI13+'Luu chuyen tien te'!AI7</f>
        <v>15241999332</v>
      </c>
      <c r="AJ34" s="43">
        <f>'Ket qua kinh doanh'!AJ20+'Ket qua kinh doanh'!AJ13+'Luu chuyen tien te'!AJ7</f>
        <v>25852908854</v>
      </c>
      <c r="AK34" s="43">
        <f>'Ket qua kinh doanh'!AK20+'Ket qua kinh doanh'!AK13+'Luu chuyen tien te'!AK7</f>
        <v>20516989513</v>
      </c>
      <c r="AL34" s="43">
        <f>'Ket qua kinh doanh'!AL20+'Ket qua kinh doanh'!AL13+'Luu chuyen tien te'!AL7</f>
        <v>12238521836</v>
      </c>
      <c r="AM34" s="43">
        <f>'Ket qua kinh doanh'!AM20+'Ket qua kinh doanh'!AM13+'Luu chuyen tien te'!AM7</f>
        <v>20788597005</v>
      </c>
      <c r="AN34" s="43">
        <f>'Ket qua kinh doanh'!AN20+'Ket qua kinh doanh'!AN13+'Luu chuyen tien te'!AN7</f>
        <v>5384680897</v>
      </c>
      <c r="AO34" s="43">
        <f>'Ket qua kinh doanh'!AO20+'Ket qua kinh doanh'!AO13+'Luu chuyen tien te'!AO7</f>
        <v>-1703380519</v>
      </c>
      <c r="AP34" s="43">
        <f>'Ket qua kinh doanh'!AP20+'Ket qua kinh doanh'!AP13+'Luu chuyen tien te'!AP7</f>
        <v>626985252</v>
      </c>
      <c r="AQ34" s="43">
        <f>'Ket qua kinh doanh'!AQ20+'Ket qua kinh doanh'!AQ13+'Luu chuyen tien te'!AQ7</f>
        <v>6561979281</v>
      </c>
      <c r="AR34" s="43">
        <f>'Ket qua kinh doanh'!AR20+'Ket qua kinh doanh'!AR13+'Luu chuyen tien te'!AR7</f>
        <v>59631967</v>
      </c>
      <c r="AS34" s="43">
        <f>'Ket qua kinh doanh'!AS20+'Ket qua kinh doanh'!AS13+'Luu chuyen tien te'!AS7</f>
        <v>-5859951964</v>
      </c>
      <c r="AT34" s="43">
        <f>'Ket qua kinh doanh'!AT20+'Ket qua kinh doanh'!AT13+'Luu chuyen tien te'!AT7</f>
        <v>-9089366006</v>
      </c>
      <c r="AU34" s="43">
        <f>'Ket qua kinh doanh'!AU20+'Ket qua kinh doanh'!AU13+'Luu chuyen tien te'!AU7</f>
        <v>-4047933145</v>
      </c>
      <c r="AV34" s="43">
        <f>'Ket qua kinh doanh'!AV20+'Ket qua kinh doanh'!AV13+'Luu chuyen tien te'!AV7</f>
        <v>13967423844</v>
      </c>
      <c r="AW34" s="43">
        <f>'Ket qua kinh doanh'!AW20+'Ket qua kinh doanh'!AW13+'Luu chuyen tien te'!AW7</f>
        <v>-703227311</v>
      </c>
      <c r="AX34" s="43">
        <f>'Ket qua kinh doanh'!AX20+'Ket qua kinh doanh'!AX13+'Luu chuyen tien te'!AX7</f>
        <v>1096125496</v>
      </c>
      <c r="AY34" s="43">
        <f>'Ket qua kinh doanh'!AY20+'Ket qua kinh doanh'!AY13+'Luu chuyen tien te'!AY7</f>
        <v>110198971178</v>
      </c>
      <c r="AZ34" s="43">
        <f>'Ket qua kinh doanh'!AZ20+'Ket qua kinh doanh'!AZ13+'Luu chuyen tien te'!AZ7</f>
        <v>10679249682</v>
      </c>
      <c r="BA34" s="43">
        <f>'Ket qua kinh doanh'!BA20+'Ket qua kinh doanh'!BA13+'Luu chuyen tien te'!BA7</f>
        <v>25146574404</v>
      </c>
      <c r="BB34" s="43">
        <f>'Ket qua kinh doanh'!BB20+'Ket qua kinh doanh'!BB13+'Luu chuyen tien te'!BB7</f>
        <v>13027482010</v>
      </c>
      <c r="BC34" s="43">
        <f>'Ket qua kinh doanh'!BC20+'Ket qua kinh doanh'!BC13+'Luu chuyen tien te'!BC7</f>
        <v>9221866353</v>
      </c>
      <c r="BD34" s="43">
        <f>'Ket qua kinh doanh'!BD20+'Ket qua kinh doanh'!BD13+'Luu chuyen tien te'!BD7</f>
        <v>16490448778</v>
      </c>
      <c r="BE34" s="43">
        <f>'Ket qua kinh doanh'!BE20+'Ket qua kinh doanh'!BE13+'Luu chuyen tien te'!BE7</f>
        <v>6798133756</v>
      </c>
      <c r="BF34" s="43">
        <f>'Ket qua kinh doanh'!BF20+'Ket qua kinh doanh'!BF13+'Luu chuyen tien te'!BF7</f>
        <v>3536012394</v>
      </c>
      <c r="BG34" s="43">
        <f>'Ket qua kinh doanh'!BG20+'Ket qua kinh doanh'!BG13+'Luu chuyen tien te'!BG7</f>
        <v>5693975403</v>
      </c>
      <c r="BH34" s="43">
        <f>'Ket qua kinh doanh'!BH20+'Ket qua kinh doanh'!BH13+'Luu chuyen tien te'!BH7</f>
        <v>-5548061094</v>
      </c>
      <c r="BI34" s="43">
        <f>'Ket qua kinh doanh'!BI20+'Ket qua kinh doanh'!BI13+'Luu chuyen tien te'!BI7</f>
        <v>428312446</v>
      </c>
      <c r="BJ34" s="43">
        <f>'Ket qua kinh doanh'!BJ20+'Ket qua kinh doanh'!BJ13+'Luu chuyen tien te'!BJ7</f>
        <v>-2096448071</v>
      </c>
      <c r="BK34" s="43">
        <f>'Ket qua kinh doanh'!BK20+'Ket qua kinh doanh'!BK13+'Luu chuyen tien te'!BK7</f>
        <v>11690093189</v>
      </c>
      <c r="BL34" s="43">
        <f>'Ket qua kinh doanh'!BL20+'Ket qua kinh doanh'!BL13+'Luu chuyen tien te'!BL7</f>
        <v>1680623174</v>
      </c>
      <c r="BM34" s="43">
        <f>'Ket qua kinh doanh'!BM20+'Ket qua kinh doanh'!BM13+'Luu chuyen tien te'!BM7</f>
        <v>-3159925832</v>
      </c>
      <c r="BN34" s="43">
        <f>'Ket qua kinh doanh'!BN20+'Ket qua kinh doanh'!BN13+'Luu chuyen tien te'!BN7</f>
        <v>-3740637369</v>
      </c>
      <c r="BO34" s="43">
        <f>'Ket qua kinh doanh'!BO20+'Ket qua kinh doanh'!BO13+'Luu chuyen tien te'!BO7</f>
        <v>7043800260</v>
      </c>
      <c r="BP34" s="43">
        <f>'Ket qua kinh doanh'!BP20+'Ket qua kinh doanh'!BP13+'Luu chuyen tien te'!BP7</f>
        <v>11351398266</v>
      </c>
      <c r="BQ34" s="43">
        <f>'Ket qua kinh doanh'!BQ20+'Ket qua kinh doanh'!BQ13+'Luu chuyen tien te'!BQ7</f>
        <v>10865866552</v>
      </c>
      <c r="BR34" s="43">
        <f>'Ket qua kinh doanh'!BR20+'Ket qua kinh doanh'!BR13+'Luu chuyen tien te'!BR7</f>
        <v>0</v>
      </c>
      <c r="BS34" s="43">
        <f>'Ket qua kinh doanh'!BS20+'Ket qua kinh doanh'!BS13+'Luu chuyen tien te'!BS7</f>
        <v>0</v>
      </c>
      <c r="BT34" s="43">
        <f>'Ket qua kinh doanh'!BT20+'Ket qua kinh doanh'!BT13+'Luu chuyen tien te'!BT7</f>
        <v>0</v>
      </c>
      <c r="BU34" s="43">
        <f>'Ket qua kinh doanh'!BU20+'Ket qua kinh doanh'!BU13+'Luu chuyen tien te'!BU7</f>
        <v>0</v>
      </c>
      <c r="BV34" s="43">
        <f>'Ket qua kinh doanh'!BV20+'Ket qua kinh doanh'!BV13+'Luu chuyen tien te'!BV7</f>
        <v>0</v>
      </c>
      <c r="BW34" s="43">
        <f>'Ket qua kinh doanh'!BW20+'Ket qua kinh doanh'!BW13+'Luu chuyen tien te'!BW7</f>
        <v>0</v>
      </c>
    </row>
    <row r="35" spans="1:75">
      <c r="A35" s="165">
        <v>32</v>
      </c>
      <c r="B35" s="166" t="s">
        <v>434</v>
      </c>
      <c r="C35" s="168">
        <v>5</v>
      </c>
      <c r="D35" s="45">
        <f t="shared" ref="D35:BO35" si="18">IFERROR(D34/D12,"")</f>
        <v>6.2177915808572286E-2</v>
      </c>
      <c r="E35" s="45">
        <f t="shared" si="18"/>
        <v>4.7948696354883462E-2</v>
      </c>
      <c r="F35" s="45">
        <f t="shared" si="18"/>
        <v>0.25591791549693033</v>
      </c>
      <c r="G35" s="45">
        <f t="shared" si="18"/>
        <v>0.2820074747945619</v>
      </c>
      <c r="H35" s="45">
        <f t="shared" si="18"/>
        <v>0.23846421036388327</v>
      </c>
      <c r="I35" s="45">
        <f t="shared" si="18"/>
        <v>1.1435732687966731</v>
      </c>
      <c r="J35" s="45">
        <f t="shared" si="18"/>
        <v>4.1468693187658063</v>
      </c>
      <c r="K35" s="45">
        <f t="shared" si="18"/>
        <v>1.7782806149531962</v>
      </c>
      <c r="L35" s="45">
        <f t="shared" si="18"/>
        <v>1.1683606396233248</v>
      </c>
      <c r="M35" s="45">
        <f t="shared" si="18"/>
        <v>0.40756631358555662</v>
      </c>
      <c r="N35" s="45">
        <f t="shared" si="18"/>
        <v>0.30028074260659532</v>
      </c>
      <c r="O35" s="45">
        <f t="shared" si="18"/>
        <v>0.30359899318379707</v>
      </c>
      <c r="P35" s="45">
        <f t="shared" si="18"/>
        <v>1.0290435849769974</v>
      </c>
      <c r="Q35" s="45">
        <f t="shared" si="18"/>
        <v>0.27482890549417904</v>
      </c>
      <c r="R35" s="45">
        <f t="shared" si="18"/>
        <v>6.411479031367881E-2</v>
      </c>
      <c r="S35" s="45">
        <f t="shared" si="18"/>
        <v>0.1373574246478054</v>
      </c>
      <c r="T35" s="45">
        <f t="shared" si="18"/>
        <v>0.28153444787619225</v>
      </c>
      <c r="U35" s="45">
        <f t="shared" si="18"/>
        <v>0.2091439790415798</v>
      </c>
      <c r="V35" s="45">
        <f t="shared" si="18"/>
        <v>0.28149939226348381</v>
      </c>
      <c r="W35" s="45">
        <f t="shared" si="18"/>
        <v>0.17423973949831231</v>
      </c>
      <c r="X35" s="45">
        <f t="shared" si="18"/>
        <v>0.13029935175296925</v>
      </c>
      <c r="Y35" s="45">
        <f t="shared" si="18"/>
        <v>9.6589382007222904E-2</v>
      </c>
      <c r="Z35" s="45">
        <f t="shared" si="18"/>
        <v>0.18594699429066761</v>
      </c>
      <c r="AA35" s="45">
        <f t="shared" si="18"/>
        <v>1.1452413658726868</v>
      </c>
      <c r="AB35" s="45">
        <f t="shared" si="18"/>
        <v>0.1108941111248332</v>
      </c>
      <c r="AC35" s="45">
        <f t="shared" si="18"/>
        <v>-2.1438308609782516E-2</v>
      </c>
      <c r="AD35" s="45">
        <f t="shared" si="18"/>
        <v>-8.1380994340119223E-2</v>
      </c>
      <c r="AE35" s="45">
        <f t="shared" si="18"/>
        <v>-6.7157101628467688E-3</v>
      </c>
      <c r="AF35" s="45">
        <f t="shared" si="18"/>
        <v>9.2082942527189487E-2</v>
      </c>
      <c r="AG35" s="45">
        <f t="shared" si="18"/>
        <v>0.81599737697297525</v>
      </c>
      <c r="AH35" s="45">
        <f t="shared" si="18"/>
        <v>0.13299857559190045</v>
      </c>
      <c r="AI35" s="45">
        <f t="shared" si="18"/>
        <v>0.19470515644413158</v>
      </c>
      <c r="AJ35" s="45">
        <f t="shared" si="18"/>
        <v>0.39825063945698369</v>
      </c>
      <c r="AK35" s="45">
        <f t="shared" si="18"/>
        <v>0.24231273170056197</v>
      </c>
      <c r="AL35" s="45">
        <f t="shared" si="18"/>
        <v>0.19456168660613105</v>
      </c>
      <c r="AM35" s="45">
        <f t="shared" si="18"/>
        <v>0.29215257526378874</v>
      </c>
      <c r="AN35" s="45">
        <f t="shared" si="18"/>
        <v>5.611286137262355E-2</v>
      </c>
      <c r="AO35" s="45">
        <f t="shared" si="18"/>
        <v>-2.4708250221731058E-2</v>
      </c>
      <c r="AP35" s="45">
        <f t="shared" si="18"/>
        <v>6.8069547293062842E-3</v>
      </c>
      <c r="AQ35" s="45">
        <f t="shared" si="18"/>
        <v>6.7309881405244451E-2</v>
      </c>
      <c r="AR35" s="45">
        <f t="shared" si="18"/>
        <v>5.825425483777703E-4</v>
      </c>
      <c r="AS35" s="45">
        <f t="shared" si="18"/>
        <v>-8.6057852125546425E-2</v>
      </c>
      <c r="AT35" s="45">
        <f t="shared" si="18"/>
        <v>-0.16101260530705302</v>
      </c>
      <c r="AU35" s="45">
        <f t="shared" si="18"/>
        <v>-2.6280524381988784E-2</v>
      </c>
      <c r="AV35" s="45">
        <f t="shared" si="18"/>
        <v>8.9060977120272986E-2</v>
      </c>
      <c r="AW35" s="45">
        <f t="shared" si="18"/>
        <v>-6.020132404802616E-3</v>
      </c>
      <c r="AX35" s="45">
        <f t="shared" si="18"/>
        <v>1.4398805697887766E-2</v>
      </c>
      <c r="AY35" s="45">
        <f t="shared" si="18"/>
        <v>1.037556531093935</v>
      </c>
      <c r="AZ35" s="45">
        <f t="shared" si="18"/>
        <v>9.3299104173879821E-2</v>
      </c>
      <c r="BA35" s="45">
        <f t="shared" si="18"/>
        <v>0.13375875793658915</v>
      </c>
      <c r="BB35" s="45">
        <f t="shared" si="18"/>
        <v>8.670344795442976E-2</v>
      </c>
      <c r="BC35" s="45">
        <f t="shared" si="18"/>
        <v>7.352222033355528E-2</v>
      </c>
      <c r="BD35" s="45">
        <f t="shared" si="18"/>
        <v>0.10844189263192378</v>
      </c>
      <c r="BE35" s="45">
        <f t="shared" si="18"/>
        <v>5.7062596441455019E-2</v>
      </c>
      <c r="BF35" s="45">
        <f t="shared" si="18"/>
        <v>2.5624873848947256E-2</v>
      </c>
      <c r="BG35" s="45">
        <f t="shared" si="18"/>
        <v>3.3803643487218198E-2</v>
      </c>
      <c r="BH35" s="45">
        <f t="shared" si="18"/>
        <v>-6.549442332118674E-2</v>
      </c>
      <c r="BI35" s="45">
        <f t="shared" si="18"/>
        <v>3.9320492176986863E-3</v>
      </c>
      <c r="BJ35" s="45">
        <f t="shared" si="18"/>
        <v>-2.3729466422612155E-2</v>
      </c>
      <c r="BK35" s="45">
        <f t="shared" si="18"/>
        <v>0.11718437560502847</v>
      </c>
      <c r="BL35" s="45">
        <f t="shared" si="18"/>
        <v>1.332780340762032E-2</v>
      </c>
      <c r="BM35" s="45">
        <f t="shared" si="18"/>
        <v>-3.2722692028796345E-2</v>
      </c>
      <c r="BN35" s="45">
        <f t="shared" si="18"/>
        <v>-2.1584025939890526E-2</v>
      </c>
      <c r="BO35" s="45">
        <f t="shared" si="18"/>
        <v>4.4284795317829591E-2</v>
      </c>
      <c r="BP35" s="45">
        <f t="shared" ref="BP35:BV35" si="19">IFERROR(BP34/BP12,"")</f>
        <v>7.1050457289017183E-2</v>
      </c>
      <c r="BQ35" s="45">
        <f t="shared" si="19"/>
        <v>8.8351628199603266E-2</v>
      </c>
      <c r="BR35" s="45" t="str">
        <f t="shared" si="19"/>
        <v/>
      </c>
      <c r="BS35" s="45" t="str">
        <f t="shared" si="19"/>
        <v/>
      </c>
      <c r="BT35" s="45" t="str">
        <f t="shared" si="19"/>
        <v/>
      </c>
      <c r="BU35" s="45" t="str">
        <f t="shared" si="19"/>
        <v/>
      </c>
      <c r="BV35" s="45" t="str">
        <f t="shared" si="19"/>
        <v/>
      </c>
      <c r="BW35" s="45" t="str">
        <f t="shared" ref="BW35" si="20">IFERROR(BW34/BW12,"")</f>
        <v/>
      </c>
    </row>
    <row r="36" spans="1:75">
      <c r="A36" s="162">
        <v>33</v>
      </c>
      <c r="B36" s="163" t="s">
        <v>435</v>
      </c>
      <c r="C36" s="164">
        <v>5</v>
      </c>
      <c r="D36" s="43">
        <f>'Ket qua kinh doanh'!D21+'Ket qua kinh doanh'!D22</f>
        <v>0</v>
      </c>
      <c r="E36" s="43">
        <f>'Ket qua kinh doanh'!E21+'Ket qua kinh doanh'!E22</f>
        <v>0</v>
      </c>
      <c r="F36" s="43">
        <f>'Ket qua kinh doanh'!F21+'Ket qua kinh doanh'!F22</f>
        <v>373376709</v>
      </c>
      <c r="G36" s="43">
        <f>'Ket qua kinh doanh'!G21+'Ket qua kinh doanh'!G22</f>
        <v>253138740</v>
      </c>
      <c r="H36" s="43">
        <f>'Ket qua kinh doanh'!H21+'Ket qua kinh doanh'!H22</f>
        <v>0</v>
      </c>
      <c r="I36" s="43">
        <f>'Ket qua kinh doanh'!I21+'Ket qua kinh doanh'!I22</f>
        <v>70900360</v>
      </c>
      <c r="J36" s="43">
        <f>'Ket qua kinh doanh'!J21+'Ket qua kinh doanh'!J22</f>
        <v>2427489157</v>
      </c>
      <c r="K36" s="43">
        <f>'Ket qua kinh doanh'!K21+'Ket qua kinh doanh'!K22</f>
        <v>213493049</v>
      </c>
      <c r="L36" s="43">
        <f>'Ket qua kinh doanh'!L21+'Ket qua kinh doanh'!L22</f>
        <v>425811110</v>
      </c>
      <c r="M36" s="43">
        <f>'Ket qua kinh doanh'!M21+'Ket qua kinh doanh'!M22</f>
        <v>173779845</v>
      </c>
      <c r="N36" s="43">
        <f>'Ket qua kinh doanh'!N21+'Ket qua kinh doanh'!N22</f>
        <v>0</v>
      </c>
      <c r="O36" s="43">
        <f>'Ket qua kinh doanh'!O21+'Ket qua kinh doanh'!O22</f>
        <v>-1083632052</v>
      </c>
      <c r="P36" s="43">
        <f>'Ket qua kinh doanh'!P21+'Ket qua kinh doanh'!P22</f>
        <v>997474474</v>
      </c>
      <c r="Q36" s="43">
        <f>'Ket qua kinh doanh'!Q21+'Ket qua kinh doanh'!Q22</f>
        <v>0</v>
      </c>
      <c r="R36" s="43">
        <f>'Ket qua kinh doanh'!R21+'Ket qua kinh doanh'!R22</f>
        <v>0</v>
      </c>
      <c r="S36" s="43">
        <f>'Ket qua kinh doanh'!S21+'Ket qua kinh doanh'!S22</f>
        <v>203685628</v>
      </c>
      <c r="T36" s="43">
        <f>'Ket qua kinh doanh'!T21+'Ket qua kinh doanh'!T22</f>
        <v>457567861</v>
      </c>
      <c r="U36" s="43">
        <f>'Ket qua kinh doanh'!U21+'Ket qua kinh doanh'!U22</f>
        <v>427848514</v>
      </c>
      <c r="V36" s="43">
        <f>'Ket qua kinh doanh'!V21+'Ket qua kinh doanh'!V22</f>
        <v>298494225</v>
      </c>
      <c r="W36" s="43">
        <f>'Ket qua kinh doanh'!W21+'Ket qua kinh doanh'!W22</f>
        <v>701245482</v>
      </c>
      <c r="X36" s="43">
        <f>'Ket qua kinh doanh'!X21+'Ket qua kinh doanh'!X22</f>
        <v>286950346</v>
      </c>
      <c r="Y36" s="43">
        <f>'Ket qua kinh doanh'!Y21+'Ket qua kinh doanh'!Y22</f>
        <v>115895011</v>
      </c>
      <c r="Z36" s="43">
        <f>'Ket qua kinh doanh'!Z21+'Ket qua kinh doanh'!Z22</f>
        <v>525865791</v>
      </c>
      <c r="AA36" s="43">
        <f>'Ket qua kinh doanh'!AA21+'Ket qua kinh doanh'!AA22</f>
        <v>15110212456</v>
      </c>
      <c r="AB36" s="43">
        <f>'Ket qua kinh doanh'!AB21+'Ket qua kinh doanh'!AB22</f>
        <v>144992517</v>
      </c>
      <c r="AC36" s="43">
        <f>'Ket qua kinh doanh'!AC21+'Ket qua kinh doanh'!AC22</f>
        <v>0</v>
      </c>
      <c r="AD36" s="43">
        <f>'Ket qua kinh doanh'!AD21+'Ket qua kinh doanh'!AD22</f>
        <v>0</v>
      </c>
      <c r="AE36" s="43">
        <f>'Ket qua kinh doanh'!AE21+'Ket qua kinh doanh'!AE22</f>
        <v>0</v>
      </c>
      <c r="AF36" s="43">
        <f>'Ket qua kinh doanh'!AF21+'Ket qua kinh doanh'!AF22</f>
        <v>0</v>
      </c>
      <c r="AG36" s="43">
        <f>'Ket qua kinh doanh'!AG21+'Ket qua kinh doanh'!AG22</f>
        <v>5795561979</v>
      </c>
      <c r="AH36" s="43">
        <f>'Ket qua kinh doanh'!AH21+'Ket qua kinh doanh'!AH22</f>
        <v>885794272</v>
      </c>
      <c r="AI36" s="43">
        <f>'Ket qua kinh doanh'!AI21+'Ket qua kinh doanh'!AI22</f>
        <v>2481605805</v>
      </c>
      <c r="AJ36" s="43">
        <f>'Ket qua kinh doanh'!AJ21+'Ket qua kinh doanh'!AJ22</f>
        <v>4580287195</v>
      </c>
      <c r="AK36" s="43">
        <f>'Ket qua kinh doanh'!AK21+'Ket qua kinh doanh'!AK22</f>
        <v>3502138647</v>
      </c>
      <c r="AL36" s="43">
        <f>'Ket qua kinh doanh'!AL21+'Ket qua kinh doanh'!AL22</f>
        <v>1840022687</v>
      </c>
      <c r="AM36" s="43">
        <f>'Ket qua kinh doanh'!AM21+'Ket qua kinh doanh'!AM22</f>
        <v>-8228778287</v>
      </c>
      <c r="AN36" s="43">
        <f>'Ket qua kinh doanh'!AN21+'Ket qua kinh doanh'!AN22</f>
        <v>0</v>
      </c>
      <c r="AO36" s="43">
        <f>'Ket qua kinh doanh'!AO21+'Ket qua kinh doanh'!AO22</f>
        <v>0</v>
      </c>
      <c r="AP36" s="43">
        <f>'Ket qua kinh doanh'!AP21+'Ket qua kinh doanh'!AP22</f>
        <v>0</v>
      </c>
      <c r="AQ36" s="43">
        <f>'Ket qua kinh doanh'!AQ21+'Ket qua kinh doanh'!AQ22</f>
        <v>0</v>
      </c>
      <c r="AR36" s="43">
        <f>'Ket qua kinh doanh'!AR21+'Ket qua kinh doanh'!AR22</f>
        <v>0</v>
      </c>
      <c r="AS36" s="43">
        <f>'Ket qua kinh doanh'!AS21+'Ket qua kinh doanh'!AS22</f>
        <v>0</v>
      </c>
      <c r="AT36" s="43">
        <f>'Ket qua kinh doanh'!AT21+'Ket qua kinh doanh'!AT22</f>
        <v>0</v>
      </c>
      <c r="AU36" s="43">
        <f>'Ket qua kinh doanh'!AU21+'Ket qua kinh doanh'!AU22</f>
        <v>0</v>
      </c>
      <c r="AV36" s="43">
        <f>'Ket qua kinh doanh'!AV21+'Ket qua kinh doanh'!AV22</f>
        <v>0</v>
      </c>
      <c r="AW36" s="43">
        <f>'Ket qua kinh doanh'!AW21+'Ket qua kinh doanh'!AW22</f>
        <v>0</v>
      </c>
      <c r="AX36" s="43">
        <f>'Ket qua kinh doanh'!AX21+'Ket qua kinh doanh'!AX22</f>
        <v>0</v>
      </c>
      <c r="AY36" s="43">
        <f>'Ket qua kinh doanh'!AY21+'Ket qua kinh doanh'!AY22</f>
        <v>13334207765</v>
      </c>
      <c r="AZ36" s="43">
        <f>'Ket qua kinh doanh'!AZ21+'Ket qua kinh doanh'!AZ22</f>
        <v>864190686</v>
      </c>
      <c r="BA36" s="43">
        <f>'Ket qua kinh doanh'!BA21+'Ket qua kinh doanh'!BA22</f>
        <v>3012699780</v>
      </c>
      <c r="BB36" s="43">
        <f>'Ket qua kinh doanh'!BB21+'Ket qua kinh doanh'!BB22</f>
        <v>1252632187</v>
      </c>
      <c r="BC36" s="43">
        <f>'Ket qua kinh doanh'!BC21+'Ket qua kinh doanh'!BC22</f>
        <v>677293488</v>
      </c>
      <c r="BD36" s="43">
        <f>'Ket qua kinh doanh'!BD21+'Ket qua kinh doanh'!BD22</f>
        <v>1681800759</v>
      </c>
      <c r="BE36" s="43">
        <f>'Ket qua kinh doanh'!BE21+'Ket qua kinh doanh'!BE22</f>
        <v>189264839</v>
      </c>
      <c r="BF36" s="43">
        <f>'Ket qua kinh doanh'!BF21+'Ket qua kinh doanh'!BF22</f>
        <v>-2830986340</v>
      </c>
      <c r="BG36" s="43">
        <f>'Ket qua kinh doanh'!BG21+'Ket qua kinh doanh'!BG22</f>
        <v>204199602</v>
      </c>
      <c r="BH36" s="43">
        <f>'Ket qua kinh doanh'!BH21+'Ket qua kinh doanh'!BH22</f>
        <v>-1349170846</v>
      </c>
      <c r="BI36" s="43">
        <f>'Ket qua kinh doanh'!BI21+'Ket qua kinh doanh'!BI22</f>
        <v>-516688622</v>
      </c>
      <c r="BJ36" s="43">
        <f>'Ket qua kinh doanh'!BJ21+'Ket qua kinh doanh'!BJ22</f>
        <v>-854033077</v>
      </c>
      <c r="BK36" s="43">
        <f>'Ket qua kinh doanh'!BK21+'Ket qua kinh doanh'!BK22</f>
        <v>3330158442</v>
      </c>
      <c r="BL36" s="43">
        <f>'Ket qua kinh doanh'!BL21+'Ket qua kinh doanh'!BL22</f>
        <v>0</v>
      </c>
      <c r="BM36" s="43">
        <f>'Ket qua kinh doanh'!BM21+'Ket qua kinh doanh'!BM22</f>
        <v>0</v>
      </c>
      <c r="BN36" s="43">
        <f>'Ket qua kinh doanh'!BN21+'Ket qua kinh doanh'!BN22</f>
        <v>-153060867</v>
      </c>
      <c r="BO36" s="43">
        <f>'Ket qua kinh doanh'!BO21+'Ket qua kinh doanh'!BO22</f>
        <v>0</v>
      </c>
      <c r="BP36" s="43">
        <f>'Ket qua kinh doanh'!BP21+'Ket qua kinh doanh'!BP22</f>
        <v>-45841499</v>
      </c>
      <c r="BQ36" s="43">
        <f>'Ket qua kinh doanh'!BQ21+'Ket qua kinh doanh'!BQ22</f>
        <v>926691756</v>
      </c>
      <c r="BR36" s="43">
        <f>'Ket qua kinh doanh'!BR21+'Ket qua kinh doanh'!BR22</f>
        <v>0</v>
      </c>
      <c r="BS36" s="43">
        <f>'Ket qua kinh doanh'!BS21+'Ket qua kinh doanh'!BS22</f>
        <v>0</v>
      </c>
      <c r="BT36" s="43">
        <f>'Ket qua kinh doanh'!BT21+'Ket qua kinh doanh'!BT22</f>
        <v>0</v>
      </c>
      <c r="BU36" s="43">
        <f>'Ket qua kinh doanh'!BU21+'Ket qua kinh doanh'!BU22</f>
        <v>0</v>
      </c>
      <c r="BV36" s="43">
        <f>'Ket qua kinh doanh'!BV21+'Ket qua kinh doanh'!BV22</f>
        <v>0</v>
      </c>
      <c r="BW36" s="43">
        <f>'Ket qua kinh doanh'!BW21+'Ket qua kinh doanh'!BW22</f>
        <v>0</v>
      </c>
    </row>
    <row r="37" spans="1:75">
      <c r="A37" s="165">
        <v>34</v>
      </c>
      <c r="B37" s="166" t="s">
        <v>436</v>
      </c>
      <c r="C37" s="168">
        <v>5</v>
      </c>
      <c r="D37" s="45">
        <v>0</v>
      </c>
      <c r="E37" s="45">
        <v>0</v>
      </c>
      <c r="F37" s="45">
        <v>4.3005421647238959E-2</v>
      </c>
      <c r="G37" s="45">
        <v>4.0409529972761503E-2</v>
      </c>
      <c r="H37" s="45">
        <v>0</v>
      </c>
      <c r="I37" s="45">
        <v>8.1666436527440031E-2</v>
      </c>
      <c r="J37" s="45">
        <v>0.78671981317687145</v>
      </c>
      <c r="K37" s="45">
        <v>0.10485543574524732</v>
      </c>
      <c r="L37" s="45">
        <v>0.10624468021496665</v>
      </c>
      <c r="M37" s="45">
        <v>2.0756502672424199E-2</v>
      </c>
      <c r="N37" s="45">
        <v>0</v>
      </c>
      <c r="O37" s="45">
        <v>5.2972680990770328E-2</v>
      </c>
      <c r="P37" s="45">
        <v>0.13303142919895442</v>
      </c>
      <c r="Q37" s="45">
        <v>0</v>
      </c>
      <c r="R37" s="45">
        <v>0</v>
      </c>
      <c r="S37" s="45">
        <v>7.4272402774776206E-3</v>
      </c>
      <c r="T37" s="45">
        <v>2.4935063499941158E-2</v>
      </c>
      <c r="U37" s="45">
        <v>1.9534661116070377E-2</v>
      </c>
      <c r="V37" s="45">
        <v>1.8797963876096918E-2</v>
      </c>
      <c r="W37" s="45">
        <v>1.8280948025277619E-2</v>
      </c>
      <c r="X37" s="45">
        <v>7.7955101732473638E-3</v>
      </c>
      <c r="Y37" s="45">
        <v>2.787422115613539E-3</v>
      </c>
      <c r="Z37" s="45">
        <v>1.5155410541987711E-2</v>
      </c>
      <c r="AA37" s="45">
        <v>0.24756196444071094</v>
      </c>
      <c r="AB37" s="45">
        <v>5.8030768541720967E-3</v>
      </c>
      <c r="AC37" s="45">
        <v>0</v>
      </c>
      <c r="AD37" s="45">
        <v>0</v>
      </c>
      <c r="AE37" s="45">
        <v>0</v>
      </c>
      <c r="AF37" s="45">
        <v>0</v>
      </c>
      <c r="AG37" s="45">
        <v>0.11385345634070156</v>
      </c>
      <c r="AH37" s="45">
        <v>1.6548758683242841E-2</v>
      </c>
      <c r="AI37" s="45">
        <v>3.1700660521665883E-2</v>
      </c>
      <c r="AJ37" s="45">
        <v>7.0556946400372134E-2</v>
      </c>
      <c r="AK37" s="45">
        <v>4.1361466886308103E-2</v>
      </c>
      <c r="AL37" s="45">
        <v>2.9251728450016154E-2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  <c r="AR37" s="45">
        <v>0</v>
      </c>
      <c r="AS37" s="45">
        <v>0</v>
      </c>
      <c r="AT37" s="45">
        <v>0</v>
      </c>
      <c r="AU37" s="45">
        <v>0</v>
      </c>
      <c r="AV37" s="45">
        <v>0</v>
      </c>
      <c r="AW37" s="45">
        <v>0</v>
      </c>
      <c r="AX37" s="45">
        <v>0</v>
      </c>
      <c r="AY37" s="45">
        <v>0.12554558545916092</v>
      </c>
      <c r="AZ37" s="45">
        <v>7.5499889261986695E-3</v>
      </c>
      <c r="BA37" s="45">
        <v>1.6025044768902409E-2</v>
      </c>
      <c r="BB37" s="45">
        <v>8.336801351806129E-3</v>
      </c>
      <c r="BC37" s="45">
        <v>5.3997877597758521E-3</v>
      </c>
      <c r="BD37" s="45">
        <v>1.1059593331327463E-2</v>
      </c>
      <c r="BE37" s="45">
        <v>1.588662935453716E-3</v>
      </c>
      <c r="BF37" s="45">
        <v>-2.0515671255476063E-2</v>
      </c>
      <c r="BG37" s="45">
        <v>1.2122796566003795E-3</v>
      </c>
      <c r="BH37" s="45">
        <v>-1.5926855350617674E-2</v>
      </c>
      <c r="BI37" s="45">
        <v>-4.7433715991734501E-3</v>
      </c>
      <c r="BJ37" s="45">
        <v>-9.6667069911275851E-3</v>
      </c>
      <c r="BK37" s="45">
        <f t="shared" ref="BK37:BW37" si="21">IFERROR(BK36/BK12,"")</f>
        <v>3.3382329069779358E-2</v>
      </c>
      <c r="BL37" s="45">
        <f t="shared" si="21"/>
        <v>0</v>
      </c>
      <c r="BM37" s="45">
        <f t="shared" si="21"/>
        <v>0</v>
      </c>
      <c r="BN37" s="45">
        <f t="shared" si="21"/>
        <v>-8.8318363899393898E-4</v>
      </c>
      <c r="BO37" s="45">
        <f t="shared" si="21"/>
        <v>0</v>
      </c>
      <c r="BP37" s="45">
        <f t="shared" si="21"/>
        <v>-2.8693024334452722E-4</v>
      </c>
      <c r="BQ37" s="45">
        <f t="shared" si="21"/>
        <v>7.5350387463280046E-3</v>
      </c>
      <c r="BR37" s="45" t="str">
        <f t="shared" si="21"/>
        <v/>
      </c>
      <c r="BS37" s="45" t="str">
        <f t="shared" si="21"/>
        <v/>
      </c>
      <c r="BT37" s="45" t="str">
        <f t="shared" si="21"/>
        <v/>
      </c>
      <c r="BU37" s="45" t="str">
        <f t="shared" si="21"/>
        <v/>
      </c>
      <c r="BV37" s="45" t="str">
        <f t="shared" si="21"/>
        <v/>
      </c>
      <c r="BW37" s="45" t="str">
        <f t="shared" si="21"/>
        <v/>
      </c>
    </row>
    <row r="38" spans="1:75">
      <c r="A38" s="162">
        <v>35</v>
      </c>
      <c r="B38" s="163" t="s">
        <v>437</v>
      </c>
      <c r="C38" s="164">
        <v>5</v>
      </c>
      <c r="D38" s="43">
        <f>'Ket qua kinh doanh'!D23</f>
        <v>-145319929</v>
      </c>
      <c r="E38" s="43">
        <f>'Ket qua kinh doanh'!E23</f>
        <v>-261866118</v>
      </c>
      <c r="F38" s="43">
        <f>'Ket qua kinh doanh'!F23</f>
        <v>1493506834</v>
      </c>
      <c r="G38" s="43">
        <f>'Ket qua kinh doanh'!G23</f>
        <v>1012554959</v>
      </c>
      <c r="H38" s="43">
        <f>'Ket qua kinh doanh'!H23</f>
        <v>-227064320</v>
      </c>
      <c r="I38" s="43">
        <f>'Ket qua kinh doanh'!I23</f>
        <v>283601439</v>
      </c>
      <c r="J38" s="43">
        <f>'Ket qua kinh doanh'!J23</f>
        <v>9709956629</v>
      </c>
      <c r="K38" s="43">
        <f>'Ket qua kinh doanh'!K23</f>
        <v>853972196</v>
      </c>
      <c r="L38" s="43">
        <f>'Ket qua kinh doanh'!L23</f>
        <v>1703244441</v>
      </c>
      <c r="M38" s="43">
        <f>'Ket qua kinh doanh'!M23</f>
        <v>695119378</v>
      </c>
      <c r="N38" s="43">
        <f>'Ket qua kinh doanh'!N23</f>
        <v>-10758350</v>
      </c>
      <c r="O38" s="43">
        <f>'Ket qua kinh doanh'!O23</f>
        <v>2426959620</v>
      </c>
      <c r="P38" s="43">
        <f>'Ket qua kinh doanh'!P23</f>
        <v>3989897896</v>
      </c>
      <c r="Q38" s="43">
        <f>'Ket qua kinh doanh'!Q23</f>
        <v>-1188569266</v>
      </c>
      <c r="R38" s="43">
        <f>'Ket qua kinh doanh'!R23</f>
        <v>-1383573435</v>
      </c>
      <c r="S38" s="43">
        <f>'Ket qua kinh doanh'!S23</f>
        <v>814742512</v>
      </c>
      <c r="T38" s="43">
        <f>'Ket qua kinh doanh'!T23</f>
        <v>1829539394</v>
      </c>
      <c r="U38" s="43">
        <f>'Ket qua kinh doanh'!U23</f>
        <v>1711394058</v>
      </c>
      <c r="V38" s="43">
        <f>'Ket qua kinh doanh'!V23</f>
        <v>1193184898</v>
      </c>
      <c r="W38" s="43">
        <f>'Ket qua kinh doanh'!W23</f>
        <v>2804981928</v>
      </c>
      <c r="X38" s="43">
        <f>'Ket qua kinh doanh'!X23</f>
        <v>1147801384</v>
      </c>
      <c r="Y38" s="43">
        <f>'Ket qua kinh doanh'!Y23</f>
        <v>463580042</v>
      </c>
      <c r="Z38" s="43">
        <f>'Ket qua kinh doanh'!Z23</f>
        <v>2103463162</v>
      </c>
      <c r="AA38" s="43">
        <f>'Ket qua kinh doanh'!AA23</f>
        <v>48616340285</v>
      </c>
      <c r="AB38" s="43">
        <f>'Ket qua kinh doanh'!AB23</f>
        <v>579970067</v>
      </c>
      <c r="AC38" s="43">
        <f>'Ket qua kinh doanh'!AC23</f>
        <v>-2654785819</v>
      </c>
      <c r="AD38" s="43">
        <f>'Ket qua kinh doanh'!AD23</f>
        <v>-7224620341</v>
      </c>
      <c r="AE38" s="43">
        <f>'Ket qua kinh doanh'!AE23</f>
        <v>-2945815773</v>
      </c>
      <c r="AF38" s="43">
        <f>'Ket qua kinh doanh'!AF23</f>
        <v>2782824124</v>
      </c>
      <c r="AG38" s="43">
        <f>'Ket qua kinh doanh'!AG23</f>
        <v>33224645724</v>
      </c>
      <c r="AH38" s="43">
        <f>'Ket qua kinh doanh'!AH23</f>
        <v>3543177089</v>
      </c>
      <c r="AI38" s="43">
        <f>'Ket qua kinh doanh'!AI23</f>
        <v>9926423222</v>
      </c>
      <c r="AJ38" s="43">
        <f>'Ket qua kinh doanh'!AJ23</f>
        <v>18321148781</v>
      </c>
      <c r="AK38" s="43">
        <f>'Ket qua kinh doanh'!AK23</f>
        <v>14008554587</v>
      </c>
      <c r="AL38" s="43">
        <f>'Ket qua kinh doanh'!AL23</f>
        <v>7360090748</v>
      </c>
      <c r="AM38" s="43">
        <f>'Ket qua kinh doanh'!AM23</f>
        <v>25672574147</v>
      </c>
      <c r="AN38" s="43">
        <f>'Ket qua kinh doanh'!AN23</f>
        <v>1925739613</v>
      </c>
      <c r="AO38" s="43">
        <f>'Ket qua kinh doanh'!AO23</f>
        <v>-5270648797</v>
      </c>
      <c r="AP38" s="43">
        <f>'Ket qua kinh doanh'!AP23</f>
        <v>-2959309601</v>
      </c>
      <c r="AQ38" s="43">
        <f>'Ket qua kinh doanh'!AQ23</f>
        <v>2475246740</v>
      </c>
      <c r="AR38" s="43">
        <f>'Ket qua kinh doanh'!AR23</f>
        <v>-4153402340</v>
      </c>
      <c r="AS38" s="43">
        <f>'Ket qua kinh doanh'!AS23</f>
        <v>-10215448067</v>
      </c>
      <c r="AT38" s="43">
        <f>'Ket qua kinh doanh'!AT23</f>
        <v>-13524685493</v>
      </c>
      <c r="AU38" s="43">
        <f>'Ket qua kinh doanh'!AU23</f>
        <v>-8282947985</v>
      </c>
      <c r="AV38" s="43">
        <f>'Ket qua kinh doanh'!AV23</f>
        <v>9673268117</v>
      </c>
      <c r="AW38" s="43">
        <f>'Ket qua kinh doanh'!AW23</f>
        <v>-4978185231</v>
      </c>
      <c r="AX38" s="43">
        <f>'Ket qua kinh doanh'!AX23</f>
        <v>-3242020126</v>
      </c>
      <c r="AY38" s="43">
        <f>'Ket qua kinh doanh'!AY23</f>
        <v>92069739829</v>
      </c>
      <c r="AZ38" s="43">
        <f>'Ket qua kinh doanh'!AZ23</f>
        <v>4897080552</v>
      </c>
      <c r="BA38" s="43">
        <f>'Ket qua kinh doanh'!BA23</f>
        <v>17400796729</v>
      </c>
      <c r="BB38" s="43">
        <f>'Ket qua kinh doanh'!BB23</f>
        <v>7098249059</v>
      </c>
      <c r="BC38" s="43">
        <f>'Ket qua kinh doanh'!BC23</f>
        <v>3750983485</v>
      </c>
      <c r="BD38" s="43">
        <f>'Ket qua kinh doanh'!BD23</f>
        <v>9530204304</v>
      </c>
      <c r="BE38" s="43">
        <f>'Ket qua kinh doanh'!BE23</f>
        <v>1072500757</v>
      </c>
      <c r="BF38" s="43">
        <f>'Ket qua kinh doanh'!BF23</f>
        <v>1039517857</v>
      </c>
      <c r="BG38" s="43">
        <f>'Ket qua kinh doanh'!BG23</f>
        <v>93219731</v>
      </c>
      <c r="BH38" s="43">
        <f>'Ket qua kinh doanh'!BH23</f>
        <v>-10202154651</v>
      </c>
      <c r="BI38" s="43">
        <f>'Ket qua kinh doanh'!BI23</f>
        <v>-4684658050</v>
      </c>
      <c r="BJ38" s="43">
        <f>'Ket qua kinh doanh'!BJ23</f>
        <v>-6920497847</v>
      </c>
      <c r="BK38" s="43">
        <f>'Ket qua kinh doanh'!BK23</f>
        <v>2661513008</v>
      </c>
      <c r="BL38" s="43">
        <f>'Ket qua kinh doanh'!BL23</f>
        <v>-1693460736</v>
      </c>
      <c r="BM38" s="43">
        <f>'Ket qua kinh doanh'!BM23</f>
        <v>-6419213738</v>
      </c>
      <c r="BN38" s="43">
        <f>'Ket qua kinh doanh'!BN23</f>
        <v>-6665406624</v>
      </c>
      <c r="BO38" s="43">
        <f>'Ket qua kinh doanh'!BO23</f>
        <v>3703754212</v>
      </c>
      <c r="BP38" s="43">
        <f>'Ket qua kinh doanh'!BP23</f>
        <v>8227425417</v>
      </c>
      <c r="BQ38" s="43">
        <f>'Ket qua kinh doanh'!BQ23</f>
        <v>6752570860</v>
      </c>
      <c r="BR38" s="43">
        <f>'Ket qua kinh doanh'!BR23</f>
        <v>0</v>
      </c>
      <c r="BS38" s="43">
        <f>'Ket qua kinh doanh'!BS23</f>
        <v>0</v>
      </c>
      <c r="BT38" s="43">
        <f>'Ket qua kinh doanh'!BT23</f>
        <v>0</v>
      </c>
      <c r="BU38" s="43">
        <f>'Ket qua kinh doanh'!BU23</f>
        <v>0</v>
      </c>
      <c r="BV38" s="43">
        <f>'Ket qua kinh doanh'!BV23</f>
        <v>0</v>
      </c>
      <c r="BW38" s="43">
        <f>'Ket qua kinh doanh'!BW23</f>
        <v>0</v>
      </c>
    </row>
    <row r="39" spans="1:75">
      <c r="A39" s="165">
        <v>36</v>
      </c>
      <c r="B39" s="166" t="s">
        <v>438</v>
      </c>
      <c r="C39" s="168">
        <v>5</v>
      </c>
      <c r="D39" s="45">
        <f t="shared" ref="D39:BO39" si="22">IFERROR(D38/D12,"")</f>
        <v>-6.6267152425378048E-2</v>
      </c>
      <c r="E39" s="45">
        <f t="shared" si="22"/>
        <v>-0.14614516285657839</v>
      </c>
      <c r="F39" s="45">
        <f t="shared" si="22"/>
        <v>0.17202168635859641</v>
      </c>
      <c r="G39" s="45">
        <f t="shared" si="22"/>
        <v>0.16163811973141209</v>
      </c>
      <c r="H39" s="45">
        <f t="shared" si="22"/>
        <v>-0.16490102108740659</v>
      </c>
      <c r="I39" s="45">
        <f t="shared" si="22"/>
        <v>0.32666574495791217</v>
      </c>
      <c r="J39" s="45">
        <f t="shared" si="22"/>
        <v>3.1468792530315737</v>
      </c>
      <c r="K39" s="45">
        <f t="shared" si="22"/>
        <v>0.41942174298098928</v>
      </c>
      <c r="L39" s="45">
        <f t="shared" si="22"/>
        <v>0.42497872110937784</v>
      </c>
      <c r="M39" s="45">
        <f t="shared" si="22"/>
        <v>8.3026010450814064E-2</v>
      </c>
      <c r="N39" s="45">
        <f t="shared" si="22"/>
        <v>-1.2487879269615946E-3</v>
      </c>
      <c r="O39" s="45">
        <f t="shared" si="22"/>
        <v>0.18384983509399894</v>
      </c>
      <c r="P39" s="45">
        <f t="shared" si="22"/>
        <v>0.53212571679581766</v>
      </c>
      <c r="Q39" s="45">
        <f t="shared" si="22"/>
        <v>-0.19448639317286476</v>
      </c>
      <c r="R39" s="45">
        <f t="shared" si="22"/>
        <v>-6.111830899943619E-2</v>
      </c>
      <c r="S39" s="45">
        <f t="shared" si="22"/>
        <v>2.9708961109910483E-2</v>
      </c>
      <c r="T39" s="45">
        <f t="shared" si="22"/>
        <v>9.9700361090338613E-2</v>
      </c>
      <c r="U39" s="45">
        <f t="shared" si="22"/>
        <v>7.8138644555597297E-2</v>
      </c>
      <c r="V39" s="45">
        <f t="shared" si="22"/>
        <v>7.5141978408823112E-2</v>
      </c>
      <c r="W39" s="45">
        <f t="shared" si="22"/>
        <v>7.3123792101110474E-2</v>
      </c>
      <c r="X39" s="45">
        <f t="shared" si="22"/>
        <v>3.1182040692989455E-2</v>
      </c>
      <c r="Y39" s="45">
        <f t="shared" si="22"/>
        <v>1.1149688414351617E-2</v>
      </c>
      <c r="Z39" s="45">
        <f t="shared" si="22"/>
        <v>6.0621642110311E-2</v>
      </c>
      <c r="AA39" s="45">
        <f t="shared" si="22"/>
        <v>0.82843800632914166</v>
      </c>
      <c r="AB39" s="45">
        <f t="shared" si="22"/>
        <v>2.32123073766651E-2</v>
      </c>
      <c r="AC39" s="45">
        <f t="shared" si="22"/>
        <v>-0.11521348254761504</v>
      </c>
      <c r="AD39" s="45">
        <f t="shared" si="22"/>
        <v>-0.12201167415746927</v>
      </c>
      <c r="AE39" s="45">
        <f t="shared" si="22"/>
        <v>-5.4263700023585507E-2</v>
      </c>
      <c r="AF39" s="45">
        <f t="shared" si="22"/>
        <v>4.8286105929601641E-2</v>
      </c>
      <c r="AG39" s="45">
        <f t="shared" si="22"/>
        <v>0.65269610869132777</v>
      </c>
      <c r="AH39" s="45">
        <f t="shared" si="22"/>
        <v>6.6195034751653767E-2</v>
      </c>
      <c r="AI39" s="45">
        <f t="shared" si="22"/>
        <v>0.12680264211221204</v>
      </c>
      <c r="AJ39" s="45">
        <f t="shared" si="22"/>
        <v>0.28222778561689299</v>
      </c>
      <c r="AK39" s="45">
        <f t="shared" si="22"/>
        <v>0.16544586753342205</v>
      </c>
      <c r="AL39" s="45">
        <f t="shared" si="22"/>
        <v>0.11700691380006462</v>
      </c>
      <c r="AM39" s="45">
        <f t="shared" si="22"/>
        <v>0.36078955443181981</v>
      </c>
      <c r="AN39" s="45">
        <f t="shared" si="22"/>
        <v>2.0067811261432811E-2</v>
      </c>
      <c r="AO39" s="45">
        <f t="shared" si="22"/>
        <v>-7.6452975629658346E-2</v>
      </c>
      <c r="AP39" s="45">
        <f t="shared" si="22"/>
        <v>-3.2128166363964879E-2</v>
      </c>
      <c r="AQ39" s="45">
        <f t="shared" si="22"/>
        <v>2.5389986372027676E-2</v>
      </c>
      <c r="AR39" s="45">
        <f t="shared" si="22"/>
        <v>-4.0574438599045283E-2</v>
      </c>
      <c r="AS39" s="45">
        <f t="shared" si="22"/>
        <v>-0.15002162552643156</v>
      </c>
      <c r="AT39" s="45">
        <f t="shared" si="22"/>
        <v>-0.2395815996131023</v>
      </c>
      <c r="AU39" s="45">
        <f t="shared" si="22"/>
        <v>-5.3775645169292279E-2</v>
      </c>
      <c r="AV39" s="45">
        <f t="shared" si="22"/>
        <v>6.1680000554753922E-2</v>
      </c>
      <c r="AW39" s="45">
        <f t="shared" si="22"/>
        <v>-4.2616851987213128E-2</v>
      </c>
      <c r="AX39" s="45">
        <f t="shared" si="22"/>
        <v>-4.2587475643314124E-2</v>
      </c>
      <c r="AY39" s="45">
        <f t="shared" si="22"/>
        <v>0.86686435321974542</v>
      </c>
      <c r="AZ39" s="45">
        <f t="shared" si="22"/>
        <v>4.2783270564319492E-2</v>
      </c>
      <c r="BA39" s="45">
        <f t="shared" si="22"/>
        <v>9.255769474540726E-2</v>
      </c>
      <c r="BB39" s="45">
        <f t="shared" si="22"/>
        <v>4.7241874322464447E-2</v>
      </c>
      <c r="BC39" s="45">
        <f t="shared" si="22"/>
        <v>2.99050781799697E-2</v>
      </c>
      <c r="BD39" s="45">
        <f t="shared" si="22"/>
        <v>6.2671028897250416E-2</v>
      </c>
      <c r="BE39" s="45">
        <f t="shared" si="22"/>
        <v>9.0024233232880238E-3</v>
      </c>
      <c r="BF39" s="45">
        <f t="shared" si="22"/>
        <v>7.5332071783889209E-3</v>
      </c>
      <c r="BG39" s="45">
        <f t="shared" si="22"/>
        <v>5.5342117407780134E-4</v>
      </c>
      <c r="BH39" s="45">
        <f t="shared" si="22"/>
        <v>-0.1204356304265326</v>
      </c>
      <c r="BI39" s="45">
        <f t="shared" si="22"/>
        <v>-4.3006702683321865E-2</v>
      </c>
      <c r="BJ39" s="45">
        <f t="shared" si="22"/>
        <v>-7.8332358220451342E-2</v>
      </c>
      <c r="BK39" s="45">
        <f t="shared" si="22"/>
        <v>2.6679662425669746E-2</v>
      </c>
      <c r="BL39" s="45">
        <f t="shared" si="22"/>
        <v>-1.3429608800534138E-2</v>
      </c>
      <c r="BM39" s="45">
        <f t="shared" si="22"/>
        <v>-6.6474330532828974E-2</v>
      </c>
      <c r="BN39" s="45">
        <f t="shared" si="22"/>
        <v>-3.8460373268097495E-2</v>
      </c>
      <c r="BO39" s="45">
        <f t="shared" si="22"/>
        <v>2.3285725195445736E-2</v>
      </c>
      <c r="BP39" s="45">
        <f t="shared" ref="BP39:BV39" si="23">IFERROR(BP38/BP12,"")</f>
        <v>5.1496945529611891E-2</v>
      </c>
      <c r="BQ39" s="45">
        <f t="shared" si="23"/>
        <v>5.4905941202120084E-2</v>
      </c>
      <c r="BR39" s="45" t="str">
        <f t="shared" si="23"/>
        <v/>
      </c>
      <c r="BS39" s="45" t="str">
        <f t="shared" si="23"/>
        <v/>
      </c>
      <c r="BT39" s="45" t="str">
        <f t="shared" si="23"/>
        <v/>
      </c>
      <c r="BU39" s="45" t="str">
        <f t="shared" si="23"/>
        <v/>
      </c>
      <c r="BV39" s="45" t="str">
        <f t="shared" si="23"/>
        <v/>
      </c>
      <c r="BW39" s="45" t="str">
        <f t="shared" ref="BW39" si="24">IFERROR(BW38/BW12,"")</f>
        <v/>
      </c>
    </row>
    <row r="40" spans="1:75">
      <c r="A40" s="174">
        <v>37</v>
      </c>
      <c r="B40" s="175" t="s">
        <v>439</v>
      </c>
      <c r="C40" s="164">
        <v>5</v>
      </c>
      <c r="D40" s="43">
        <f>'Ket qua kinh doanh'!D14</f>
        <v>0</v>
      </c>
      <c r="E40" s="43">
        <f>'Ket qua kinh doanh'!E14</f>
        <v>0</v>
      </c>
      <c r="F40" s="43">
        <f>'Ket qua kinh doanh'!F14</f>
        <v>0</v>
      </c>
      <c r="G40" s="43">
        <f>'Ket qua kinh doanh'!G14</f>
        <v>0</v>
      </c>
      <c r="H40" s="43">
        <f>'Ket qua kinh doanh'!H14</f>
        <v>0</v>
      </c>
      <c r="I40" s="43">
        <f>'Ket qua kinh doanh'!I14</f>
        <v>0</v>
      </c>
      <c r="J40" s="43">
        <f>'Ket qua kinh doanh'!J14</f>
        <v>0</v>
      </c>
      <c r="K40" s="43">
        <f>'Ket qua kinh doanh'!K14</f>
        <v>251616145</v>
      </c>
      <c r="L40" s="43">
        <f>'Ket qua kinh doanh'!L14</f>
        <v>680077987</v>
      </c>
      <c r="M40" s="43">
        <f>'Ket qua kinh doanh'!M14</f>
        <v>546329598</v>
      </c>
      <c r="N40" s="43">
        <f>'Ket qua kinh doanh'!N14</f>
        <v>967543289</v>
      </c>
      <c r="O40" s="43">
        <f>'Ket qua kinh doanh'!O14</f>
        <v>563525432</v>
      </c>
      <c r="P40" s="43">
        <f>'Ket qua kinh doanh'!P14</f>
        <v>496681104</v>
      </c>
      <c r="Q40" s="43">
        <f>'Ket qua kinh doanh'!Q14</f>
        <v>38696800</v>
      </c>
      <c r="R40" s="43">
        <f>'Ket qua kinh doanh'!R14</f>
        <v>1520204587</v>
      </c>
      <c r="S40" s="43">
        <f>'Ket qua kinh doanh'!S14</f>
        <v>3287497220</v>
      </c>
      <c r="T40" s="43">
        <f>'Ket qua kinh doanh'!T14</f>
        <v>563902784</v>
      </c>
      <c r="U40" s="43">
        <f>'Ket qua kinh doanh'!U14</f>
        <v>802923682</v>
      </c>
      <c r="V40" s="43">
        <f>'Ket qua kinh doanh'!V14</f>
        <v>1108487180</v>
      </c>
      <c r="W40" s="43">
        <f>'Ket qua kinh doanh'!W14</f>
        <v>819028904</v>
      </c>
      <c r="X40" s="43">
        <f>'Ket qua kinh doanh'!X14</f>
        <v>1282383810</v>
      </c>
      <c r="Y40" s="43">
        <f>'Ket qua kinh doanh'!Y14</f>
        <v>1073636694</v>
      </c>
      <c r="Z40" s="43">
        <f>'Ket qua kinh doanh'!Z14</f>
        <v>1462938929</v>
      </c>
      <c r="AA40" s="43">
        <f>'Ket qua kinh doanh'!AA14</f>
        <v>2233639458</v>
      </c>
      <c r="AB40" s="43">
        <f>'Ket qua kinh doanh'!AB14</f>
        <v>645459129</v>
      </c>
      <c r="AC40" s="43">
        <f>'Ket qua kinh doanh'!AC14</f>
        <v>991254056</v>
      </c>
      <c r="AD40" s="43">
        <f>'Ket qua kinh doanh'!AD14</f>
        <v>1883160244</v>
      </c>
      <c r="AE40" s="43">
        <f>'Ket qua kinh doanh'!AE14</f>
        <v>1145404547</v>
      </c>
      <c r="AF40" s="43">
        <f>'Ket qua kinh doanh'!AF14</f>
        <v>1970368365</v>
      </c>
      <c r="AG40" s="43">
        <f>'Ket qua kinh doanh'!AG14</f>
        <v>1459341885</v>
      </c>
      <c r="AH40" s="43">
        <f>'Ket qua kinh doanh'!AH14</f>
        <v>1450399092</v>
      </c>
      <c r="AI40" s="43">
        <f>'Ket qua kinh doanh'!AI14</f>
        <v>2363556660</v>
      </c>
      <c r="AJ40" s="43">
        <f>'Ket qua kinh doanh'!AJ14</f>
        <v>1466584216</v>
      </c>
      <c r="AK40" s="43">
        <f>'Ket qua kinh doanh'!AK14</f>
        <v>2298997918</v>
      </c>
      <c r="AL40" s="43">
        <f>'Ket qua kinh doanh'!AL14</f>
        <v>1849124450</v>
      </c>
      <c r="AM40" s="43">
        <f>'Ket qua kinh doanh'!AM14</f>
        <v>1608920955</v>
      </c>
      <c r="AN40" s="43">
        <f>'Ket qua kinh doanh'!AN14</f>
        <v>2846219487</v>
      </c>
      <c r="AO40" s="43">
        <f>'Ket qua kinh doanh'!AO14</f>
        <v>1219456854</v>
      </c>
      <c r="AP40" s="43">
        <f>'Ket qua kinh doanh'!AP14</f>
        <v>3715738043</v>
      </c>
      <c r="AQ40" s="43">
        <f>'Ket qua kinh doanh'!AQ14</f>
        <v>4585159549</v>
      </c>
      <c r="AR40" s="43">
        <f>'Ket qua kinh doanh'!AR14</f>
        <v>1693810954</v>
      </c>
      <c r="AS40" s="43">
        <f>'Ket qua kinh doanh'!AS14</f>
        <v>2407466874</v>
      </c>
      <c r="AT40" s="43">
        <f>'Ket qua kinh doanh'!AT14</f>
        <v>2300964337</v>
      </c>
      <c r="AU40" s="43">
        <f>'Ket qua kinh doanh'!AU14</f>
        <v>8205607205</v>
      </c>
      <c r="AV40" s="43">
        <f>'Ket qua kinh doanh'!AV14</f>
        <v>7036529523</v>
      </c>
      <c r="AW40" s="43">
        <f>'Ket qua kinh doanh'!AW14</f>
        <v>4608951194</v>
      </c>
      <c r="AX40" s="43">
        <f>'Ket qua kinh doanh'!AX14</f>
        <v>1949627546</v>
      </c>
      <c r="AY40" s="43">
        <f>'Ket qua kinh doanh'!AY14</f>
        <v>10266748080</v>
      </c>
      <c r="AZ40" s="43">
        <f>'Ket qua kinh doanh'!AZ14</f>
        <v>4006424849</v>
      </c>
      <c r="BA40" s="43">
        <f>'Ket qua kinh doanh'!BA14</f>
        <v>6313682258</v>
      </c>
      <c r="BB40" s="43">
        <f>'Ket qua kinh doanh'!BB14</f>
        <v>5091544776</v>
      </c>
      <c r="BC40" s="43">
        <f>'Ket qua kinh doanh'!BC14</f>
        <v>4077126734</v>
      </c>
      <c r="BD40" s="43">
        <f>'Ket qua kinh doanh'!BD14</f>
        <v>4686536575</v>
      </c>
      <c r="BE40" s="43">
        <f>'Ket qua kinh doanh'!BE14</f>
        <v>4796729528</v>
      </c>
      <c r="BF40" s="43">
        <f>'Ket qua kinh doanh'!BF14</f>
        <v>3449972349</v>
      </c>
      <c r="BG40" s="43">
        <f>'Ket qua kinh doanh'!BG14</f>
        <v>4949095751</v>
      </c>
      <c r="BH40" s="43">
        <f>'Ket qua kinh doanh'!BH14</f>
        <v>2811598286</v>
      </c>
      <c r="BI40" s="43">
        <f>'Ket qua kinh doanh'!BI14</f>
        <v>6688603934</v>
      </c>
      <c r="BJ40" s="43">
        <f>'Ket qua kinh doanh'!BJ14</f>
        <v>3413749635</v>
      </c>
      <c r="BK40" s="43">
        <f>'Ket qua kinh doanh'!BK14</f>
        <v>4816680917</v>
      </c>
      <c r="BL40" s="43">
        <f>'Ket qua kinh doanh'!BL14</f>
        <v>3731798004</v>
      </c>
      <c r="BM40" s="43">
        <f>'Ket qua kinh doanh'!BM14</f>
        <v>3202645336</v>
      </c>
      <c r="BN40" s="43">
        <f>'Ket qua kinh doanh'!BN14</f>
        <v>6245695788</v>
      </c>
      <c r="BO40" s="43">
        <f>'Ket qua kinh doanh'!BO14</f>
        <v>5821309126</v>
      </c>
      <c r="BP40" s="43">
        <f>'Ket qua kinh doanh'!BP14</f>
        <v>5915805090</v>
      </c>
      <c r="BQ40" s="43">
        <f>'Ket qua kinh doanh'!BQ14</f>
        <v>3803640296</v>
      </c>
      <c r="BR40" s="43">
        <f>'Ket qua kinh doanh'!BR14</f>
        <v>0</v>
      </c>
      <c r="BS40" s="43">
        <f>'Ket qua kinh doanh'!BS14</f>
        <v>0</v>
      </c>
      <c r="BT40" s="43">
        <f>'Ket qua kinh doanh'!BT14</f>
        <v>0</v>
      </c>
      <c r="BU40" s="43">
        <f>'Ket qua kinh doanh'!BU14</f>
        <v>0</v>
      </c>
      <c r="BV40" s="43">
        <f>'Ket qua kinh doanh'!BV14</f>
        <v>0</v>
      </c>
      <c r="BW40" s="43">
        <f>'Ket qua kinh doanh'!BW14</f>
        <v>0</v>
      </c>
    </row>
    <row r="41" spans="1:75">
      <c r="A41" s="171">
        <v>38</v>
      </c>
      <c r="B41" s="172" t="s">
        <v>440</v>
      </c>
      <c r="C41" s="170">
        <v>5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>
        <v>19661083</v>
      </c>
      <c r="Q41" s="47">
        <v>19661084</v>
      </c>
      <c r="R41" s="47">
        <v>18264699</v>
      </c>
      <c r="S41" s="47">
        <v>18962891</v>
      </c>
      <c r="T41" s="47">
        <v>19661083</v>
      </c>
      <c r="U41" s="47">
        <v>60041069</v>
      </c>
      <c r="V41" s="47">
        <v>65826391</v>
      </c>
      <c r="W41" s="47">
        <v>77384792</v>
      </c>
      <c r="X41" s="47">
        <v>85174832</v>
      </c>
      <c r="Y41" s="47">
        <v>157969572</v>
      </c>
      <c r="Z41" s="47">
        <v>167061207</v>
      </c>
      <c r="AA41" s="47">
        <v>134047720</v>
      </c>
      <c r="AB41" s="47">
        <v>177964011</v>
      </c>
      <c r="AC41" s="47">
        <v>154209552</v>
      </c>
      <c r="AD41" s="47">
        <v>149599782</v>
      </c>
      <c r="AE41" s="47">
        <v>148478718</v>
      </c>
      <c r="AF41" s="47">
        <v>156030409</v>
      </c>
      <c r="AG41" s="47">
        <v>146368026</v>
      </c>
      <c r="AH41" s="47">
        <v>170002667</v>
      </c>
      <c r="AI41" s="47">
        <v>161402552</v>
      </c>
      <c r="AJ41" s="47">
        <v>139082050</v>
      </c>
      <c r="AK41" s="47">
        <v>158040064</v>
      </c>
      <c r="AL41" s="47">
        <v>159193911</v>
      </c>
      <c r="AM41" s="47">
        <v>167357256</v>
      </c>
      <c r="AN41" s="47">
        <v>230483280</v>
      </c>
      <c r="AO41" s="47">
        <v>206217125</v>
      </c>
      <c r="AP41" s="47">
        <v>225554807</v>
      </c>
      <c r="AQ41" s="47">
        <v>244583463</v>
      </c>
      <c r="AR41" s="47">
        <v>227374036</v>
      </c>
      <c r="AS41" s="47">
        <v>237888268</v>
      </c>
      <c r="AT41" s="47">
        <v>234539808</v>
      </c>
      <c r="AU41" s="47">
        <v>225973606</v>
      </c>
      <c r="AV41" s="47">
        <v>246523606</v>
      </c>
      <c r="AW41" s="47">
        <v>234340912</v>
      </c>
      <c r="AX41" s="47">
        <v>225781298</v>
      </c>
      <c r="AY41" s="47">
        <v>315128590</v>
      </c>
      <c r="AZ41" s="593">
        <v>288795517</v>
      </c>
      <c r="BA41" s="593">
        <v>279028018</v>
      </c>
      <c r="BB41" s="593">
        <v>270260675</v>
      </c>
      <c r="BC41" s="593">
        <v>309710404</v>
      </c>
      <c r="BD41" s="593">
        <v>258112283</v>
      </c>
      <c r="BE41" s="593">
        <v>282054651</v>
      </c>
      <c r="BF41" s="593">
        <v>289537898</v>
      </c>
      <c r="BG41" s="593">
        <v>498259089</v>
      </c>
      <c r="BH41" s="593">
        <v>423087222</v>
      </c>
      <c r="BI41" s="593">
        <v>293219183</v>
      </c>
      <c r="BJ41" s="593">
        <v>422268800</v>
      </c>
      <c r="BK41" s="593">
        <v>595895367</v>
      </c>
      <c r="BL41" s="593">
        <v>341154818</v>
      </c>
      <c r="BM41" s="593">
        <v>335336818</v>
      </c>
      <c r="BN41" s="593">
        <v>750055065</v>
      </c>
      <c r="BO41" s="593">
        <v>440065248</v>
      </c>
      <c r="BP41" s="593">
        <v>437914065</v>
      </c>
      <c r="BQ41" s="593">
        <v>439282065</v>
      </c>
      <c r="BR41" s="47"/>
      <c r="BS41" s="47"/>
      <c r="BT41" s="606"/>
      <c r="BU41" s="47"/>
      <c r="BV41" s="47"/>
      <c r="BW41" s="47"/>
    </row>
    <row r="42" spans="1:75">
      <c r="A42" s="171">
        <v>39</v>
      </c>
      <c r="B42" s="172" t="s">
        <v>441</v>
      </c>
      <c r="C42" s="170">
        <v>5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>
        <v>923077</v>
      </c>
      <c r="P42" s="47">
        <v>1969231</v>
      </c>
      <c r="Q42" s="47">
        <v>1961538</v>
      </c>
      <c r="R42" s="47">
        <v>1692308</v>
      </c>
      <c r="S42" s="47">
        <v>1653846</v>
      </c>
      <c r="T42" s="47">
        <v>5407523</v>
      </c>
      <c r="U42" s="47">
        <v>6125951</v>
      </c>
      <c r="V42" s="47">
        <v>14294892</v>
      </c>
      <c r="W42" s="47">
        <v>25451903</v>
      </c>
      <c r="X42" s="47">
        <v>48171278</v>
      </c>
      <c r="Y42" s="47">
        <v>34525021</v>
      </c>
      <c r="Z42" s="47">
        <v>73500494</v>
      </c>
      <c r="AA42" s="47">
        <v>75044195</v>
      </c>
      <c r="AB42" s="47">
        <v>129480660</v>
      </c>
      <c r="AC42" s="47">
        <v>61361014</v>
      </c>
      <c r="AD42" s="47">
        <v>80808586</v>
      </c>
      <c r="AE42" s="47">
        <v>104568750</v>
      </c>
      <c r="AF42" s="47">
        <v>142020155</v>
      </c>
      <c r="AG42" s="47">
        <v>131571556</v>
      </c>
      <c r="AH42" s="47">
        <v>101264783</v>
      </c>
      <c r="AI42" s="47">
        <v>58957258</v>
      </c>
      <c r="AJ42" s="47">
        <v>74351340</v>
      </c>
      <c r="AK42" s="47">
        <v>30620750</v>
      </c>
      <c r="AL42" s="47">
        <v>51047350</v>
      </c>
      <c r="AM42" s="47">
        <v>78220350</v>
      </c>
      <c r="AN42" s="47">
        <v>141335340</v>
      </c>
      <c r="AO42" s="47">
        <v>49086371</v>
      </c>
      <c r="AP42" s="47">
        <v>90625000</v>
      </c>
      <c r="AQ42" s="47">
        <v>77677172</v>
      </c>
      <c r="AR42" s="47">
        <v>162774302</v>
      </c>
      <c r="AS42" s="47">
        <v>124935703</v>
      </c>
      <c r="AT42" s="47">
        <v>217182696</v>
      </c>
      <c r="AU42" s="47">
        <v>57295973</v>
      </c>
      <c r="AV42" s="47">
        <v>220433045</v>
      </c>
      <c r="AW42" s="47">
        <v>204911306</v>
      </c>
      <c r="AX42" s="47">
        <v>94771659</v>
      </c>
      <c r="AY42" s="47">
        <v>75394641</v>
      </c>
      <c r="AZ42" s="593">
        <v>97010894</v>
      </c>
      <c r="BA42" s="593">
        <v>95175253</v>
      </c>
      <c r="BB42" s="593">
        <v>401976600</v>
      </c>
      <c r="BC42" s="593">
        <v>430175717</v>
      </c>
      <c r="BD42" s="593">
        <v>280510436</v>
      </c>
      <c r="BE42" s="593">
        <v>209412230</v>
      </c>
      <c r="BF42" s="593">
        <v>161033060</v>
      </c>
      <c r="BG42" s="593">
        <v>274337714</v>
      </c>
      <c r="BH42" s="593">
        <v>121884793</v>
      </c>
      <c r="BI42" s="593">
        <v>232382183</v>
      </c>
      <c r="BJ42" s="593">
        <v>224656192</v>
      </c>
      <c r="BK42" s="593">
        <v>177247947</v>
      </c>
      <c r="BL42" s="593">
        <v>205905799</v>
      </c>
      <c r="BM42" s="593">
        <v>178301259</v>
      </c>
      <c r="BN42" s="593">
        <v>326162648</v>
      </c>
      <c r="BO42" s="593">
        <v>349961700</v>
      </c>
      <c r="BP42" s="593">
        <v>291018290</v>
      </c>
      <c r="BQ42" s="593">
        <v>91205336</v>
      </c>
      <c r="BR42" s="47"/>
      <c r="BS42" s="47"/>
      <c r="BT42" s="606"/>
      <c r="BU42" s="47"/>
      <c r="BV42" s="47"/>
      <c r="BW42" s="47"/>
    </row>
    <row r="43" spans="1:75">
      <c r="A43" s="171">
        <v>40</v>
      </c>
      <c r="B43" s="172" t="s">
        <v>442</v>
      </c>
      <c r="C43" s="170">
        <v>5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>
        <v>178395260</v>
      </c>
      <c r="X43" s="47">
        <v>503808047</v>
      </c>
      <c r="Y43" s="47">
        <v>320897646</v>
      </c>
      <c r="Z43" s="47">
        <v>283216560</v>
      </c>
      <c r="AA43" s="47">
        <v>612334875</v>
      </c>
      <c r="AB43" s="47"/>
      <c r="AC43" s="47"/>
      <c r="AD43" s="47">
        <v>426753360</v>
      </c>
      <c r="AE43" s="47">
        <v>314043840</v>
      </c>
      <c r="AF43" s="47">
        <v>316647916</v>
      </c>
      <c r="AG43" s="47">
        <v>377275402</v>
      </c>
      <c r="AH43" s="47">
        <v>339939378</v>
      </c>
      <c r="AI43" s="47">
        <v>613219085</v>
      </c>
      <c r="AJ43" s="47">
        <v>372687480</v>
      </c>
      <c r="AK43" s="47">
        <v>500144040</v>
      </c>
      <c r="AL43" s="47">
        <v>484915728</v>
      </c>
      <c r="AM43" s="47">
        <v>-166301696</v>
      </c>
      <c r="AN43" s="47">
        <v>339423744</v>
      </c>
      <c r="AO43" s="47">
        <v>271418400</v>
      </c>
      <c r="AP43" s="47">
        <v>484682880</v>
      </c>
      <c r="AQ43" s="47">
        <v>947585288</v>
      </c>
      <c r="AR43" s="47">
        <v>732250680</v>
      </c>
      <c r="AS43" s="47">
        <v>1259908312</v>
      </c>
      <c r="AT43" s="47">
        <v>706508840</v>
      </c>
      <c r="AU43" s="47">
        <v>1228570570</v>
      </c>
      <c r="AV43" s="47">
        <v>805497700</v>
      </c>
      <c r="AW43" s="47">
        <v>568126136</v>
      </c>
      <c r="AX43" s="47">
        <v>338540380</v>
      </c>
      <c r="AY43" s="47">
        <v>1203477272</v>
      </c>
      <c r="AZ43" s="47">
        <v>1156648724</v>
      </c>
      <c r="BA43" s="47">
        <v>1395989840</v>
      </c>
      <c r="BB43" s="47">
        <v>718938840</v>
      </c>
      <c r="BC43" s="47">
        <v>873725670</v>
      </c>
      <c r="BD43" s="47">
        <v>801811330</v>
      </c>
      <c r="BE43" s="47">
        <v>2343197427</v>
      </c>
      <c r="BF43" s="47">
        <v>962161347</v>
      </c>
      <c r="BG43" s="47">
        <v>1102469718</v>
      </c>
      <c r="BH43" s="47">
        <v>793146505</v>
      </c>
      <c r="BI43" s="47">
        <v>728694366</v>
      </c>
      <c r="BJ43" s="47">
        <v>819335524</v>
      </c>
      <c r="BK43" s="47">
        <v>914940436</v>
      </c>
      <c r="BL43" s="47">
        <v>1284224102</v>
      </c>
      <c r="BM43" s="47">
        <v>828225273</v>
      </c>
      <c r="BN43" s="47">
        <v>2221270799</v>
      </c>
      <c r="BO43" s="47">
        <v>2175577325</v>
      </c>
      <c r="BP43" s="47">
        <v>2044593710</v>
      </c>
      <c r="BQ43" s="47">
        <v>849929652</v>
      </c>
      <c r="BR43" s="47"/>
      <c r="BS43" s="47"/>
      <c r="BT43" s="606"/>
      <c r="BU43" s="47"/>
      <c r="BV43" s="47"/>
      <c r="BW43" s="47"/>
    </row>
    <row r="44" spans="1:75">
      <c r="A44" s="171">
        <v>41</v>
      </c>
      <c r="B44" s="172" t="s">
        <v>443</v>
      </c>
      <c r="C44" s="170">
        <v>5</v>
      </c>
      <c r="D44" s="47"/>
      <c r="E44" s="47"/>
      <c r="F44" s="47"/>
      <c r="G44" s="47"/>
      <c r="H44" s="47"/>
      <c r="I44" s="47"/>
      <c r="J44" s="47"/>
      <c r="K44" s="47"/>
      <c r="L44" s="47"/>
      <c r="M44" s="47">
        <v>13200000</v>
      </c>
      <c r="N44" s="47"/>
      <c r="O44" s="47">
        <v>42634600</v>
      </c>
      <c r="P44" s="47"/>
      <c r="Q44" s="47"/>
      <c r="R44" s="47"/>
      <c r="S44" s="47">
        <v>57904000</v>
      </c>
      <c r="T44" s="47">
        <v>128040000</v>
      </c>
      <c r="U44" s="47">
        <v>49588000</v>
      </c>
      <c r="V44" s="47">
        <v>309900000</v>
      </c>
      <c r="W44" s="47">
        <v>82200000</v>
      </c>
      <c r="X44" s="47">
        <v>70485800</v>
      </c>
      <c r="Y44" s="47">
        <v>53000000</v>
      </c>
      <c r="Z44" s="47"/>
      <c r="AA44" s="47">
        <v>208692000</v>
      </c>
      <c r="AB44" s="47"/>
      <c r="AC44" s="47"/>
      <c r="AD44" s="47">
        <v>78752000</v>
      </c>
      <c r="AE44" s="47">
        <v>70222355</v>
      </c>
      <c r="AF44" s="47">
        <v>56949300</v>
      </c>
      <c r="AG44" s="47">
        <v>269590600</v>
      </c>
      <c r="AH44" s="47">
        <v>121900000</v>
      </c>
      <c r="AI44" s="47">
        <v>97602000</v>
      </c>
      <c r="AJ44" s="47"/>
      <c r="AK44" s="47">
        <v>246255600</v>
      </c>
      <c r="AL44" s="47">
        <v>141420700</v>
      </c>
      <c r="AM44" s="47">
        <v>126091100</v>
      </c>
      <c r="AN44" s="47">
        <v>176869000</v>
      </c>
      <c r="AO44" s="47">
        <v>98405100</v>
      </c>
      <c r="AP44" s="47">
        <v>109040000</v>
      </c>
      <c r="AQ44" s="47">
        <v>105874074</v>
      </c>
      <c r="AR44" s="47">
        <v>68080000</v>
      </c>
      <c r="AS44" s="47">
        <v>196593648</v>
      </c>
      <c r="AT44" s="47">
        <v>93037900</v>
      </c>
      <c r="AU44" s="47">
        <v>632197036</v>
      </c>
      <c r="AV44" s="47">
        <v>479521481</v>
      </c>
      <c r="AW44" s="47">
        <v>399199672</v>
      </c>
      <c r="AX44" s="47">
        <v>392115926</v>
      </c>
      <c r="AY44" s="47">
        <v>478477333</v>
      </c>
      <c r="AZ44" s="47">
        <v>249728148</v>
      </c>
      <c r="BA44" s="47">
        <v>500505186</v>
      </c>
      <c r="BB44" s="47">
        <v>292398814</v>
      </c>
      <c r="BC44" s="47">
        <v>318375557</v>
      </c>
      <c r="BD44" s="47">
        <v>269697036</v>
      </c>
      <c r="BE44" s="47">
        <v>488977036</v>
      </c>
      <c r="BF44" s="47">
        <v>351793707</v>
      </c>
      <c r="BG44" s="47">
        <v>1015741347</v>
      </c>
      <c r="BH44" s="47">
        <v>589171184</v>
      </c>
      <c r="BI44" s="47">
        <v>654222223</v>
      </c>
      <c r="BJ44" s="47">
        <v>526746706</v>
      </c>
      <c r="BK44" s="47">
        <v>543177912</v>
      </c>
      <c r="BL44" s="47">
        <v>345080148</v>
      </c>
      <c r="BM44" s="47">
        <v>240106741</v>
      </c>
      <c r="BN44" s="47">
        <v>556120832</v>
      </c>
      <c r="BO44" s="47">
        <v>814097700</v>
      </c>
      <c r="BP44" s="47">
        <v>580228250</v>
      </c>
      <c r="BQ44" s="47">
        <v>537977720</v>
      </c>
      <c r="BR44" s="47"/>
      <c r="BS44" s="47"/>
      <c r="BT44" s="606"/>
      <c r="BU44" s="47"/>
      <c r="BV44" s="47"/>
      <c r="BW44" s="47"/>
    </row>
    <row r="45" spans="1:75">
      <c r="A45" s="171">
        <v>42</v>
      </c>
      <c r="B45" s="172" t="s">
        <v>444</v>
      </c>
      <c r="C45" s="170">
        <v>5</v>
      </c>
      <c r="D45" s="47"/>
      <c r="E45" s="47"/>
      <c r="F45" s="47"/>
      <c r="G45" s="47"/>
      <c r="H45" s="47"/>
      <c r="I45" s="47"/>
      <c r="J45" s="47"/>
      <c r="K45" s="47">
        <v>239455207</v>
      </c>
      <c r="L45" s="47">
        <v>617760788</v>
      </c>
      <c r="M45" s="47">
        <v>527776110</v>
      </c>
      <c r="N45" s="47">
        <v>938788183</v>
      </c>
      <c r="O45" s="47">
        <v>511918300</v>
      </c>
      <c r="P45" s="47">
        <v>466118610</v>
      </c>
      <c r="Q45" s="47"/>
      <c r="R45" s="47">
        <v>1491548244</v>
      </c>
      <c r="S45" s="47">
        <v>3168381264</v>
      </c>
      <c r="T45" s="47">
        <v>13060000</v>
      </c>
      <c r="U45" s="47">
        <v>457080334</v>
      </c>
      <c r="V45" s="47">
        <v>534719950</v>
      </c>
      <c r="W45" s="47">
        <v>161091756</v>
      </c>
      <c r="X45" s="47">
        <v>242438491</v>
      </c>
      <c r="Y45" s="47">
        <v>194327346</v>
      </c>
      <c r="Z45" s="47">
        <v>525592468</v>
      </c>
      <c r="AA45" s="47">
        <v>383471682</v>
      </c>
      <c r="AB45" s="47">
        <v>264844624</v>
      </c>
      <c r="AC45" s="47">
        <v>513477489</v>
      </c>
      <c r="AD45" s="47">
        <v>1035771162</v>
      </c>
      <c r="AE45" s="47">
        <v>269065931</v>
      </c>
      <c r="AF45" s="47">
        <v>1173737099</v>
      </c>
      <c r="AG45" s="47">
        <v>430878441</v>
      </c>
      <c r="AH45" s="47">
        <v>592933512</v>
      </c>
      <c r="AI45" s="47">
        <v>1307648805</v>
      </c>
      <c r="AJ45" s="47">
        <v>738568718</v>
      </c>
      <c r="AK45" s="47">
        <v>1294765611</v>
      </c>
      <c r="AL45" s="47">
        <v>938743174</v>
      </c>
      <c r="AM45" s="47">
        <v>1299540243</v>
      </c>
      <c r="AN45" s="47">
        <v>1862640439</v>
      </c>
      <c r="AO45" s="47">
        <v>439812589</v>
      </c>
      <c r="AP45" s="47">
        <v>2669034839</v>
      </c>
      <c r="AQ45" s="47">
        <v>3032304136</v>
      </c>
      <c r="AR45" s="47">
        <v>277880434</v>
      </c>
      <c r="AS45" s="47">
        <v>318063920</v>
      </c>
      <c r="AT45" s="47">
        <v>626032613</v>
      </c>
      <c r="AU45" s="47">
        <v>5216793028</v>
      </c>
      <c r="AV45" s="47">
        <v>5019652822</v>
      </c>
      <c r="AW45" s="47">
        <v>2316276718</v>
      </c>
      <c r="AX45" s="47">
        <v>404235983</v>
      </c>
      <c r="AY45" s="47">
        <v>1317844326</v>
      </c>
      <c r="AZ45" s="47">
        <v>1442696903</v>
      </c>
      <c r="BA45" s="47">
        <v>3574837862</v>
      </c>
      <c r="BB45" s="47">
        <v>1969857757</v>
      </c>
      <c r="BC45" s="47">
        <v>1503984454</v>
      </c>
      <c r="BD45" s="47">
        <v>2462711733</v>
      </c>
      <c r="BE45" s="47">
        <v>1186353811</v>
      </c>
      <c r="BF45" s="47">
        <v>1311037332</v>
      </c>
      <c r="BG45" s="47">
        <v>1643007682</v>
      </c>
      <c r="BH45" s="47">
        <v>437205501</v>
      </c>
      <c r="BI45" s="47">
        <v>492312502</v>
      </c>
      <c r="BJ45" s="47">
        <v>653246467</v>
      </c>
      <c r="BK45" s="47">
        <v>692122387</v>
      </c>
      <c r="BL45" s="47">
        <v>1092685189</v>
      </c>
      <c r="BM45" s="47">
        <v>1193026840</v>
      </c>
      <c r="BN45" s="47">
        <v>1805602205</v>
      </c>
      <c r="BO45" s="47">
        <v>1237377546</v>
      </c>
      <c r="BP45" s="47">
        <v>1647931878</v>
      </c>
      <c r="BQ45" s="47">
        <v>1084057458</v>
      </c>
      <c r="BR45" s="47"/>
      <c r="BS45" s="47"/>
      <c r="BT45" s="606"/>
      <c r="BU45" s="47"/>
      <c r="BV45" s="47"/>
      <c r="BW45" s="47"/>
    </row>
    <row r="46" spans="1:75">
      <c r="A46" s="171">
        <v>43</v>
      </c>
      <c r="B46" s="172" t="s">
        <v>445</v>
      </c>
      <c r="C46" s="170">
        <v>5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>
        <v>6500000</v>
      </c>
      <c r="T46" s="47">
        <v>14240833</v>
      </c>
      <c r="U46" s="47">
        <v>6500000</v>
      </c>
      <c r="V46" s="47">
        <v>6500000</v>
      </c>
      <c r="W46" s="47">
        <v>6500000</v>
      </c>
      <c r="X46" s="47">
        <v>14240834</v>
      </c>
      <c r="Y46" s="47">
        <v>14240833</v>
      </c>
      <c r="Z46" s="47">
        <v>14240833</v>
      </c>
      <c r="AA46" s="47">
        <v>14240834</v>
      </c>
      <c r="AB46" s="47">
        <v>14240833</v>
      </c>
      <c r="AC46" s="47">
        <v>14240834</v>
      </c>
      <c r="AD46" s="47">
        <v>73640833</v>
      </c>
      <c r="AE46" s="47">
        <v>73640833</v>
      </c>
      <c r="AF46" s="47">
        <v>6500000</v>
      </c>
      <c r="AG46" s="47">
        <v>6500000</v>
      </c>
      <c r="AH46" s="47">
        <v>6500000</v>
      </c>
      <c r="AI46" s="47">
        <v>6500000</v>
      </c>
      <c r="AJ46" s="47">
        <v>6500000</v>
      </c>
      <c r="AK46" s="47">
        <v>6500000</v>
      </c>
      <c r="AL46" s="47">
        <v>6500000</v>
      </c>
      <c r="AM46" s="47">
        <v>6500000</v>
      </c>
      <c r="AN46" s="47">
        <v>30691333</v>
      </c>
      <c r="AO46" s="47">
        <v>30691333</v>
      </c>
      <c r="AP46" s="47">
        <v>30691333</v>
      </c>
      <c r="AQ46" s="47">
        <v>30691333</v>
      </c>
      <c r="AR46" s="47">
        <v>30691333</v>
      </c>
      <c r="AS46" s="47">
        <v>30691333</v>
      </c>
      <c r="AT46" s="47">
        <v>30691333</v>
      </c>
      <c r="AU46" s="47">
        <v>30691333</v>
      </c>
      <c r="AV46" s="47">
        <v>30691333</v>
      </c>
      <c r="AW46" s="47">
        <v>30691333</v>
      </c>
      <c r="AX46" s="47">
        <v>30691333</v>
      </c>
      <c r="AY46" s="47">
        <v>6948276</v>
      </c>
      <c r="AZ46" s="592">
        <v>6948276</v>
      </c>
      <c r="BA46" s="592">
        <v>6948276</v>
      </c>
      <c r="BB46" s="592">
        <v>6948276</v>
      </c>
      <c r="BC46" s="592">
        <v>6948275</v>
      </c>
      <c r="BD46" s="592">
        <v>6948276</v>
      </c>
      <c r="BE46" s="592">
        <v>6948276</v>
      </c>
      <c r="BF46" s="592">
        <v>6948276</v>
      </c>
      <c r="BG46" s="592">
        <v>6948276</v>
      </c>
      <c r="BH46" s="592">
        <v>6948276</v>
      </c>
      <c r="BI46" s="592">
        <v>47333567</v>
      </c>
      <c r="BJ46" s="592">
        <v>47333566</v>
      </c>
      <c r="BK46" s="592">
        <v>47333566</v>
      </c>
      <c r="BL46" s="592">
        <v>19541270</v>
      </c>
      <c r="BM46" s="592">
        <v>19541269</v>
      </c>
      <c r="BN46" s="592">
        <v>19541270</v>
      </c>
      <c r="BO46" s="592">
        <v>19541270</v>
      </c>
      <c r="BP46" s="592">
        <v>19541270</v>
      </c>
      <c r="BQ46" s="592">
        <v>19541269</v>
      </c>
      <c r="BR46" s="47"/>
      <c r="BS46" s="47"/>
      <c r="BT46" s="606"/>
      <c r="BU46" s="47"/>
      <c r="BV46" s="47"/>
      <c r="BW46" s="47"/>
    </row>
    <row r="47" spans="1:75">
      <c r="A47" s="171">
        <v>44</v>
      </c>
      <c r="B47" s="172" t="s">
        <v>446</v>
      </c>
      <c r="C47" s="170">
        <v>5</v>
      </c>
      <c r="D47" s="47"/>
      <c r="E47" s="47"/>
      <c r="F47" s="47"/>
      <c r="G47" s="47"/>
      <c r="H47" s="47">
        <v>0</v>
      </c>
      <c r="I47" s="47"/>
      <c r="J47" s="47"/>
      <c r="K47" s="47">
        <v>12160938</v>
      </c>
      <c r="L47" s="47">
        <v>62317199</v>
      </c>
      <c r="M47" s="47">
        <v>5353488</v>
      </c>
      <c r="N47" s="47">
        <v>28755106</v>
      </c>
      <c r="O47" s="47">
        <v>8049455</v>
      </c>
      <c r="P47" s="47">
        <v>8932180</v>
      </c>
      <c r="Q47" s="47">
        <v>17074178</v>
      </c>
      <c r="R47" s="47">
        <v>8699336</v>
      </c>
      <c r="S47" s="47">
        <v>34095219</v>
      </c>
      <c r="T47" s="47">
        <v>383493345</v>
      </c>
      <c r="U47" s="47">
        <v>223588328</v>
      </c>
      <c r="V47" s="47">
        <v>177245947</v>
      </c>
      <c r="W47" s="47">
        <v>288005193</v>
      </c>
      <c r="X47" s="47">
        <v>318064528</v>
      </c>
      <c r="Y47" s="47">
        <v>298676276</v>
      </c>
      <c r="Z47" s="47">
        <v>399327367</v>
      </c>
      <c r="AA47" s="47">
        <v>805808152</v>
      </c>
      <c r="AB47" s="47">
        <v>58929001</v>
      </c>
      <c r="AC47" s="47">
        <v>247965167</v>
      </c>
      <c r="AD47" s="47">
        <v>37834521</v>
      </c>
      <c r="AE47" s="47">
        <v>165384120</v>
      </c>
      <c r="AF47" s="47">
        <v>118483486</v>
      </c>
      <c r="AG47" s="47">
        <v>97157860</v>
      </c>
      <c r="AH47" s="47">
        <v>117858752</v>
      </c>
      <c r="AI47" s="47">
        <v>118226960</v>
      </c>
      <c r="AJ47" s="47">
        <v>135394628</v>
      </c>
      <c r="AK47" s="47">
        <v>62671853</v>
      </c>
      <c r="AL47" s="47">
        <v>67303587</v>
      </c>
      <c r="AM47" s="47">
        <v>97513702</v>
      </c>
      <c r="AN47" s="47">
        <v>64776351</v>
      </c>
      <c r="AO47" s="47">
        <v>123825936</v>
      </c>
      <c r="AP47" s="47">
        <v>106109184</v>
      </c>
      <c r="AQ47" s="47">
        <v>146444083</v>
      </c>
      <c r="AR47" s="47">
        <v>194760169</v>
      </c>
      <c r="AS47" s="47">
        <v>239385690</v>
      </c>
      <c r="AT47" s="47">
        <v>392971147</v>
      </c>
      <c r="AU47" s="47">
        <v>814085659</v>
      </c>
      <c r="AV47" s="47">
        <v>234209536</v>
      </c>
      <c r="AW47" s="47">
        <v>855405117</v>
      </c>
      <c r="AX47" s="47">
        <v>463490967</v>
      </c>
      <c r="AY47" s="47">
        <v>6869477642</v>
      </c>
      <c r="AZ47" s="604">
        <f>AZ40-SUM(AZ41:AZ46)</f>
        <v>764596387</v>
      </c>
      <c r="BA47" s="604">
        <f t="shared" ref="BA47:BQ47" si="25">BA40-SUM(BA41:BA46)</f>
        <v>461197823</v>
      </c>
      <c r="BB47" s="604">
        <f t="shared" si="25"/>
        <v>1431163814</v>
      </c>
      <c r="BC47" s="604">
        <f t="shared" si="25"/>
        <v>634206657</v>
      </c>
      <c r="BD47" s="604">
        <f t="shared" si="25"/>
        <v>606745481</v>
      </c>
      <c r="BE47" s="604">
        <f t="shared" si="25"/>
        <v>279786097</v>
      </c>
      <c r="BF47" s="604">
        <f t="shared" si="25"/>
        <v>367460729</v>
      </c>
      <c r="BG47" s="604">
        <f t="shared" si="25"/>
        <v>408331925</v>
      </c>
      <c r="BH47" s="604">
        <f t="shared" si="25"/>
        <v>440154805</v>
      </c>
      <c r="BI47" s="604">
        <f t="shared" si="25"/>
        <v>4240439910</v>
      </c>
      <c r="BJ47" s="604">
        <f t="shared" si="25"/>
        <v>720162380</v>
      </c>
      <c r="BK47" s="604">
        <f t="shared" si="25"/>
        <v>1845963302</v>
      </c>
      <c r="BL47" s="604">
        <f t="shared" si="25"/>
        <v>443206678</v>
      </c>
      <c r="BM47" s="604">
        <f t="shared" si="25"/>
        <v>408107136</v>
      </c>
      <c r="BN47" s="604">
        <f t="shared" si="25"/>
        <v>566942969</v>
      </c>
      <c r="BO47" s="604">
        <f t="shared" si="25"/>
        <v>784688337</v>
      </c>
      <c r="BP47" s="604">
        <f t="shared" si="25"/>
        <v>894577627</v>
      </c>
      <c r="BQ47" s="604">
        <f t="shared" si="25"/>
        <v>781646796</v>
      </c>
      <c r="BR47" s="47"/>
      <c r="BS47" s="47"/>
      <c r="BT47" s="606"/>
      <c r="BU47" s="47"/>
      <c r="BV47" s="47"/>
      <c r="BW47" s="47"/>
    </row>
    <row r="48" spans="1:75">
      <c r="A48" s="176">
        <v>45</v>
      </c>
      <c r="B48" s="177" t="s">
        <v>447</v>
      </c>
      <c r="C48" s="168">
        <v>5</v>
      </c>
      <c r="D48" s="45">
        <v>0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0.12357929519529384</v>
      </c>
      <c r="L48" s="45">
        <v>0.16968713721455797</v>
      </c>
      <c r="M48" s="45">
        <v>6.5254355365039249E-2</v>
      </c>
      <c r="N48" s="45">
        <v>0.11230870701510111</v>
      </c>
      <c r="O48" s="45">
        <v>4.2688826336745776E-2</v>
      </c>
      <c r="P48" s="45">
        <v>6.6241491730879634E-2</v>
      </c>
      <c r="Q48" s="45">
        <v>6.3319835659722615E-3</v>
      </c>
      <c r="R48" s="45">
        <v>6.7153886696752221E-2</v>
      </c>
      <c r="S48" s="45">
        <v>0.11987606589739216</v>
      </c>
      <c r="T48" s="45">
        <v>3.0729762567029601E-2</v>
      </c>
      <c r="U48" s="45">
        <v>3.6659802515844324E-2</v>
      </c>
      <c r="V48" s="45">
        <v>6.9808057314196093E-2</v>
      </c>
      <c r="W48" s="45">
        <v>2.1351474212027922E-2</v>
      </c>
      <c r="X48" s="45">
        <v>3.4838208687375881E-2</v>
      </c>
      <c r="Y48" s="45">
        <v>2.5822325216309835E-2</v>
      </c>
      <c r="Z48" s="45">
        <v>4.2161784330349818E-2</v>
      </c>
      <c r="AA48" s="45">
        <v>3.3013833968137049E-2</v>
      </c>
      <c r="AB48" s="45">
        <v>2.5833394780049108E-2</v>
      </c>
      <c r="AC48" s="45">
        <v>4.3018849605060597E-2</v>
      </c>
      <c r="AD48" s="45">
        <v>3.1803406024436841E-2</v>
      </c>
      <c r="AE48" s="45">
        <v>2.1099041329648977E-2</v>
      </c>
      <c r="AF48" s="45">
        <v>3.4188799346748081E-2</v>
      </c>
      <c r="AG48" s="45">
        <v>2.8668680999710972E-2</v>
      </c>
      <c r="AH48" s="45">
        <v>2.7096929080054531E-2</v>
      </c>
      <c r="AI48" s="45">
        <v>3.019267087118313E-2</v>
      </c>
      <c r="AJ48" s="45">
        <v>2.2591968475885883E-2</v>
      </c>
      <c r="AK48" s="45">
        <v>2.7151959371598307E-2</v>
      </c>
      <c r="AL48" s="45">
        <v>2.9396423567947819E-2</v>
      </c>
      <c r="AM48" s="45">
        <v>3.1519577671137368E-2</v>
      </c>
      <c r="AN48" s="45">
        <v>2.9659978476917852E-2</v>
      </c>
      <c r="AO48" s="45">
        <v>1.768873410676652E-2</v>
      </c>
      <c r="AP48" s="45">
        <v>4.0340439530246124E-2</v>
      </c>
      <c r="AQ48" s="45">
        <v>4.7032538850119869E-2</v>
      </c>
      <c r="AR48" s="45">
        <v>1.6546778502432132E-2</v>
      </c>
      <c r="AS48" s="45">
        <v>3.5355482350818042E-2</v>
      </c>
      <c r="AT48" s="45">
        <v>4.0760187495412201E-2</v>
      </c>
      <c r="AU48" s="45">
        <v>5.3273523177227604E-2</v>
      </c>
      <c r="AV48" s="45">
        <v>4.4867271291637076E-2</v>
      </c>
      <c r="AW48" s="45">
        <v>3.9455942625005798E-2</v>
      </c>
      <c r="AX48" s="45">
        <v>2.5610487412751268E-2</v>
      </c>
      <c r="AY48" s="45">
        <v>9.6664527895581082E-2</v>
      </c>
      <c r="AZ48" s="45">
        <v>3.5002070415275428E-2</v>
      </c>
      <c r="BA48" s="45">
        <v>3.3583512540062935E-2</v>
      </c>
      <c r="BB48" s="45">
        <v>3.3886401620412961E-2</v>
      </c>
      <c r="BC48" s="45">
        <v>3.2505286738129829E-2</v>
      </c>
      <c r="BD48" s="45">
        <v>3.0818863872264582E-2</v>
      </c>
      <c r="BE48" s="45">
        <v>4.0263085593674364E-2</v>
      </c>
      <c r="BF48" s="45">
        <v>2.5001356436275327E-2</v>
      </c>
      <c r="BG48" s="45">
        <v>2.938148771467575E-2</v>
      </c>
      <c r="BH48" s="45">
        <v>3.3190695854368159E-2</v>
      </c>
      <c r="BI48" s="45">
        <v>6.1403585424134641E-2</v>
      </c>
      <c r="BJ48" s="45">
        <v>3.8639858749421413E-2</v>
      </c>
      <c r="BK48" s="45">
        <f t="shared" ref="BK48:BW48" si="26">IFERROR(BK40/BK12,"")</f>
        <v>4.8283596770504832E-2</v>
      </c>
      <c r="BL48" s="45">
        <f t="shared" si="26"/>
        <v>2.9594183231381476E-2</v>
      </c>
      <c r="BM48" s="45">
        <f t="shared" si="26"/>
        <v>3.3165074935021126E-2</v>
      </c>
      <c r="BN48" s="45">
        <f t="shared" si="26"/>
        <v>3.6038580221128352E-2</v>
      </c>
      <c r="BO48" s="45">
        <f t="shared" si="26"/>
        <v>3.6598920129902075E-2</v>
      </c>
      <c r="BP48" s="45">
        <f t="shared" si="26"/>
        <v>3.7028095308412418E-2</v>
      </c>
      <c r="BQ48" s="45">
        <f t="shared" si="26"/>
        <v>3.0927842858088962E-2</v>
      </c>
      <c r="BR48" s="45" t="str">
        <f t="shared" si="26"/>
        <v/>
      </c>
      <c r="BS48" s="45" t="str">
        <f t="shared" si="26"/>
        <v/>
      </c>
      <c r="BT48" s="45" t="str">
        <f t="shared" si="26"/>
        <v/>
      </c>
      <c r="BU48" s="45" t="str">
        <f t="shared" si="26"/>
        <v/>
      </c>
      <c r="BV48" s="45" t="str">
        <f t="shared" si="26"/>
        <v/>
      </c>
      <c r="BW48" s="45" t="str">
        <f t="shared" si="26"/>
        <v/>
      </c>
    </row>
    <row r="49" spans="1:75">
      <c r="A49" s="174">
        <v>46</v>
      </c>
      <c r="B49" s="175" t="s">
        <v>448</v>
      </c>
      <c r="C49" s="164">
        <v>5</v>
      </c>
      <c r="D49" s="43">
        <f>'Ket qua kinh doanh'!D15</f>
        <v>457415751</v>
      </c>
      <c r="E49" s="43">
        <f>'Ket qua kinh doanh'!E15</f>
        <v>619384345</v>
      </c>
      <c r="F49" s="43">
        <f>'Ket qua kinh doanh'!F15</f>
        <v>707076077</v>
      </c>
      <c r="G49" s="43">
        <f>'Ket qua kinh doanh'!G15</f>
        <v>816715935</v>
      </c>
      <c r="H49" s="43">
        <f>'Ket qua kinh doanh'!H15</f>
        <v>827613489</v>
      </c>
      <c r="I49" s="43">
        <f>'Ket qua kinh doanh'!I15</f>
        <v>624184259</v>
      </c>
      <c r="J49" s="43">
        <f>'Ket qua kinh doanh'!J15</f>
        <v>2510720411</v>
      </c>
      <c r="K49" s="43">
        <f>'Ket qua kinh doanh'!K15</f>
        <v>569609208</v>
      </c>
      <c r="L49" s="43">
        <f>'Ket qua kinh doanh'!L15</f>
        <v>536039299</v>
      </c>
      <c r="M49" s="43">
        <f>'Ket qua kinh doanh'!M15</f>
        <v>941857345</v>
      </c>
      <c r="N49" s="43">
        <f>'Ket qua kinh doanh'!N15</f>
        <v>3424596971</v>
      </c>
      <c r="O49" s="43">
        <f>'Ket qua kinh doanh'!O15</f>
        <v>-831817605</v>
      </c>
      <c r="P49" s="43">
        <f>'Ket qua kinh doanh'!P15</f>
        <v>1435430845</v>
      </c>
      <c r="Q49" s="43">
        <f>'Ket qua kinh doanh'!Q15</f>
        <v>1479188151</v>
      </c>
      <c r="R49" s="43">
        <f>'Ket qua kinh doanh'!R15</f>
        <v>1624743284</v>
      </c>
      <c r="S49" s="43">
        <f>'Ket qua kinh doanh'!S15</f>
        <v>1725353483</v>
      </c>
      <c r="T49" s="43">
        <f>'Ket qua kinh doanh'!T15</f>
        <v>1803134313</v>
      </c>
      <c r="U49" s="43">
        <f>'Ket qua kinh doanh'!U15</f>
        <v>1872200320</v>
      </c>
      <c r="V49" s="43">
        <f>'Ket qua kinh doanh'!V15</f>
        <v>1882239518</v>
      </c>
      <c r="W49" s="43">
        <f>'Ket qua kinh doanh'!W15</f>
        <v>2444716491</v>
      </c>
      <c r="X49" s="43">
        <f>'Ket qua kinh doanh'!X15</f>
        <v>2755381317</v>
      </c>
      <c r="Y49" s="43">
        <f>'Ket qua kinh doanh'!Y15</f>
        <v>3239626198</v>
      </c>
      <c r="Z49" s="43">
        <f>'Ket qua kinh doanh'!Z15</f>
        <v>3143544394</v>
      </c>
      <c r="AA49" s="43">
        <f>'Ket qua kinh doanh'!AA15</f>
        <v>6327840763</v>
      </c>
      <c r="AB49" s="43">
        <f>'Ket qua kinh doanh'!AB15</f>
        <v>2772788125</v>
      </c>
      <c r="AC49" s="43">
        <f>'Ket qua kinh doanh'!AC15</f>
        <v>2947588122</v>
      </c>
      <c r="AD49" s="43">
        <f>'Ket qua kinh doanh'!AD15</f>
        <v>3098829707</v>
      </c>
      <c r="AE49" s="43">
        <f>'Ket qua kinh doanh'!AE15</f>
        <v>3036290770</v>
      </c>
      <c r="AF49" s="43">
        <f>'Ket qua kinh doanh'!AF15</f>
        <v>3448026712</v>
      </c>
      <c r="AG49" s="43">
        <f>'Ket qua kinh doanh'!AG15</f>
        <v>3261800788</v>
      </c>
      <c r="AH49" s="43">
        <f>'Ket qua kinh doanh'!AH15</f>
        <v>3348437381</v>
      </c>
      <c r="AI49" s="43">
        <f>'Ket qua kinh doanh'!AI15</f>
        <v>1910475796</v>
      </c>
      <c r="AJ49" s="43">
        <f>'Ket qua kinh doanh'!AJ15</f>
        <v>3536419913</v>
      </c>
      <c r="AK49" s="43">
        <f>'Ket qua kinh doanh'!AK15</f>
        <v>3592592574</v>
      </c>
      <c r="AL49" s="43">
        <f>'Ket qua kinh doanh'!AL15</f>
        <v>3600549435</v>
      </c>
      <c r="AM49" s="43">
        <f>'Ket qua kinh doanh'!AM15</f>
        <v>5720814487</v>
      </c>
      <c r="AN49" s="43">
        <f>'Ket qua kinh doanh'!AN15</f>
        <v>5241377343</v>
      </c>
      <c r="AO49" s="43">
        <f>'Ket qua kinh doanh'!AO15</f>
        <v>4647980221</v>
      </c>
      <c r="AP49" s="43">
        <f>'Ket qua kinh doanh'!AP15</f>
        <v>4838115306</v>
      </c>
      <c r="AQ49" s="43">
        <f>'Ket qua kinh doanh'!AQ15</f>
        <v>5132788494</v>
      </c>
      <c r="AR49" s="43">
        <f>'Ket qua kinh doanh'!AR15</f>
        <v>5665606587</v>
      </c>
      <c r="AS49" s="43">
        <f>'Ket qua kinh doanh'!AS15</f>
        <v>5470797521</v>
      </c>
      <c r="AT49" s="43">
        <f>'Ket qua kinh doanh'!AT15</f>
        <v>5239042307</v>
      </c>
      <c r="AU49" s="43">
        <f>'Ket qua kinh doanh'!AU15</f>
        <v>6065017937</v>
      </c>
      <c r="AV49" s="43">
        <f>'Ket qua kinh doanh'!AV15</f>
        <v>7524726581</v>
      </c>
      <c r="AW49" s="43">
        <f>'Ket qua kinh doanh'!AW15</f>
        <v>7016385931</v>
      </c>
      <c r="AX49" s="43">
        <f>'Ket qua kinh doanh'!AX15</f>
        <v>7426888275</v>
      </c>
      <c r="AY49" s="43">
        <f>'Ket qua kinh doanh'!AY15</f>
        <v>5833487838</v>
      </c>
      <c r="AZ49" s="43">
        <f>'Ket qua kinh doanh'!AZ15</f>
        <v>7638868570</v>
      </c>
      <c r="BA49" s="43">
        <f>'Ket qua kinh doanh'!BA15</f>
        <v>7013534740</v>
      </c>
      <c r="BB49" s="43">
        <f>'Ket qua kinh doanh'!BB15</f>
        <v>7332584934</v>
      </c>
      <c r="BC49" s="43">
        <f>'Ket qua kinh doanh'!BC15</f>
        <v>7155903324</v>
      </c>
      <c r="BD49" s="43">
        <f>'Ket qua kinh doanh'!BD15</f>
        <v>7948694673</v>
      </c>
      <c r="BE49" s="43">
        <f>'Ket qua kinh doanh'!BE15</f>
        <v>7721648228</v>
      </c>
      <c r="BF49" s="43">
        <f>'Ket qua kinh doanh'!BF15</f>
        <v>7616453256</v>
      </c>
      <c r="BG49" s="43">
        <f>'Ket qua kinh doanh'!BG15</f>
        <v>7931593154</v>
      </c>
      <c r="BH49" s="43">
        <f>'Ket qua kinh doanh'!BH15</f>
        <v>9422194647</v>
      </c>
      <c r="BI49" s="43">
        <f>'Ket qua kinh doanh'!BI15</f>
        <v>3775611792</v>
      </c>
      <c r="BJ49" s="43">
        <f>'Ket qua kinh doanh'!BJ15</f>
        <v>9875644458</v>
      </c>
      <c r="BK49" s="43">
        <f>'Ket qua kinh doanh'!BK15</f>
        <v>15282438636</v>
      </c>
      <c r="BL49" s="43">
        <f>'Ket qua kinh doanh'!BL15</f>
        <v>8394130638</v>
      </c>
      <c r="BM49" s="43">
        <f>'Ket qua kinh doanh'!BM15</f>
        <v>7959394332</v>
      </c>
      <c r="BN49" s="43">
        <f>'Ket qua kinh doanh'!BN15</f>
        <v>7329810589</v>
      </c>
      <c r="BO49" s="43">
        <f>'Ket qua kinh doanh'!BO15</f>
        <v>8148952142</v>
      </c>
      <c r="BP49" s="43">
        <f>'Ket qua kinh doanh'!BP15</f>
        <v>8010802475</v>
      </c>
      <c r="BQ49" s="43">
        <f>'Ket qua kinh doanh'!BQ15</f>
        <v>8218560670</v>
      </c>
      <c r="BR49" s="43">
        <f>'Ket qua kinh doanh'!BR15</f>
        <v>0</v>
      </c>
      <c r="BS49" s="43">
        <f>'Ket qua kinh doanh'!BS15</f>
        <v>0</v>
      </c>
      <c r="BT49" s="43">
        <f>'Ket qua kinh doanh'!BT15</f>
        <v>0</v>
      </c>
      <c r="BU49" s="43">
        <f>'Ket qua kinh doanh'!BU15</f>
        <v>0</v>
      </c>
      <c r="BV49" s="43">
        <f>'Ket qua kinh doanh'!BV15</f>
        <v>0</v>
      </c>
      <c r="BW49" s="43">
        <f>'Ket qua kinh doanh'!BW15</f>
        <v>0</v>
      </c>
    </row>
    <row r="50" spans="1:75">
      <c r="A50" s="171">
        <v>47</v>
      </c>
      <c r="B50" s="172" t="s">
        <v>449</v>
      </c>
      <c r="C50" s="170">
        <v>5</v>
      </c>
      <c r="D50" s="47">
        <v>289460754</v>
      </c>
      <c r="E50" s="47">
        <v>412129340</v>
      </c>
      <c r="F50" s="47">
        <v>427546983</v>
      </c>
      <c r="G50" s="47">
        <v>634883096</v>
      </c>
      <c r="H50" s="47">
        <v>579542428</v>
      </c>
      <c r="I50" s="47">
        <v>370374065</v>
      </c>
      <c r="J50" s="47">
        <v>220580745</v>
      </c>
      <c r="K50" s="47">
        <v>207636343</v>
      </c>
      <c r="L50" s="47">
        <v>205413550</v>
      </c>
      <c r="M50" s="47">
        <v>384936030</v>
      </c>
      <c r="N50" s="47">
        <v>483197785</v>
      </c>
      <c r="O50" s="47">
        <v>693787144</v>
      </c>
      <c r="P50" s="47">
        <v>677256796</v>
      </c>
      <c r="Q50" s="47">
        <v>743624146</v>
      </c>
      <c r="R50" s="47">
        <v>749384685</v>
      </c>
      <c r="S50" s="47">
        <v>918207467</v>
      </c>
      <c r="T50" s="47">
        <v>846986167</v>
      </c>
      <c r="U50" s="47">
        <v>958181584</v>
      </c>
      <c r="V50" s="47">
        <v>873316245</v>
      </c>
      <c r="W50" s="47">
        <v>1058282894</v>
      </c>
      <c r="X50" s="47">
        <v>1344208715</v>
      </c>
      <c r="Y50" s="47">
        <v>1460373934</v>
      </c>
      <c r="Z50" s="47">
        <v>1462657106</v>
      </c>
      <c r="AA50" s="47">
        <v>1945934226</v>
      </c>
      <c r="AB50" s="47">
        <v>1716602352</v>
      </c>
      <c r="AC50" s="47">
        <v>1618653545</v>
      </c>
      <c r="AD50" s="47">
        <v>1696686366</v>
      </c>
      <c r="AE50" s="47">
        <v>1782127213</v>
      </c>
      <c r="AF50" s="47">
        <v>1980689909</v>
      </c>
      <c r="AG50" s="47">
        <v>1930342828</v>
      </c>
      <c r="AH50" s="47">
        <v>1960508558</v>
      </c>
      <c r="AI50" s="47">
        <v>2299517449</v>
      </c>
      <c r="AJ50" s="47">
        <v>2213825392</v>
      </c>
      <c r="AK50" s="47">
        <v>2246642499</v>
      </c>
      <c r="AL50" s="47">
        <v>2184726436</v>
      </c>
      <c r="AM50" s="47">
        <v>3845630660</v>
      </c>
      <c r="AN50" s="47">
        <v>2821174279</v>
      </c>
      <c r="AO50" s="47">
        <v>2596832141</v>
      </c>
      <c r="AP50" s="47">
        <v>2970793275</v>
      </c>
      <c r="AQ50" s="47">
        <v>3080517577</v>
      </c>
      <c r="AR50" s="47">
        <v>2961062011</v>
      </c>
      <c r="AS50" s="47">
        <v>2934411840</v>
      </c>
      <c r="AT50" s="47">
        <v>3050053224</v>
      </c>
      <c r="AU50" s="47">
        <v>3048254395</v>
      </c>
      <c r="AV50" s="47">
        <v>3160550935</v>
      </c>
      <c r="AW50" s="47">
        <v>3058577738</v>
      </c>
      <c r="AX50" s="47">
        <v>3300389680</v>
      </c>
      <c r="AY50" s="47">
        <v>3712491965</v>
      </c>
      <c r="AZ50" s="593">
        <v>3675219933</v>
      </c>
      <c r="BA50" s="593">
        <v>3730193145</v>
      </c>
      <c r="BB50" s="593">
        <v>3672802487</v>
      </c>
      <c r="BC50" s="593">
        <v>4067361203</v>
      </c>
      <c r="BD50" s="593">
        <v>4153389635</v>
      </c>
      <c r="BE50" s="593">
        <v>4328073097</v>
      </c>
      <c r="BF50" s="593">
        <v>3993576113</v>
      </c>
      <c r="BG50" s="593">
        <v>4303879064</v>
      </c>
      <c r="BH50" s="593">
        <v>4293121134</v>
      </c>
      <c r="BI50" s="593">
        <v>4231623187</v>
      </c>
      <c r="BJ50" s="593">
        <v>4348684158</v>
      </c>
      <c r="BK50" s="593">
        <v>6436319353</v>
      </c>
      <c r="BL50" s="593">
        <v>4545131885</v>
      </c>
      <c r="BM50" s="593">
        <v>4261781380</v>
      </c>
      <c r="BN50" s="593">
        <v>4227653501</v>
      </c>
      <c r="BO50" s="593">
        <v>4940990364</v>
      </c>
      <c r="BP50" s="593">
        <v>4483026196</v>
      </c>
      <c r="BQ50" s="593">
        <v>4710602505</v>
      </c>
      <c r="BR50" s="47"/>
      <c r="BS50" s="47"/>
      <c r="BT50" s="47"/>
      <c r="BU50" s="47"/>
      <c r="BV50" s="47"/>
      <c r="BW50" s="47"/>
    </row>
    <row r="51" spans="1:75">
      <c r="A51" s="171">
        <v>48</v>
      </c>
      <c r="B51" s="172" t="s">
        <v>450</v>
      </c>
      <c r="C51" s="170">
        <v>5</v>
      </c>
      <c r="D51" s="47">
        <v>58186396</v>
      </c>
      <c r="E51" s="47">
        <v>77565172</v>
      </c>
      <c r="F51" s="47">
        <v>83062669</v>
      </c>
      <c r="G51" s="47">
        <v>-7447601</v>
      </c>
      <c r="H51" s="47">
        <v>59662874</v>
      </c>
      <c r="I51" s="47">
        <v>51742341</v>
      </c>
      <c r="J51" s="47">
        <v>78635950</v>
      </c>
      <c r="K51" s="47">
        <v>75327393</v>
      </c>
      <c r="L51" s="47">
        <v>70257399</v>
      </c>
      <c r="M51" s="47">
        <v>87225864</v>
      </c>
      <c r="N51" s="47">
        <v>92032494</v>
      </c>
      <c r="O51" s="47">
        <v>102631668</v>
      </c>
      <c r="P51" s="47">
        <v>194089769</v>
      </c>
      <c r="Q51" s="47">
        <v>182039031</v>
      </c>
      <c r="R51" s="47">
        <v>153785583</v>
      </c>
      <c r="S51" s="47">
        <v>219400929</v>
      </c>
      <c r="T51" s="47">
        <v>218162578</v>
      </c>
      <c r="U51" s="47">
        <v>250093066</v>
      </c>
      <c r="V51" s="47">
        <v>321409020</v>
      </c>
      <c r="W51" s="47">
        <v>581532622</v>
      </c>
      <c r="X51" s="47">
        <v>260737969</v>
      </c>
      <c r="Y51" s="47">
        <v>378952519</v>
      </c>
      <c r="Z51" s="47">
        <v>398827663</v>
      </c>
      <c r="AA51" s="47">
        <v>452044092</v>
      </c>
      <c r="AB51" s="47">
        <v>416221510</v>
      </c>
      <c r="AC51" s="47">
        <v>506419015</v>
      </c>
      <c r="AD51" s="47">
        <v>457738315</v>
      </c>
      <c r="AE51" s="47">
        <v>469122401</v>
      </c>
      <c r="AF51" s="47">
        <v>543005689</v>
      </c>
      <c r="AG51" s="47">
        <v>504301658</v>
      </c>
      <c r="AH51" s="47">
        <v>584218218</v>
      </c>
      <c r="AI51" s="47">
        <v>550002260</v>
      </c>
      <c r="AJ51" s="47">
        <v>573619369</v>
      </c>
      <c r="AK51" s="47">
        <v>536019131</v>
      </c>
      <c r="AL51" s="47">
        <v>534644248</v>
      </c>
      <c r="AM51" s="47">
        <v>562844130</v>
      </c>
      <c r="AN51" s="47">
        <v>564345585</v>
      </c>
      <c r="AO51" s="47">
        <v>598172038</v>
      </c>
      <c r="AP51" s="47">
        <v>611594275</v>
      </c>
      <c r="AQ51" s="47">
        <v>598880090</v>
      </c>
      <c r="AR51" s="47">
        <v>618002219</v>
      </c>
      <c r="AS51" s="47">
        <v>625043078</v>
      </c>
      <c r="AT51" s="47">
        <v>713500436</v>
      </c>
      <c r="AU51" s="47">
        <v>656200021</v>
      </c>
      <c r="AV51" s="47">
        <v>737578505</v>
      </c>
      <c r="AW51" s="47">
        <v>693022815</v>
      </c>
      <c r="AX51" s="47">
        <v>648815972</v>
      </c>
      <c r="AY51" s="47">
        <v>1198159381</v>
      </c>
      <c r="AZ51" s="593">
        <v>1453529846</v>
      </c>
      <c r="BA51" s="593">
        <v>1287968701</v>
      </c>
      <c r="BB51" s="593">
        <v>1041566554</v>
      </c>
      <c r="BC51" s="593">
        <v>1176395591</v>
      </c>
      <c r="BD51" s="593">
        <v>1122981936</v>
      </c>
      <c r="BE51" s="593">
        <v>1165050338</v>
      </c>
      <c r="BF51" s="593">
        <v>1278983506</v>
      </c>
      <c r="BG51" s="593">
        <v>1388562790</v>
      </c>
      <c r="BH51" s="593">
        <v>2703236232</v>
      </c>
      <c r="BI51" s="593">
        <v>1410898246</v>
      </c>
      <c r="BJ51" s="593">
        <v>1320213158</v>
      </c>
      <c r="BK51" s="593">
        <v>4773101363</v>
      </c>
      <c r="BL51" s="593">
        <v>1592105231</v>
      </c>
      <c r="BM51" s="593">
        <v>1817984145</v>
      </c>
      <c r="BN51" s="593">
        <v>1338920081</v>
      </c>
      <c r="BO51" s="593">
        <v>1622678878</v>
      </c>
      <c r="BP51" s="593">
        <v>1603460822</v>
      </c>
      <c r="BQ51" s="593">
        <v>1529571903</v>
      </c>
      <c r="BR51" s="47"/>
      <c r="BS51" s="47"/>
      <c r="BT51" s="47"/>
      <c r="BU51" s="47"/>
      <c r="BV51" s="47"/>
      <c r="BW51" s="47"/>
    </row>
    <row r="52" spans="1:75">
      <c r="A52" s="171">
        <v>49</v>
      </c>
      <c r="B52" s="172" t="s">
        <v>451</v>
      </c>
      <c r="C52" s="170">
        <v>5</v>
      </c>
      <c r="D52" s="47">
        <v>950000</v>
      </c>
      <c r="E52" s="47">
        <v>950000</v>
      </c>
      <c r="F52" s="47">
        <v>950000</v>
      </c>
      <c r="G52" s="47">
        <v>2950000</v>
      </c>
      <c r="H52" s="47">
        <v>7929167</v>
      </c>
      <c r="I52" s="47">
        <v>9607028</v>
      </c>
      <c r="J52" s="47">
        <v>12395439</v>
      </c>
      <c r="K52" s="47">
        <v>123509626</v>
      </c>
      <c r="L52" s="47">
        <v>122818479</v>
      </c>
      <c r="M52" s="47">
        <v>122818477</v>
      </c>
      <c r="N52" s="47">
        <v>814747023</v>
      </c>
      <c r="O52" s="47">
        <v>185721071</v>
      </c>
      <c r="P52" s="47">
        <v>185721074</v>
      </c>
      <c r="Q52" s="47">
        <v>185721072</v>
      </c>
      <c r="R52" s="47">
        <v>185721073</v>
      </c>
      <c r="S52" s="47">
        <v>123445144</v>
      </c>
      <c r="T52" s="47">
        <v>249250335</v>
      </c>
      <c r="U52" s="47">
        <v>196661806</v>
      </c>
      <c r="V52" s="47">
        <v>202074161</v>
      </c>
      <c r="W52" s="47">
        <v>205311863</v>
      </c>
      <c r="X52" s="47">
        <v>217979892</v>
      </c>
      <c r="Y52" s="47">
        <v>229055052</v>
      </c>
      <c r="Z52" s="47">
        <v>232111426</v>
      </c>
      <c r="AA52" s="47">
        <v>232111430</v>
      </c>
      <c r="AB52" s="47">
        <v>65780267</v>
      </c>
      <c r="AC52" s="47">
        <v>65780264</v>
      </c>
      <c r="AD52" s="47">
        <v>104845615</v>
      </c>
      <c r="AE52" s="47">
        <v>129720814</v>
      </c>
      <c r="AF52" s="47">
        <v>129720813</v>
      </c>
      <c r="AG52" s="47">
        <v>138685815</v>
      </c>
      <c r="AH52" s="47">
        <v>138630832</v>
      </c>
      <c r="AI52" s="47">
        <v>151464521</v>
      </c>
      <c r="AJ52" s="47">
        <v>151732219</v>
      </c>
      <c r="AK52" s="47">
        <v>151732216</v>
      </c>
      <c r="AL52" s="47">
        <v>151732217</v>
      </c>
      <c r="AM52" s="47">
        <v>181585594</v>
      </c>
      <c r="AN52" s="47">
        <v>133435416</v>
      </c>
      <c r="AO52" s="47">
        <v>133435416</v>
      </c>
      <c r="AP52" s="47">
        <v>128983751</v>
      </c>
      <c r="AQ52" s="47">
        <v>188597480</v>
      </c>
      <c r="AR52" s="47">
        <v>193063634</v>
      </c>
      <c r="AS52" s="47">
        <v>191604855</v>
      </c>
      <c r="AT52" s="47">
        <v>196735047</v>
      </c>
      <c r="AU52" s="47">
        <v>345856873</v>
      </c>
      <c r="AV52" s="47">
        <v>345856878</v>
      </c>
      <c r="AW52" s="47">
        <v>345856871</v>
      </c>
      <c r="AX52" s="47">
        <v>344940471</v>
      </c>
      <c r="AY52" s="47">
        <v>405609841</v>
      </c>
      <c r="AZ52" s="592">
        <v>408232612</v>
      </c>
      <c r="BA52" s="592">
        <v>408232613</v>
      </c>
      <c r="BB52" s="592">
        <v>412137337</v>
      </c>
      <c r="BC52" s="592">
        <v>453592578</v>
      </c>
      <c r="BD52" s="592">
        <v>453592580</v>
      </c>
      <c r="BE52" s="592">
        <v>469692042</v>
      </c>
      <c r="BF52" s="592">
        <v>317251507</v>
      </c>
      <c r="BG52" s="592">
        <v>325028371</v>
      </c>
      <c r="BH52" s="592">
        <v>463234577</v>
      </c>
      <c r="BI52" s="592">
        <v>325894878</v>
      </c>
      <c r="BJ52" s="592">
        <v>325894881</v>
      </c>
      <c r="BK52" s="592">
        <v>275263213</v>
      </c>
      <c r="BL52" s="592">
        <v>69488240</v>
      </c>
      <c r="BM52" s="592">
        <v>69486865</v>
      </c>
      <c r="BN52" s="592">
        <v>61828638</v>
      </c>
      <c r="BO52" s="592">
        <v>62110960</v>
      </c>
      <c r="BP52" s="592">
        <v>64038045</v>
      </c>
      <c r="BQ52" s="592">
        <v>64038046</v>
      </c>
      <c r="BR52" s="47"/>
      <c r="BS52" s="47"/>
      <c r="BT52" s="47"/>
      <c r="BU52" s="47"/>
      <c r="BV52" s="47"/>
      <c r="BW52" s="47"/>
    </row>
    <row r="53" spans="1:75">
      <c r="A53" s="171">
        <v>50</v>
      </c>
      <c r="B53" s="172" t="s">
        <v>452</v>
      </c>
      <c r="C53" s="170">
        <v>5</v>
      </c>
      <c r="D53" s="47">
        <v>108818601</v>
      </c>
      <c r="E53" s="47">
        <v>128739833</v>
      </c>
      <c r="F53" s="47">
        <v>195516425</v>
      </c>
      <c r="G53" s="47">
        <v>186330440</v>
      </c>
      <c r="H53" s="47">
        <v>180479020</v>
      </c>
      <c r="I53" s="47">
        <v>192460825</v>
      </c>
      <c r="J53" s="47">
        <v>2199108277</v>
      </c>
      <c r="K53" s="47">
        <v>163135846</v>
      </c>
      <c r="L53" s="47">
        <v>137549871</v>
      </c>
      <c r="M53" s="47">
        <v>346876974</v>
      </c>
      <c r="N53" s="47">
        <v>2034619669</v>
      </c>
      <c r="O53" s="47">
        <v>-1813957488</v>
      </c>
      <c r="P53" s="47">
        <v>378363206</v>
      </c>
      <c r="Q53" s="47">
        <v>367803902</v>
      </c>
      <c r="R53" s="47">
        <v>535851943</v>
      </c>
      <c r="S53" s="47">
        <v>464299943</v>
      </c>
      <c r="T53" s="47">
        <v>488735233</v>
      </c>
      <c r="U53" s="47">
        <v>467263864</v>
      </c>
      <c r="V53" s="47">
        <v>485440092</v>
      </c>
      <c r="W53" s="47">
        <v>599589112</v>
      </c>
      <c r="X53" s="47">
        <v>932454741</v>
      </c>
      <c r="Y53" s="47">
        <v>1171244693</v>
      </c>
      <c r="Z53" s="47">
        <v>1049948199</v>
      </c>
      <c r="AA53" s="47">
        <v>4718153885</v>
      </c>
      <c r="AB53" s="47">
        <v>574183996</v>
      </c>
      <c r="AC53" s="47">
        <v>756735298</v>
      </c>
      <c r="AD53" s="47">
        <v>839559411</v>
      </c>
      <c r="AE53" s="47">
        <v>655320342</v>
      </c>
      <c r="AF53" s="47">
        <v>794610301</v>
      </c>
      <c r="AG53" s="47">
        <v>688470487</v>
      </c>
      <c r="AH53" s="47">
        <v>665079773</v>
      </c>
      <c r="AI53" s="47">
        <v>-1090508434</v>
      </c>
      <c r="AJ53" s="47">
        <v>597242933</v>
      </c>
      <c r="AK53" s="47">
        <v>658198728</v>
      </c>
      <c r="AL53" s="47">
        <v>729446534</v>
      </c>
      <c r="AM53" s="47">
        <v>1130754103</v>
      </c>
      <c r="AN53" s="47">
        <v>1722422063</v>
      </c>
      <c r="AO53" s="47">
        <v>1319540626</v>
      </c>
      <c r="AP53" s="47">
        <v>1126744005</v>
      </c>
      <c r="AQ53" s="47">
        <v>1264793347</v>
      </c>
      <c r="AR53" s="47">
        <v>1893478723</v>
      </c>
      <c r="AS53" s="47">
        <v>1719737748</v>
      </c>
      <c r="AT53" s="47">
        <v>1278753600</v>
      </c>
      <c r="AU53" s="47">
        <v>2014706648</v>
      </c>
      <c r="AV53" s="47">
        <v>3280740263</v>
      </c>
      <c r="AW53" s="47">
        <v>2918928507</v>
      </c>
      <c r="AX53" s="47">
        <v>3132742152</v>
      </c>
      <c r="AY53" s="47">
        <v>517226651</v>
      </c>
      <c r="AZ53" s="604">
        <f>AZ49-SUM(AZ50:AZ52)</f>
        <v>2101886179</v>
      </c>
      <c r="BA53" s="604">
        <f t="shared" ref="BA53:BQ53" si="27">BA49-SUM(BA50:BA52)</f>
        <v>1587140281</v>
      </c>
      <c r="BB53" s="604">
        <f t="shared" si="27"/>
        <v>2206078556</v>
      </c>
      <c r="BC53" s="604">
        <f t="shared" si="27"/>
        <v>1458553952</v>
      </c>
      <c r="BD53" s="604">
        <f t="shared" si="27"/>
        <v>2218730522</v>
      </c>
      <c r="BE53" s="604">
        <f t="shared" si="27"/>
        <v>1758832751</v>
      </c>
      <c r="BF53" s="604">
        <f t="shared" si="27"/>
        <v>2026642130</v>
      </c>
      <c r="BG53" s="604">
        <f t="shared" si="27"/>
        <v>1914122929</v>
      </c>
      <c r="BH53" s="604">
        <f t="shared" si="27"/>
        <v>1962602704</v>
      </c>
      <c r="BI53" s="604">
        <f t="shared" si="27"/>
        <v>-2192804519</v>
      </c>
      <c r="BJ53" s="604">
        <f t="shared" si="27"/>
        <v>3880852261</v>
      </c>
      <c r="BK53" s="604">
        <f t="shared" si="27"/>
        <v>3797754707</v>
      </c>
      <c r="BL53" s="604">
        <f t="shared" si="27"/>
        <v>2187405282</v>
      </c>
      <c r="BM53" s="604">
        <f t="shared" si="27"/>
        <v>1810141942</v>
      </c>
      <c r="BN53" s="604">
        <f t="shared" si="27"/>
        <v>1701408369</v>
      </c>
      <c r="BO53" s="604">
        <f t="shared" si="27"/>
        <v>1523171940</v>
      </c>
      <c r="BP53" s="604">
        <f t="shared" si="27"/>
        <v>1860277412</v>
      </c>
      <c r="BQ53" s="604">
        <f t="shared" si="27"/>
        <v>1914348216</v>
      </c>
      <c r="BR53" s="47"/>
      <c r="BS53" s="47"/>
      <c r="BT53" s="47"/>
      <c r="BU53" s="47"/>
      <c r="BV53" s="47"/>
      <c r="BW53" s="47"/>
    </row>
    <row r="54" spans="1:75">
      <c r="A54" s="176">
        <v>51</v>
      </c>
      <c r="B54" s="177" t="s">
        <v>453</v>
      </c>
      <c r="C54" s="168">
        <v>5</v>
      </c>
      <c r="D54" s="45">
        <f t="shared" ref="D54:BO54" si="28">IFERROR(D49/D12,"")</f>
        <v>0.20858556360350117</v>
      </c>
      <c r="E54" s="45">
        <f t="shared" si="28"/>
        <v>0.34567292119418114</v>
      </c>
      <c r="F54" s="45">
        <f t="shared" si="28"/>
        <v>8.1440818602481715E-2</v>
      </c>
      <c r="G54" s="45">
        <f t="shared" si="28"/>
        <v>0.13037556817504281</v>
      </c>
      <c r="H54" s="45">
        <f t="shared" si="28"/>
        <v>0.60103810850516337</v>
      </c>
      <c r="I54" s="45">
        <f t="shared" si="28"/>
        <v>0.7189653785827137</v>
      </c>
      <c r="J54" s="45">
        <f t="shared" si="28"/>
        <v>0.81369405378615989</v>
      </c>
      <c r="K54" s="45">
        <f t="shared" si="28"/>
        <v>0.27975909280936456</v>
      </c>
      <c r="L54" s="45">
        <f t="shared" si="28"/>
        <v>0.13374785807000172</v>
      </c>
      <c r="M54" s="45">
        <f t="shared" si="28"/>
        <v>0.11249673112860045</v>
      </c>
      <c r="N54" s="45">
        <f t="shared" si="28"/>
        <v>0.3975140567181813</v>
      </c>
      <c r="O54" s="45">
        <f t="shared" si="28"/>
        <v>-6.3012803446451715E-2</v>
      </c>
      <c r="P54" s="45">
        <f t="shared" si="28"/>
        <v>0.19144090581170381</v>
      </c>
      <c r="Q54" s="45">
        <f t="shared" si="28"/>
        <v>0.24204055795602986</v>
      </c>
      <c r="R54" s="45">
        <f t="shared" si="28"/>
        <v>7.1771804491368177E-2</v>
      </c>
      <c r="S54" s="45">
        <f t="shared" si="28"/>
        <v>6.2913692083488085E-2</v>
      </c>
      <c r="T54" s="45">
        <f t="shared" si="28"/>
        <v>9.8261421803787427E-2</v>
      </c>
      <c r="U54" s="45">
        <f t="shared" si="28"/>
        <v>8.5480719450619663E-2</v>
      </c>
      <c r="V54" s="45">
        <f t="shared" si="28"/>
        <v>0.11853586268051276</v>
      </c>
      <c r="W54" s="45">
        <f t="shared" si="28"/>
        <v>6.3731940177420038E-2</v>
      </c>
      <c r="X54" s="45">
        <f t="shared" si="28"/>
        <v>7.4854773263975161E-2</v>
      </c>
      <c r="Y54" s="45">
        <f t="shared" si="28"/>
        <v>7.7917121994373034E-2</v>
      </c>
      <c r="Z54" s="45">
        <f t="shared" si="28"/>
        <v>9.0596701027912979E-2</v>
      </c>
      <c r="AA54" s="45">
        <f t="shared" si="28"/>
        <v>0.10782843289595415</v>
      </c>
      <c r="AB54" s="45">
        <f t="shared" si="28"/>
        <v>0.11097608981924734</v>
      </c>
      <c r="AC54" s="45">
        <f t="shared" si="28"/>
        <v>0.1279206368442653</v>
      </c>
      <c r="AD54" s="45">
        <f t="shared" si="28"/>
        <v>5.2334016548146525E-2</v>
      </c>
      <c r="AE54" s="45">
        <f t="shared" si="28"/>
        <v>5.5930303937462643E-2</v>
      </c>
      <c r="AF54" s="45">
        <f t="shared" si="28"/>
        <v>5.9828352653639727E-2</v>
      </c>
      <c r="AG54" s="45">
        <f t="shared" si="28"/>
        <v>6.4077874579593713E-2</v>
      </c>
      <c r="AH54" s="45">
        <f t="shared" si="28"/>
        <v>6.2556830559544044E-2</v>
      </c>
      <c r="AI54" s="45">
        <f t="shared" si="28"/>
        <v>2.4404901262654564E-2</v>
      </c>
      <c r="AJ54" s="45">
        <f t="shared" si="28"/>
        <v>5.4476712840874526E-2</v>
      </c>
      <c r="AK54" s="45">
        <f t="shared" si="28"/>
        <v>4.2429759002484572E-2</v>
      </c>
      <c r="AL54" s="45">
        <f t="shared" si="28"/>
        <v>5.7239671601657313E-2</v>
      </c>
      <c r="AM54" s="45">
        <f t="shared" si="28"/>
        <v>8.0397473893089225E-2</v>
      </c>
      <c r="AN54" s="45">
        <f t="shared" si="28"/>
        <v>5.461951894182393E-2</v>
      </c>
      <c r="AO54" s="45">
        <f t="shared" si="28"/>
        <v>6.7420906277327705E-2</v>
      </c>
      <c r="AP54" s="45">
        <f t="shared" si="28"/>
        <v>5.2525688216835155E-2</v>
      </c>
      <c r="AQ54" s="45">
        <f t="shared" si="28"/>
        <v>5.2649874377032994E-2</v>
      </c>
      <c r="AR54" s="45">
        <f t="shared" si="28"/>
        <v>5.5347107689687008E-2</v>
      </c>
      <c r="AS54" s="45">
        <f t="shared" si="28"/>
        <v>8.0342823109023007E-2</v>
      </c>
      <c r="AT54" s="45">
        <f t="shared" si="28"/>
        <v>9.2806456534713727E-2</v>
      </c>
      <c r="AU54" s="45">
        <f t="shared" si="28"/>
        <v>3.9376107771791721E-2</v>
      </c>
      <c r="AV54" s="45">
        <f t="shared" si="28"/>
        <v>4.798017940542644E-2</v>
      </c>
      <c r="AW54" s="45">
        <f t="shared" si="28"/>
        <v>6.0065318350262804E-2</v>
      </c>
      <c r="AX54" s="45">
        <f t="shared" si="28"/>
        <v>9.7560289950272119E-2</v>
      </c>
      <c r="AY54" s="45">
        <f t="shared" si="28"/>
        <v>5.4924046392388341E-2</v>
      </c>
      <c r="AZ54" s="45">
        <f t="shared" si="28"/>
        <v>6.6736860332451048E-2</v>
      </c>
      <c r="BA54" s="45">
        <f t="shared" si="28"/>
        <v>3.7306142796861196E-2</v>
      </c>
      <c r="BB54" s="45">
        <f t="shared" si="28"/>
        <v>4.8801479496075294E-2</v>
      </c>
      <c r="BC54" s="45">
        <f t="shared" si="28"/>
        <v>5.7051130512382149E-2</v>
      </c>
      <c r="BD54" s="45">
        <f t="shared" si="28"/>
        <v>5.2270954289817234E-2</v>
      </c>
      <c r="BE54" s="45">
        <f t="shared" si="28"/>
        <v>6.4814449452153478E-2</v>
      </c>
      <c r="BF54" s="45">
        <f t="shared" si="28"/>
        <v>5.5195127198245778E-2</v>
      </c>
      <c r="BG54" s="45">
        <f t="shared" si="28"/>
        <v>4.7087795132064174E-2</v>
      </c>
      <c r="BH54" s="45">
        <f t="shared" si="28"/>
        <v>0.11122826413944996</v>
      </c>
      <c r="BI54" s="45">
        <f t="shared" si="28"/>
        <v>3.4661358855463974E-2</v>
      </c>
      <c r="BJ54" s="45">
        <f t="shared" si="28"/>
        <v>0.11178133949961636</v>
      </c>
      <c r="BK54" s="45">
        <f t="shared" si="28"/>
        <v>0.15319493183912058</v>
      </c>
      <c r="BL54" s="45">
        <f t="shared" si="28"/>
        <v>6.656776168025548E-2</v>
      </c>
      <c r="BM54" s="45">
        <f t="shared" si="28"/>
        <v>8.2423709703634329E-2</v>
      </c>
      <c r="BN54" s="45">
        <f t="shared" si="28"/>
        <v>4.2294081537701776E-2</v>
      </c>
      <c r="BO54" s="45">
        <f t="shared" si="28"/>
        <v>5.123295158049513E-2</v>
      </c>
      <c r="BP54" s="45">
        <f t="shared" ref="BP54:BV54" si="29">IFERROR(BP49/BP12,"")</f>
        <v>5.0141063308961398E-2</v>
      </c>
      <c r="BQ54" s="45">
        <f t="shared" si="29"/>
        <v>6.6826075322825515E-2</v>
      </c>
      <c r="BR54" s="45"/>
      <c r="BS54" s="45"/>
      <c r="BT54" s="45"/>
      <c r="BU54" s="45"/>
      <c r="BV54" s="45" t="str">
        <f t="shared" si="29"/>
        <v/>
      </c>
      <c r="BW54" s="45" t="str">
        <f t="shared" ref="BW54" si="30">IFERROR(BW49/BW12,"")</f>
        <v/>
      </c>
    </row>
    <row r="55" spans="1:75">
      <c r="A55" s="174">
        <v>52</v>
      </c>
      <c r="B55" s="175" t="s">
        <v>454</v>
      </c>
      <c r="C55" s="167">
        <v>5</v>
      </c>
      <c r="D55" s="44">
        <f>'Ket qua kinh doanh'!D12</f>
        <v>167606071</v>
      </c>
      <c r="E55" s="44">
        <f>'Ket qua kinh doanh'!E12</f>
        <v>221668883</v>
      </c>
      <c r="F55" s="44">
        <f>'Ket qua kinh doanh'!F12</f>
        <v>208008837</v>
      </c>
      <c r="G55" s="44">
        <f>'Ket qua kinh doanh'!G12</f>
        <v>262181583</v>
      </c>
      <c r="H55" s="44">
        <f>'Ket qua kinh doanh'!H12</f>
        <v>294284803</v>
      </c>
      <c r="I55" s="44">
        <f>'Ket qua kinh doanh'!I12</f>
        <v>376440316</v>
      </c>
      <c r="J55" s="44">
        <f>'Ket qua kinh doanh'!J12</f>
        <v>341383390</v>
      </c>
      <c r="K55" s="44">
        <f>'Ket qua kinh doanh'!K12</f>
        <v>424333601</v>
      </c>
      <c r="L55" s="44">
        <f>'Ket qua kinh doanh'!L12</f>
        <v>404885911</v>
      </c>
      <c r="M55" s="44">
        <f>'Ket qua kinh doanh'!M12</f>
        <v>376140889</v>
      </c>
      <c r="N55" s="44">
        <f>'Ket qua kinh doanh'!N12</f>
        <v>457278692</v>
      </c>
      <c r="O55" s="44">
        <f>'Ket qua kinh doanh'!O12</f>
        <v>450512533</v>
      </c>
      <c r="P55" s="44">
        <f>'Ket qua kinh doanh'!P12</f>
        <v>566186825</v>
      </c>
      <c r="Q55" s="44">
        <f>'Ket qua kinh doanh'!Q12</f>
        <v>636770194</v>
      </c>
      <c r="R55" s="44">
        <f>'Ket qua kinh doanh'!R12</f>
        <v>622676693</v>
      </c>
      <c r="S55" s="44">
        <f>'Ket qua kinh doanh'!S12</f>
        <v>508923847</v>
      </c>
      <c r="T55" s="44">
        <f>'Ket qua kinh doanh'!T12</f>
        <v>611802389</v>
      </c>
      <c r="U55" s="44">
        <f>'Ket qua kinh doanh'!U12</f>
        <v>151684906</v>
      </c>
      <c r="V55" s="44">
        <f>'Ket qua kinh doanh'!V12</f>
        <v>632905650</v>
      </c>
      <c r="W55" s="44">
        <f>'Ket qua kinh doanh'!W12</f>
        <v>700652271</v>
      </c>
      <c r="X55" s="44">
        <f>'Ket qua kinh doanh'!X12</f>
        <v>1025151505</v>
      </c>
      <c r="Y55" s="44">
        <f>'Ket qua kinh doanh'!Y12</f>
        <v>1107933886</v>
      </c>
      <c r="Z55" s="44">
        <f>'Ket qua kinh doanh'!Z12</f>
        <v>1595489167</v>
      </c>
      <c r="AA55" s="44">
        <f>'Ket qua kinh doanh'!AA12</f>
        <v>731995330</v>
      </c>
      <c r="AB55" s="44">
        <f>'Ket qua kinh doanh'!AB12</f>
        <v>74107271</v>
      </c>
      <c r="AC55" s="44">
        <f>'Ket qua kinh doanh'!AC12</f>
        <v>30659803</v>
      </c>
      <c r="AD55" s="44">
        <f>'Ket qua kinh doanh'!AD12</f>
        <v>220600896</v>
      </c>
      <c r="AE55" s="44">
        <f>'Ket qua kinh doanh'!AE12</f>
        <v>69167924</v>
      </c>
      <c r="AF55" s="44">
        <f>'Ket qua kinh doanh'!AF12</f>
        <v>49408830</v>
      </c>
      <c r="AG55" s="44">
        <f>'Ket qua kinh doanh'!AG12</f>
        <v>124156445</v>
      </c>
      <c r="AH55" s="44">
        <f>'Ket qua kinh doanh'!AH12</f>
        <v>311284353</v>
      </c>
      <c r="AI55" s="44">
        <f>'Ket qua kinh doanh'!AI12</f>
        <v>709793834</v>
      </c>
      <c r="AJ55" s="44">
        <f>'Ket qua kinh doanh'!AJ12</f>
        <v>328510530</v>
      </c>
      <c r="AK55" s="44">
        <f>'Ket qua kinh doanh'!AK12</f>
        <v>475535318</v>
      </c>
      <c r="AL55" s="44">
        <f>'Ket qua kinh doanh'!AL12</f>
        <v>86442609</v>
      </c>
      <c r="AM55" s="44">
        <f>'Ket qua kinh doanh'!AM12</f>
        <v>543801174</v>
      </c>
      <c r="AN55" s="44">
        <f>'Ket qua kinh doanh'!AN12</f>
        <v>801399604</v>
      </c>
      <c r="AO55" s="44">
        <f>'Ket qua kinh doanh'!AO12</f>
        <v>695500231</v>
      </c>
      <c r="AP55" s="44">
        <f>'Ket qua kinh doanh'!AP12</f>
        <v>663502461</v>
      </c>
      <c r="AQ55" s="44">
        <f>'Ket qua kinh doanh'!AQ12</f>
        <v>1555671370</v>
      </c>
      <c r="AR55" s="44">
        <f>'Ket qua kinh doanh'!AR12</f>
        <v>936492932</v>
      </c>
      <c r="AS55" s="44">
        <f>'Ket qua kinh doanh'!AS12</f>
        <v>1103852896</v>
      </c>
      <c r="AT55" s="44">
        <f>'Ket qua kinh doanh'!AT12</f>
        <v>1608708972</v>
      </c>
      <c r="AU55" s="44">
        <f>'Ket qua kinh doanh'!AU12</f>
        <v>1489581015</v>
      </c>
      <c r="AV55" s="44">
        <f>'Ket qua kinh doanh'!AV12</f>
        <v>1372261307</v>
      </c>
      <c r="AW55" s="44">
        <f>'Ket qua kinh doanh'!AW12</f>
        <v>636041020</v>
      </c>
      <c r="AX55" s="44">
        <f>'Ket qua kinh doanh'!AX12</f>
        <v>1257673070</v>
      </c>
      <c r="AY55" s="44">
        <f>'Ket qua kinh doanh'!AY12</f>
        <v>993026233</v>
      </c>
      <c r="AZ55" s="44">
        <f>'Ket qua kinh doanh'!AZ12</f>
        <v>1529745602</v>
      </c>
      <c r="BA55" s="44">
        <f>'Ket qua kinh doanh'!BA12</f>
        <v>1349010483</v>
      </c>
      <c r="BB55" s="44">
        <f>'Ket qua kinh doanh'!BB12</f>
        <v>902730488</v>
      </c>
      <c r="BC55" s="44">
        <f>'Ket qua kinh doanh'!BC12</f>
        <v>1450570894</v>
      </c>
      <c r="BD55" s="44">
        <f>'Ket qua kinh doanh'!BD12</f>
        <v>858169737</v>
      </c>
      <c r="BE55" s="44">
        <f>'Ket qua kinh doanh'!BE12</f>
        <v>1483876982</v>
      </c>
      <c r="BF55" s="44">
        <f>'Ket qua kinh doanh'!BF12</f>
        <v>1315247967</v>
      </c>
      <c r="BG55" s="44">
        <f>'Ket qua kinh doanh'!BG12</f>
        <v>1366041150</v>
      </c>
      <c r="BH55" s="44">
        <f>'Ket qua kinh doanh'!BH12</f>
        <v>1603769193</v>
      </c>
      <c r="BI55" s="44">
        <f>'Ket qua kinh doanh'!BI12</f>
        <v>2900732378</v>
      </c>
      <c r="BJ55" s="44">
        <f>'Ket qua kinh doanh'!BJ12</f>
        <v>1301741764</v>
      </c>
      <c r="BK55" s="44">
        <f>'Ket qua kinh doanh'!BK12</f>
        <v>2479436989</v>
      </c>
      <c r="BL55" s="44">
        <f>'Ket qua kinh doanh'!BL12</f>
        <v>1532817392</v>
      </c>
      <c r="BM55" s="44">
        <f>'Ket qua kinh doanh'!BM12</f>
        <v>1569283837</v>
      </c>
      <c r="BN55" s="44">
        <f>'Ket qua kinh doanh'!BN12</f>
        <v>1510605035</v>
      </c>
      <c r="BO55" s="44">
        <f>'Ket qua kinh doanh'!BO12</f>
        <v>1998884061</v>
      </c>
      <c r="BP55" s="44">
        <f>'Ket qua kinh doanh'!BP12</f>
        <v>1208736058</v>
      </c>
      <c r="BQ55" s="44">
        <f>'Ket qua kinh doanh'!BQ12</f>
        <v>1214330425</v>
      </c>
      <c r="BR55" s="44">
        <f>'Ket qua kinh doanh'!BR12</f>
        <v>0</v>
      </c>
      <c r="BS55" s="44">
        <f>'Ket qua kinh doanh'!BS12</f>
        <v>0</v>
      </c>
      <c r="BT55" s="44">
        <f>'Ket qua kinh doanh'!BT12</f>
        <v>0</v>
      </c>
      <c r="BU55" s="44">
        <f>'Ket qua kinh doanh'!BU12</f>
        <v>0</v>
      </c>
      <c r="BV55" s="44">
        <f>'Ket qua kinh doanh'!BV12</f>
        <v>0</v>
      </c>
      <c r="BW55" s="44">
        <f>'Ket qua kinh doanh'!BW12</f>
        <v>0</v>
      </c>
    </row>
    <row r="56" spans="1:75">
      <c r="A56" s="159">
        <v>53</v>
      </c>
      <c r="B56" s="160" t="s">
        <v>455</v>
      </c>
      <c r="C56" s="170">
        <v>5</v>
      </c>
      <c r="D56" s="47">
        <f>'Ket qua kinh doanh'!D13</f>
        <v>167603935</v>
      </c>
      <c r="E56" s="47">
        <f>'Ket qua kinh doanh'!E13</f>
        <v>221659846</v>
      </c>
      <c r="F56" s="47">
        <f>'Ket qua kinh doanh'!F13</f>
        <v>208008837</v>
      </c>
      <c r="G56" s="47">
        <f>'Ket qua kinh doanh'!G13</f>
        <v>262170575</v>
      </c>
      <c r="H56" s="47">
        <f>'Ket qua kinh doanh'!H13</f>
        <v>294134531</v>
      </c>
      <c r="I56" s="47">
        <f>'Ket qua kinh doanh'!I13</f>
        <v>375347816</v>
      </c>
      <c r="J56" s="47">
        <f>'Ket qua kinh doanh'!J13</f>
        <v>340813568</v>
      </c>
      <c r="K56" s="47">
        <f>'Ket qua kinh doanh'!K13</f>
        <v>399256526</v>
      </c>
      <c r="L56" s="47">
        <f>'Ket qua kinh doanh'!L13</f>
        <v>400979485</v>
      </c>
      <c r="M56" s="47">
        <f>'Ket qua kinh doanh'!M13</f>
        <v>368636370</v>
      </c>
      <c r="N56" s="47">
        <f>'Ket qua kinh doanh'!N13</f>
        <v>424483338</v>
      </c>
      <c r="O56" s="47">
        <f>'Ket qua kinh doanh'!O13</f>
        <v>466515776</v>
      </c>
      <c r="P56" s="47">
        <f>'Ket qua kinh doanh'!P13</f>
        <v>517655739</v>
      </c>
      <c r="Q56" s="47">
        <f>'Ket qua kinh doanh'!Q13</f>
        <v>651086182</v>
      </c>
      <c r="R56" s="47">
        <f>'Ket qua kinh doanh'!R13</f>
        <v>617884939</v>
      </c>
      <c r="S56" s="47">
        <f>'Ket qua kinh doanh'!S13</f>
        <v>507919165</v>
      </c>
      <c r="T56" s="47">
        <f>'Ket qua kinh doanh'!T13</f>
        <v>603465663</v>
      </c>
      <c r="U56" s="47">
        <f>'Ket qua kinh doanh'!U13</f>
        <v>147007916</v>
      </c>
      <c r="V56" s="47">
        <f>'Ket qua kinh doanh'!V13</f>
        <v>631302971</v>
      </c>
      <c r="W56" s="47">
        <f>'Ket qua kinh doanh'!W13</f>
        <v>699695123</v>
      </c>
      <c r="X56" s="47">
        <f>'Ket qua kinh doanh'!X13</f>
        <v>854484433</v>
      </c>
      <c r="Y56" s="47">
        <f>'Ket qua kinh doanh'!Y13</f>
        <v>862022364</v>
      </c>
      <c r="Z56" s="47">
        <f>'Ket qua kinh doanh'!Z13</f>
        <v>1093552795</v>
      </c>
      <c r="AA56" s="47">
        <f>'Ket qua kinh doanh'!AA13</f>
        <v>539758786</v>
      </c>
      <c r="AB56" s="47">
        <f>'Ket qua kinh doanh'!AB13</f>
        <v>44321388</v>
      </c>
      <c r="AC56" s="47">
        <f>'Ket qua kinh doanh'!AC13</f>
        <v>0</v>
      </c>
      <c r="AD56" s="47">
        <f>'Ket qua kinh doanh'!AD13</f>
        <v>48722388</v>
      </c>
      <c r="AE56" s="47">
        <f>'Ket qua kinh doanh'!AE13</f>
        <v>76187496</v>
      </c>
      <c r="AF56" s="47">
        <f>'Ket qua kinh doanh'!AF13</f>
        <v>68801482</v>
      </c>
      <c r="AG56" s="47">
        <f>'Ket qua kinh doanh'!AG13</f>
        <v>28249626</v>
      </c>
      <c r="AH56" s="47">
        <f>'Ket qua kinh doanh'!AH13</f>
        <v>91396439</v>
      </c>
      <c r="AI56" s="47">
        <f>'Ket qua kinh doanh'!AI13</f>
        <v>93845376</v>
      </c>
      <c r="AJ56" s="47">
        <f>'Ket qua kinh doanh'!AJ13</f>
        <v>109400024</v>
      </c>
      <c r="AK56" s="47">
        <f>'Ket qua kinh doanh'!AK13</f>
        <v>129996535</v>
      </c>
      <c r="AL56" s="47">
        <f>'Ket qua kinh doanh'!AL13</f>
        <v>157601782</v>
      </c>
      <c r="AM56" s="47">
        <f>'Ket qua kinh doanh'!AM13</f>
        <v>316883990</v>
      </c>
      <c r="AN56" s="47">
        <f>'Ket qua kinh doanh'!AN13</f>
        <v>460461775</v>
      </c>
      <c r="AO56" s="47">
        <f>'Ket qua kinh doanh'!AO13</f>
        <v>563909516</v>
      </c>
      <c r="AP56" s="47">
        <f>'Ket qua kinh doanh'!AP13</f>
        <v>587315920</v>
      </c>
      <c r="AQ56" s="47">
        <f>'Ket qua kinh doanh'!AQ13</f>
        <v>905708142</v>
      </c>
      <c r="AR56" s="47">
        <f>'Ket qua kinh doanh'!AR13</f>
        <v>974310029</v>
      </c>
      <c r="AS56" s="47">
        <f>'Ket qua kinh doanh'!AS13</f>
        <v>1115056080</v>
      </c>
      <c r="AT56" s="47">
        <f>'Ket qua kinh doanh'!AT13</f>
        <v>1160823006</v>
      </c>
      <c r="AU56" s="47">
        <f>'Ket qua kinh doanh'!AU13</f>
        <v>939585045</v>
      </c>
      <c r="AV56" s="47">
        <f>'Ket qua kinh doanh'!AV13</f>
        <v>859444105</v>
      </c>
      <c r="AW56" s="47">
        <f>'Ket qua kinh doanh'!AW13</f>
        <v>840165515</v>
      </c>
      <c r="AX56" s="47">
        <f>'Ket qua kinh doanh'!AX13</f>
        <v>889159081</v>
      </c>
      <c r="AY56" s="47">
        <f>'Ket qua kinh doanh'!AY13</f>
        <v>1032562923</v>
      </c>
      <c r="AZ56" s="47">
        <f>'Ket qua kinh doanh'!AZ13</f>
        <v>1114824276</v>
      </c>
      <c r="BA56" s="47">
        <f>'Ket qua kinh doanh'!BA13</f>
        <v>928379281</v>
      </c>
      <c r="BB56" s="47">
        <f>'Ket qua kinh doanh'!BB13</f>
        <v>673966789</v>
      </c>
      <c r="BC56" s="47">
        <f>'Ket qua kinh doanh'!BC13</f>
        <v>888393452</v>
      </c>
      <c r="BD56" s="47">
        <f>'Ket qua kinh doanh'!BD13</f>
        <v>1186588729</v>
      </c>
      <c r="BE56" s="47">
        <f>'Ket qua kinh doanh'!BE13</f>
        <v>1448899822</v>
      </c>
      <c r="BF56" s="47">
        <f>'Ket qua kinh doanh'!BF13</f>
        <v>1242023326</v>
      </c>
      <c r="BG56" s="47">
        <f>'Ket qua kinh doanh'!BG13</f>
        <v>1303560910</v>
      </c>
      <c r="BH56" s="47">
        <f>'Ket qua kinh doanh'!BH13</f>
        <v>1595764355</v>
      </c>
      <c r="BI56" s="47">
        <f>'Ket qua kinh doanh'!BI13</f>
        <v>1368802426</v>
      </c>
      <c r="BJ56" s="47">
        <f>'Ket qua kinh doanh'!BJ13</f>
        <v>1256132292</v>
      </c>
      <c r="BK56" s="47">
        <f>'Ket qua kinh doanh'!BK13</f>
        <v>1256103396</v>
      </c>
      <c r="BL56" s="47">
        <f>'Ket qua kinh doanh'!BL13</f>
        <v>1240115065</v>
      </c>
      <c r="BM56" s="47">
        <f>'Ket qua kinh doanh'!BM13</f>
        <v>1156279418</v>
      </c>
      <c r="BN56" s="47">
        <f>'Ket qua kinh doanh'!BN13</f>
        <v>959718564</v>
      </c>
      <c r="BO56" s="47">
        <f>'Ket qua kinh doanh'!BO13</f>
        <v>1062084475</v>
      </c>
      <c r="BP56" s="47">
        <f>'Ket qua kinh doanh'!BP13</f>
        <v>838836791</v>
      </c>
      <c r="BQ56" s="47">
        <f>'Ket qua kinh doanh'!BQ13</f>
        <v>856841656</v>
      </c>
      <c r="BR56" s="47"/>
      <c r="BS56" s="47"/>
      <c r="BT56" s="47"/>
      <c r="BU56" s="47"/>
      <c r="BV56" s="47"/>
      <c r="BW56" s="47"/>
    </row>
    <row r="57" spans="1:75">
      <c r="A57" s="178">
        <v>54</v>
      </c>
      <c r="B57" s="179" t="s">
        <v>456</v>
      </c>
      <c r="C57" s="168">
        <v>5</v>
      </c>
      <c r="D57" s="45">
        <f t="shared" ref="D57:BO57" si="31">IFERROR(D56/D12,"")</f>
        <v>7.6428853111662032E-2</v>
      </c>
      <c r="E57" s="45">
        <f t="shared" si="31"/>
        <v>0.12370639829179461</v>
      </c>
      <c r="F57" s="45">
        <f t="shared" si="31"/>
        <v>2.3958397848369273E-2</v>
      </c>
      <c r="G57" s="45">
        <f t="shared" si="31"/>
        <v>4.1851317220108694E-2</v>
      </c>
      <c r="H57" s="45">
        <f t="shared" si="31"/>
        <v>0.21360944995217854</v>
      </c>
      <c r="I57" s="45">
        <f t="shared" si="31"/>
        <v>0.43234362408141852</v>
      </c>
      <c r="J57" s="45">
        <f t="shared" si="31"/>
        <v>0.11045354652642964</v>
      </c>
      <c r="K57" s="45">
        <f t="shared" si="31"/>
        <v>0.19609170979549626</v>
      </c>
      <c r="L57" s="45">
        <f t="shared" si="31"/>
        <v>0.10004890937812076</v>
      </c>
      <c r="M57" s="45">
        <f t="shared" si="31"/>
        <v>4.4030432867849294E-2</v>
      </c>
      <c r="N57" s="45">
        <f t="shared" si="31"/>
        <v>4.9272394715802872E-2</v>
      </c>
      <c r="O57" s="45">
        <f t="shared" si="31"/>
        <v>3.5340039356051976E-2</v>
      </c>
      <c r="P57" s="45">
        <f t="shared" si="31"/>
        <v>6.903884218315437E-2</v>
      </c>
      <c r="Q57" s="45">
        <f t="shared" si="31"/>
        <v>0.1065376724808156</v>
      </c>
      <c r="R57" s="45">
        <f t="shared" si="31"/>
        <v>2.7294599384889012E-2</v>
      </c>
      <c r="S57" s="45">
        <f t="shared" si="31"/>
        <v>1.8520882975556829E-2</v>
      </c>
      <c r="T57" s="45">
        <f t="shared" si="31"/>
        <v>3.2885733263812188E-2</v>
      </c>
      <c r="U57" s="45">
        <f t="shared" si="31"/>
        <v>6.7120715077199971E-3</v>
      </c>
      <c r="V57" s="45">
        <f t="shared" si="31"/>
        <v>3.9756918056725085E-2</v>
      </c>
      <c r="W57" s="45">
        <f t="shared" si="31"/>
        <v>1.8240531319534733E-2</v>
      </c>
      <c r="X57" s="45">
        <f t="shared" si="31"/>
        <v>2.321357051206694E-2</v>
      </c>
      <c r="Y57" s="45">
        <f t="shared" si="31"/>
        <v>2.0732731985909764E-2</v>
      </c>
      <c r="Z57" s="45">
        <f t="shared" si="31"/>
        <v>3.151610513786611E-2</v>
      </c>
      <c r="AA57" s="45">
        <f t="shared" si="31"/>
        <v>9.1976625544239656E-3</v>
      </c>
      <c r="AB57" s="45">
        <f t="shared" si="31"/>
        <v>1.7738875506767078E-3</v>
      </c>
      <c r="AC57" s="45">
        <f t="shared" si="31"/>
        <v>0</v>
      </c>
      <c r="AD57" s="45">
        <f t="shared" si="31"/>
        <v>8.2283910409705369E-4</v>
      </c>
      <c r="AE57" s="45">
        <f t="shared" si="31"/>
        <v>1.4034195438779465E-3</v>
      </c>
      <c r="AF57" s="45">
        <f t="shared" si="31"/>
        <v>1.1938072619517009E-3</v>
      </c>
      <c r="AG57" s="45">
        <f t="shared" si="31"/>
        <v>5.5496215415974377E-4</v>
      </c>
      <c r="AH57" s="45">
        <f t="shared" si="31"/>
        <v>1.7075043961434927E-3</v>
      </c>
      <c r="AI57" s="45">
        <f t="shared" si="31"/>
        <v>1.1988045805301018E-3</v>
      </c>
      <c r="AJ57" s="45">
        <f t="shared" si="31"/>
        <v>1.685250575115394E-3</v>
      </c>
      <c r="AK57" s="45">
        <f t="shared" si="31"/>
        <v>1.5353039727148451E-3</v>
      </c>
      <c r="AL57" s="45">
        <f t="shared" si="31"/>
        <v>2.5054715699288788E-3</v>
      </c>
      <c r="AM57" s="45">
        <f t="shared" si="31"/>
        <v>4.4533295689025108E-3</v>
      </c>
      <c r="AN57" s="45">
        <f t="shared" si="31"/>
        <v>4.7983953445342254E-3</v>
      </c>
      <c r="AO57" s="45">
        <f t="shared" si="31"/>
        <v>8.1797444953303784E-3</v>
      </c>
      <c r="AP57" s="45">
        <f t="shared" si="31"/>
        <v>6.3762789738487681E-3</v>
      </c>
      <c r="AQ57" s="45">
        <f t="shared" si="31"/>
        <v>9.2903535679091549E-3</v>
      </c>
      <c r="AR57" s="45">
        <f t="shared" si="31"/>
        <v>9.5179997534490073E-3</v>
      </c>
      <c r="AS57" s="45">
        <f t="shared" si="31"/>
        <v>1.6375446732984765E-2</v>
      </c>
      <c r="AT57" s="45">
        <f t="shared" si="31"/>
        <v>2.0563275411403303E-2</v>
      </c>
      <c r="AU57" s="45">
        <f t="shared" si="31"/>
        <v>6.1000977040777012E-3</v>
      </c>
      <c r="AV57" s="45">
        <f t="shared" si="31"/>
        <v>5.4801037490130374E-3</v>
      </c>
      <c r="AW57" s="45">
        <f t="shared" si="31"/>
        <v>7.1924220847690854E-3</v>
      </c>
      <c r="AX57" s="45">
        <f t="shared" si="31"/>
        <v>1.1680075765550343E-2</v>
      </c>
      <c r="AY57" s="45">
        <f t="shared" si="31"/>
        <v>9.721891167147079E-3</v>
      </c>
      <c r="AZ57" s="45">
        <f t="shared" si="31"/>
        <v>9.7396455143667782E-3</v>
      </c>
      <c r="BA57" s="45">
        <f t="shared" si="31"/>
        <v>4.9382018212735523E-3</v>
      </c>
      <c r="BB57" s="45">
        <f t="shared" si="31"/>
        <v>4.4855363736614855E-3</v>
      </c>
      <c r="BC57" s="45">
        <f t="shared" si="31"/>
        <v>7.0828026150675412E-3</v>
      </c>
      <c r="BD57" s="45">
        <f t="shared" si="31"/>
        <v>7.8030579568056499E-3</v>
      </c>
      <c r="BE57" s="45">
        <f t="shared" si="31"/>
        <v>1.2161865122749433E-2</v>
      </c>
      <c r="BF57" s="45">
        <f t="shared" si="31"/>
        <v>9.0007294941059218E-3</v>
      </c>
      <c r="BG57" s="45">
        <f t="shared" si="31"/>
        <v>7.7389003546269311E-3</v>
      </c>
      <c r="BH57" s="45">
        <f t="shared" si="31"/>
        <v>1.8837872261402773E-2</v>
      </c>
      <c r="BI57" s="45">
        <f t="shared" si="31"/>
        <v>1.2566056762070751E-2</v>
      </c>
      <c r="BJ57" s="45">
        <f t="shared" si="31"/>
        <v>1.4218024027256169E-2</v>
      </c>
      <c r="BK57" s="45">
        <f t="shared" si="31"/>
        <v>1.2591490057078604E-2</v>
      </c>
      <c r="BL57" s="45">
        <f t="shared" si="31"/>
        <v>9.8344531033750307E-3</v>
      </c>
      <c r="BM57" s="45">
        <f t="shared" si="31"/>
        <v>1.1973880814317123E-2</v>
      </c>
      <c r="BN57" s="45">
        <f t="shared" si="31"/>
        <v>5.5377167944799209E-3</v>
      </c>
      <c r="BO57" s="45">
        <f t="shared" si="31"/>
        <v>6.6773888880289596E-3</v>
      </c>
      <c r="BP57" s="45">
        <f t="shared" ref="BP57:BV57" si="32">IFERROR(BP56/BP12,"")</f>
        <v>5.2504313737203991E-3</v>
      </c>
      <c r="BQ57" s="45">
        <f t="shared" si="32"/>
        <v>6.9670794367440681E-3</v>
      </c>
      <c r="BR57" s="45" t="str">
        <f t="shared" si="32"/>
        <v/>
      </c>
      <c r="BS57" s="45" t="str">
        <f t="shared" si="32"/>
        <v/>
      </c>
      <c r="BT57" s="45" t="str">
        <f t="shared" si="32"/>
        <v/>
      </c>
      <c r="BU57" s="45" t="str">
        <f t="shared" si="32"/>
        <v/>
      </c>
      <c r="BV57" s="45" t="str">
        <f t="shared" si="32"/>
        <v/>
      </c>
      <c r="BW57" s="45" t="str">
        <f t="shared" ref="BW57" si="33">IFERROR(BW56/BW12,"")</f>
        <v/>
      </c>
    </row>
    <row r="60" spans="1:75">
      <c r="BD60" s="605"/>
    </row>
    <row r="62" spans="1:75">
      <c r="BD62" s="605"/>
    </row>
  </sheetData>
  <protectedRanges>
    <protectedRange sqref="D4:BW57" name="Element"/>
  </protectedRange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90F1-B473-4AB0-843A-4DB2A1AF5F0A}">
  <sheetPr>
    <tabColor theme="9" tint="0.59999389629810485"/>
  </sheetPr>
  <dimension ref="A1:BW74"/>
  <sheetViews>
    <sheetView showGridLines="0" zoomScale="80" zoomScaleNormal="80" workbookViewId="0">
      <pane xSplit="3" ySplit="3" topLeftCell="BH4" activePane="bottomRight" state="frozen"/>
      <selection pane="topRight" activeCell="BL10" sqref="BL10"/>
      <selection pane="bottomLeft" activeCell="BL10" sqref="BL10"/>
      <selection pane="bottomRight" activeCell="BQ15" sqref="BQ15"/>
    </sheetView>
  </sheetViews>
  <sheetFormatPr defaultRowHeight="14.4"/>
  <cols>
    <col min="1" max="1" width="6.6640625" hidden="1" customWidth="1"/>
    <col min="2" max="2" width="46.44140625" customWidth="1"/>
    <col min="3" max="3" width="9.33203125" hidden="1" customWidth="1"/>
    <col min="4" max="52" width="16.5546875" bestFit="1" customWidth="1"/>
    <col min="53" max="53" width="15.6640625" bestFit="1" customWidth="1"/>
    <col min="54" max="56" width="16.5546875" bestFit="1" customWidth="1"/>
    <col min="57" max="58" width="17.33203125" bestFit="1" customWidth="1"/>
    <col min="59" max="62" width="16.5546875" bestFit="1" customWidth="1"/>
    <col min="63" max="63" width="16.5546875" customWidth="1"/>
    <col min="64" max="64" width="16.5546875" bestFit="1" customWidth="1"/>
    <col min="65" max="75" width="17.33203125" customWidth="1"/>
  </cols>
  <sheetData>
    <row r="1" spans="1:75" ht="17.399999999999999">
      <c r="B1" s="56" t="s">
        <v>236</v>
      </c>
    </row>
    <row r="2" spans="1:75">
      <c r="B2" s="62" t="s">
        <v>237</v>
      </c>
    </row>
    <row r="3" spans="1:75" ht="27.6">
      <c r="A3" s="180" t="s">
        <v>457</v>
      </c>
      <c r="B3" s="181" t="s">
        <v>458</v>
      </c>
      <c r="C3" s="182" t="s">
        <v>240</v>
      </c>
      <c r="D3" s="65" t="s">
        <v>241</v>
      </c>
      <c r="E3" s="65" t="s">
        <v>242</v>
      </c>
      <c r="F3" s="65" t="s">
        <v>243</v>
      </c>
      <c r="G3" s="65" t="s">
        <v>244</v>
      </c>
      <c r="H3" s="65" t="s">
        <v>245</v>
      </c>
      <c r="I3" s="65" t="s">
        <v>246</v>
      </c>
      <c r="J3" s="65" t="s">
        <v>247</v>
      </c>
      <c r="K3" s="65" t="s">
        <v>248</v>
      </c>
      <c r="L3" s="65" t="s">
        <v>249</v>
      </c>
      <c r="M3" s="65" t="s">
        <v>250</v>
      </c>
      <c r="N3" s="65" t="s">
        <v>251</v>
      </c>
      <c r="O3" s="65" t="s">
        <v>252</v>
      </c>
      <c r="P3" s="65" t="s">
        <v>253</v>
      </c>
      <c r="Q3" s="65" t="s">
        <v>254</v>
      </c>
      <c r="R3" s="65" t="s">
        <v>255</v>
      </c>
      <c r="S3" s="65" t="s">
        <v>256</v>
      </c>
      <c r="T3" s="65" t="s">
        <v>257</v>
      </c>
      <c r="U3" s="65" t="s">
        <v>258</v>
      </c>
      <c r="V3" s="65" t="s">
        <v>259</v>
      </c>
      <c r="W3" s="65" t="s">
        <v>260</v>
      </c>
      <c r="X3" s="65" t="s">
        <v>261</v>
      </c>
      <c r="Y3" s="65" t="s">
        <v>262</v>
      </c>
      <c r="Z3" s="65" t="s">
        <v>263</v>
      </c>
      <c r="AA3" s="65" t="s">
        <v>264</v>
      </c>
      <c r="AB3" s="65" t="s">
        <v>265</v>
      </c>
      <c r="AC3" s="65" t="s">
        <v>266</v>
      </c>
      <c r="AD3" s="65" t="s">
        <v>267</v>
      </c>
      <c r="AE3" s="65" t="s">
        <v>268</v>
      </c>
      <c r="AF3" s="65" t="s">
        <v>269</v>
      </c>
      <c r="AG3" s="65" t="s">
        <v>270</v>
      </c>
      <c r="AH3" s="65" t="s">
        <v>271</v>
      </c>
      <c r="AI3" s="65" t="s">
        <v>272</v>
      </c>
      <c r="AJ3" s="65" t="s">
        <v>273</v>
      </c>
      <c r="AK3" s="65" t="s">
        <v>274</v>
      </c>
      <c r="AL3" s="65" t="s">
        <v>275</v>
      </c>
      <c r="AM3" s="65" t="s">
        <v>276</v>
      </c>
      <c r="AN3" s="65" t="s">
        <v>277</v>
      </c>
      <c r="AO3" s="65" t="s">
        <v>278</v>
      </c>
      <c r="AP3" s="65" t="s">
        <v>279</v>
      </c>
      <c r="AQ3" s="65" t="s">
        <v>280</v>
      </c>
      <c r="AR3" s="65" t="s">
        <v>281</v>
      </c>
      <c r="AS3" s="65" t="s">
        <v>282</v>
      </c>
      <c r="AT3" s="65" t="s">
        <v>283</v>
      </c>
      <c r="AU3" s="65" t="s">
        <v>284</v>
      </c>
      <c r="AV3" s="65" t="s">
        <v>285</v>
      </c>
      <c r="AW3" s="65" t="s">
        <v>286</v>
      </c>
      <c r="AX3" s="65" t="s">
        <v>287</v>
      </c>
      <c r="AY3" s="65" t="s">
        <v>288</v>
      </c>
      <c r="AZ3" s="65" t="s">
        <v>289</v>
      </c>
      <c r="BA3" s="65" t="s">
        <v>290</v>
      </c>
      <c r="BB3" s="65" t="s">
        <v>291</v>
      </c>
      <c r="BC3" s="65" t="s">
        <v>292</v>
      </c>
      <c r="BD3" s="65" t="s">
        <v>293</v>
      </c>
      <c r="BE3" s="65" t="s">
        <v>294</v>
      </c>
      <c r="BF3" s="65" t="s">
        <v>295</v>
      </c>
      <c r="BG3" s="65" t="s">
        <v>296</v>
      </c>
      <c r="BH3" s="65" t="s">
        <v>297</v>
      </c>
      <c r="BI3" s="65" t="s">
        <v>298</v>
      </c>
      <c r="BJ3" s="65" t="s">
        <v>299</v>
      </c>
      <c r="BK3" s="65" t="s">
        <v>300</v>
      </c>
      <c r="BL3" s="65" t="s">
        <v>301</v>
      </c>
      <c r="BM3" s="65" t="s">
        <v>302</v>
      </c>
      <c r="BN3" s="65" t="s">
        <v>303</v>
      </c>
      <c r="BO3" s="65" t="s">
        <v>304</v>
      </c>
      <c r="BP3" s="65" t="s">
        <v>305</v>
      </c>
      <c r="BQ3" s="65" t="s">
        <v>306</v>
      </c>
      <c r="BR3" s="65" t="s">
        <v>307</v>
      </c>
      <c r="BS3" s="65" t="s">
        <v>308</v>
      </c>
      <c r="BT3" s="65" t="s">
        <v>309</v>
      </c>
      <c r="BU3" s="65" t="s">
        <v>310</v>
      </c>
      <c r="BV3" s="65" t="s">
        <v>311</v>
      </c>
      <c r="BW3" s="65" t="s">
        <v>312</v>
      </c>
    </row>
    <row r="4" spans="1:75">
      <c r="A4" s="183">
        <v>1</v>
      </c>
      <c r="B4" s="184" t="s">
        <v>459</v>
      </c>
      <c r="C4" s="185">
        <v>5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>
        <f t="shared" ref="AZ4:BK4" si="0">SUM(AZ5:AZ12)</f>
        <v>381000000000</v>
      </c>
      <c r="BA4" s="49">
        <f t="shared" si="0"/>
        <v>481000000000</v>
      </c>
      <c r="BB4" s="49">
        <f t="shared" si="0"/>
        <v>580900000000</v>
      </c>
      <c r="BC4" s="49">
        <f t="shared" si="0"/>
        <v>580900000000</v>
      </c>
      <c r="BD4" s="49">
        <f t="shared" si="0"/>
        <v>580900000000</v>
      </c>
      <c r="BE4" s="49">
        <f t="shared" si="0"/>
        <v>580900000000</v>
      </c>
      <c r="BF4" s="49">
        <f t="shared" si="0"/>
        <v>580900000000</v>
      </c>
      <c r="BG4" s="49">
        <f t="shared" si="0"/>
        <v>580900000000</v>
      </c>
      <c r="BH4" s="49">
        <f t="shared" si="0"/>
        <v>580900000000</v>
      </c>
      <c r="BI4" s="49">
        <f t="shared" si="0"/>
        <v>580900000000</v>
      </c>
      <c r="BJ4" s="49">
        <f t="shared" si="0"/>
        <v>580900000000</v>
      </c>
      <c r="BK4" s="49">
        <f t="shared" si="0"/>
        <v>580900000000</v>
      </c>
      <c r="BL4" s="49">
        <f t="shared" ref="BL4:BQ4" si="1">SUM(BL5:BL12)</f>
        <v>580900000000</v>
      </c>
      <c r="BM4" s="49">
        <f t="shared" si="1"/>
        <v>580900000000</v>
      </c>
      <c r="BN4" s="49">
        <f t="shared" si="1"/>
        <v>580900000000</v>
      </c>
      <c r="BO4" s="49">
        <f t="shared" si="1"/>
        <v>580900000000</v>
      </c>
      <c r="BP4" s="49">
        <f t="shared" si="1"/>
        <v>580900000000</v>
      </c>
      <c r="BQ4" s="49">
        <f t="shared" si="1"/>
        <v>580900000000</v>
      </c>
      <c r="BR4" s="49"/>
      <c r="BS4" s="49"/>
      <c r="BT4" s="49"/>
      <c r="BU4" s="49"/>
      <c r="BV4" s="49"/>
      <c r="BW4" s="49"/>
    </row>
    <row r="5" spans="1:75">
      <c r="A5" s="186">
        <v>2</v>
      </c>
      <c r="B5" s="187" t="s">
        <v>460</v>
      </c>
      <c r="C5" s="186">
        <v>5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>
        <v>150000000000</v>
      </c>
      <c r="BA5" s="50">
        <v>150000000000</v>
      </c>
      <c r="BB5" s="50">
        <v>150000000000</v>
      </c>
      <c r="BC5" s="50">
        <v>150000000000</v>
      </c>
      <c r="BD5" s="50">
        <v>150000000000</v>
      </c>
      <c r="BE5" s="50">
        <v>150000000000</v>
      </c>
      <c r="BF5" s="50">
        <v>150000000000</v>
      </c>
      <c r="BG5" s="50">
        <v>150000000000</v>
      </c>
      <c r="BH5" s="50">
        <v>150000000000</v>
      </c>
      <c r="BI5" s="50">
        <v>150000000000</v>
      </c>
      <c r="BJ5" s="50">
        <v>150000000000</v>
      </c>
      <c r="BK5" s="50">
        <v>150000000000</v>
      </c>
      <c r="BL5" s="50">
        <v>150000000000</v>
      </c>
      <c r="BM5" s="50">
        <v>150000000000</v>
      </c>
      <c r="BN5" s="50">
        <v>150000000000</v>
      </c>
      <c r="BO5" s="50">
        <v>150000000000</v>
      </c>
      <c r="BP5" s="50">
        <v>150000000000</v>
      </c>
      <c r="BQ5" s="50">
        <v>150000000000</v>
      </c>
      <c r="BR5" s="50"/>
      <c r="BS5" s="50"/>
      <c r="BT5" s="50"/>
      <c r="BU5" s="50"/>
      <c r="BV5" s="50"/>
      <c r="BW5" s="50"/>
    </row>
    <row r="6" spans="1:75">
      <c r="A6" s="186">
        <v>3</v>
      </c>
      <c r="B6" s="187" t="s">
        <v>461</v>
      </c>
      <c r="C6" s="186">
        <v>5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>
        <v>131000000000</v>
      </c>
      <c r="BA6" s="50">
        <v>131000000000</v>
      </c>
      <c r="BB6" s="50">
        <v>131000000000</v>
      </c>
      <c r="BC6" s="50">
        <v>131000000000</v>
      </c>
      <c r="BD6" s="50">
        <v>131000000000</v>
      </c>
      <c r="BE6" s="50">
        <v>131000000000</v>
      </c>
      <c r="BF6" s="50">
        <v>131000000000</v>
      </c>
      <c r="BG6" s="50">
        <v>131000000000</v>
      </c>
      <c r="BH6" s="50">
        <v>131000000000</v>
      </c>
      <c r="BI6" s="50">
        <v>131000000000</v>
      </c>
      <c r="BJ6" s="50">
        <v>131000000000</v>
      </c>
      <c r="BK6" s="50">
        <v>131000000000</v>
      </c>
      <c r="BL6" s="50">
        <v>131000000000</v>
      </c>
      <c r="BM6" s="50">
        <v>131000000000</v>
      </c>
      <c r="BN6" s="50">
        <v>131000000000</v>
      </c>
      <c r="BO6" s="50">
        <v>131000000000</v>
      </c>
      <c r="BP6" s="50">
        <v>131000000000</v>
      </c>
      <c r="BQ6" s="50">
        <v>131000000000</v>
      </c>
      <c r="BR6" s="50"/>
      <c r="BS6" s="50"/>
      <c r="BT6" s="50"/>
      <c r="BU6" s="50"/>
      <c r="BV6" s="50"/>
      <c r="BW6" s="50"/>
    </row>
    <row r="7" spans="1:75">
      <c r="A7" s="186">
        <v>4</v>
      </c>
      <c r="B7" s="187" t="s">
        <v>462</v>
      </c>
      <c r="C7" s="186">
        <v>5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>
        <v>100000000000</v>
      </c>
      <c r="BA7" s="50">
        <v>100000000000</v>
      </c>
      <c r="BB7" s="50">
        <v>100000000000</v>
      </c>
      <c r="BC7" s="50">
        <v>100000000000</v>
      </c>
      <c r="BD7" s="50">
        <v>100000000000</v>
      </c>
      <c r="BE7" s="50">
        <v>100000000000</v>
      </c>
      <c r="BF7" s="50">
        <v>100000000000</v>
      </c>
      <c r="BG7" s="50">
        <v>100000000000</v>
      </c>
      <c r="BH7" s="50">
        <v>100000000000</v>
      </c>
      <c r="BI7" s="50">
        <v>100000000000</v>
      </c>
      <c r="BJ7" s="50">
        <v>100000000000</v>
      </c>
      <c r="BK7" s="50">
        <v>100000000000</v>
      </c>
      <c r="BL7" s="50">
        <v>100000000000</v>
      </c>
      <c r="BM7" s="50">
        <v>100000000000</v>
      </c>
      <c r="BN7" s="50">
        <v>100000000000</v>
      </c>
      <c r="BO7" s="50">
        <v>100000000000</v>
      </c>
      <c r="BP7" s="50">
        <v>100000000000</v>
      </c>
      <c r="BQ7" s="50">
        <v>100000000000</v>
      </c>
      <c r="BR7" s="50"/>
      <c r="BS7" s="50"/>
      <c r="BT7" s="50"/>
      <c r="BU7" s="50"/>
      <c r="BV7" s="50"/>
      <c r="BW7" s="50"/>
    </row>
    <row r="8" spans="1:75">
      <c r="A8" s="186">
        <v>5</v>
      </c>
      <c r="B8" s="187" t="s">
        <v>463</v>
      </c>
      <c r="C8" s="186">
        <v>5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>
        <v>99900000000</v>
      </c>
      <c r="BC8" s="50">
        <v>99900000000</v>
      </c>
      <c r="BD8" s="50">
        <v>99900000000</v>
      </c>
      <c r="BE8" s="50">
        <v>99900000000</v>
      </c>
      <c r="BF8" s="50">
        <v>99900000000</v>
      </c>
      <c r="BG8" s="50">
        <v>99900000000</v>
      </c>
      <c r="BH8" s="50">
        <v>99900000000</v>
      </c>
      <c r="BI8" s="50">
        <v>99900000000</v>
      </c>
      <c r="BJ8" s="50">
        <v>99900000000</v>
      </c>
      <c r="BK8" s="50">
        <v>99900000000</v>
      </c>
      <c r="BL8" s="50">
        <v>99900000000</v>
      </c>
      <c r="BM8" s="50">
        <v>99900000000</v>
      </c>
      <c r="BN8" s="50">
        <v>99900000000</v>
      </c>
      <c r="BO8" s="50">
        <v>99900000000</v>
      </c>
      <c r="BP8" s="50">
        <v>99900000000</v>
      </c>
      <c r="BQ8" s="50">
        <v>99900000000</v>
      </c>
      <c r="BR8" s="50"/>
      <c r="BS8" s="50"/>
      <c r="BT8" s="50"/>
      <c r="BU8" s="50"/>
      <c r="BV8" s="50"/>
      <c r="BW8" s="50"/>
    </row>
    <row r="9" spans="1:75">
      <c r="A9" s="186">
        <v>6</v>
      </c>
      <c r="B9" s="187" t="s">
        <v>464</v>
      </c>
      <c r="C9" s="186">
        <v>5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>
        <v>100000000000</v>
      </c>
      <c r="BB9" s="50">
        <v>100000000000</v>
      </c>
      <c r="BC9" s="50">
        <v>100000000000</v>
      </c>
      <c r="BD9" s="50">
        <v>100000000000</v>
      </c>
      <c r="BE9" s="50">
        <v>100000000000</v>
      </c>
      <c r="BF9" s="50">
        <v>100000000000</v>
      </c>
      <c r="BG9" s="50">
        <v>100000000000</v>
      </c>
      <c r="BH9" s="50">
        <v>100000000000</v>
      </c>
      <c r="BI9" s="50">
        <v>100000000000</v>
      </c>
      <c r="BJ9" s="50">
        <v>100000000000</v>
      </c>
      <c r="BK9" s="50">
        <v>100000000000</v>
      </c>
      <c r="BL9" s="50">
        <v>100000000000</v>
      </c>
      <c r="BM9" s="50">
        <v>100000000000</v>
      </c>
      <c r="BN9" s="50">
        <v>100000000000</v>
      </c>
      <c r="BO9" s="50">
        <v>100000000000</v>
      </c>
      <c r="BP9" s="50">
        <v>100000000000</v>
      </c>
      <c r="BQ9" s="50">
        <v>100000000000</v>
      </c>
      <c r="BR9" s="50"/>
      <c r="BS9" s="50"/>
      <c r="BT9" s="50"/>
      <c r="BU9" s="50"/>
      <c r="BV9" s="50"/>
      <c r="BW9" s="50"/>
    </row>
    <row r="10" spans="1:75">
      <c r="A10" s="186">
        <v>7</v>
      </c>
      <c r="B10" s="187" t="s">
        <v>465</v>
      </c>
      <c r="C10" s="186">
        <v>5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</row>
    <row r="11" spans="1:75">
      <c r="A11" s="186">
        <v>8</v>
      </c>
      <c r="B11" s="187" t="s">
        <v>466</v>
      </c>
      <c r="C11" s="186">
        <v>5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</row>
    <row r="12" spans="1:75">
      <c r="A12" s="186">
        <v>9</v>
      </c>
      <c r="B12" s="104"/>
      <c r="C12" s="186">
        <v>5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</row>
    <row r="13" spans="1:75">
      <c r="A13" s="183">
        <v>10</v>
      </c>
      <c r="B13" s="184" t="s">
        <v>467</v>
      </c>
      <c r="C13" s="185">
        <v>5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>
        <f t="shared" ref="AA13" si="2">SUM(AA14:AA21)</f>
        <v>4365166410</v>
      </c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>
        <f t="shared" ref="AM13:BK13" si="3">SUM(AM14:AM21)</f>
        <v>24344150250</v>
      </c>
      <c r="AN13" s="49">
        <f t="shared" si="3"/>
        <v>0</v>
      </c>
      <c r="AO13" s="49">
        <f t="shared" si="3"/>
        <v>0</v>
      </c>
      <c r="AP13" s="49">
        <f t="shared" si="3"/>
        <v>0</v>
      </c>
      <c r="AQ13" s="49">
        <f t="shared" si="3"/>
        <v>0</v>
      </c>
      <c r="AR13" s="49">
        <f t="shared" si="3"/>
        <v>0</v>
      </c>
      <c r="AS13" s="49">
        <f t="shared" si="3"/>
        <v>0</v>
      </c>
      <c r="AT13" s="49">
        <f t="shared" si="3"/>
        <v>0</v>
      </c>
      <c r="AU13" s="49">
        <f t="shared" si="3"/>
        <v>0</v>
      </c>
      <c r="AV13" s="49">
        <f t="shared" si="3"/>
        <v>0</v>
      </c>
      <c r="AW13" s="49">
        <f t="shared" si="3"/>
        <v>0</v>
      </c>
      <c r="AX13" s="49">
        <f t="shared" si="3"/>
        <v>0</v>
      </c>
      <c r="AY13" s="49">
        <f t="shared" si="3"/>
        <v>192629821718</v>
      </c>
      <c r="AZ13" s="49">
        <f t="shared" si="3"/>
        <v>134925554251</v>
      </c>
      <c r="BA13" s="49">
        <f t="shared" si="3"/>
        <v>43611829278</v>
      </c>
      <c r="BB13" s="49">
        <f t="shared" si="3"/>
        <v>98003020481</v>
      </c>
      <c r="BC13" s="49">
        <f t="shared" si="3"/>
        <v>172928907420</v>
      </c>
      <c r="BD13" s="49">
        <f t="shared" si="3"/>
        <v>200666324688</v>
      </c>
      <c r="BE13" s="49">
        <f t="shared" si="3"/>
        <v>238388679271</v>
      </c>
      <c r="BF13" s="49">
        <f t="shared" si="3"/>
        <v>250573370780</v>
      </c>
      <c r="BG13" s="49">
        <f t="shared" si="3"/>
        <v>294832243750</v>
      </c>
      <c r="BH13" s="49">
        <f t="shared" si="3"/>
        <v>309616499760</v>
      </c>
      <c r="BI13" s="49">
        <f t="shared" si="3"/>
        <v>259354189036</v>
      </c>
      <c r="BJ13" s="49">
        <f t="shared" si="3"/>
        <v>253300426901</v>
      </c>
      <c r="BK13" s="49">
        <f t="shared" si="3"/>
        <v>253367122218</v>
      </c>
      <c r="BL13" s="49">
        <f t="shared" ref="BL13:BQ13" si="4">SUM(BL14:BL21)</f>
        <v>216818798145</v>
      </c>
      <c r="BM13" s="49">
        <f t="shared" si="4"/>
        <v>231846507077</v>
      </c>
      <c r="BN13" s="49">
        <f t="shared" si="4"/>
        <v>179737111410</v>
      </c>
      <c r="BO13" s="49">
        <f t="shared" si="4"/>
        <v>147514569550</v>
      </c>
      <c r="BP13" s="49">
        <f t="shared" si="4"/>
        <v>116595603825</v>
      </c>
      <c r="BQ13" s="49">
        <f t="shared" si="4"/>
        <v>139893015842</v>
      </c>
      <c r="BR13" s="49"/>
      <c r="BS13" s="49"/>
      <c r="BT13" s="49"/>
      <c r="BU13" s="49"/>
      <c r="BV13" s="49"/>
      <c r="BW13" s="49"/>
    </row>
    <row r="14" spans="1:75">
      <c r="A14" s="186">
        <v>11</v>
      </c>
      <c r="B14" s="187" t="s">
        <v>460</v>
      </c>
      <c r="C14" s="186">
        <v>5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>
        <v>4365166410</v>
      </c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>
        <v>24344150250</v>
      </c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>
        <v>86196013568</v>
      </c>
      <c r="AZ14" s="50">
        <v>62031000000</v>
      </c>
      <c r="BA14" s="50">
        <v>18977000000</v>
      </c>
      <c r="BB14" s="50">
        <v>48865000000</v>
      </c>
      <c r="BC14" s="50">
        <v>90981000000</v>
      </c>
      <c r="BD14" s="50">
        <v>88582000000</v>
      </c>
      <c r="BE14" s="50">
        <v>82124851218</v>
      </c>
      <c r="BF14" s="50">
        <v>72804000000</v>
      </c>
      <c r="BG14" s="50">
        <v>92313391942</v>
      </c>
      <c r="BH14" s="50">
        <v>80862028656</v>
      </c>
      <c r="BI14" s="50">
        <v>66989028656</v>
      </c>
      <c r="BJ14" s="50">
        <v>66989028656</v>
      </c>
      <c r="BK14" s="50">
        <v>77306590224</v>
      </c>
      <c r="BL14" s="50">
        <v>71235589210</v>
      </c>
      <c r="BM14" s="50">
        <v>93979203490</v>
      </c>
      <c r="BN14" s="50">
        <v>76798128278</v>
      </c>
      <c r="BO14" s="50">
        <v>76518747400</v>
      </c>
      <c r="BP14" s="50">
        <v>59864310020</v>
      </c>
      <c r="BQ14" s="50">
        <v>36246364996</v>
      </c>
      <c r="BR14" s="50"/>
      <c r="BS14" s="50"/>
      <c r="BT14" s="50"/>
      <c r="BU14" s="50"/>
      <c r="BV14" s="50"/>
      <c r="BW14" s="50"/>
    </row>
    <row r="15" spans="1:75">
      <c r="A15" s="186">
        <v>12</v>
      </c>
      <c r="B15" s="187" t="s">
        <v>461</v>
      </c>
      <c r="C15" s="186">
        <v>5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>
        <v>59227549743</v>
      </c>
      <c r="AZ15" s="50">
        <v>59227549743</v>
      </c>
      <c r="BA15" s="50">
        <v>10967824770</v>
      </c>
      <c r="BB15" s="50">
        <v>35192821797</v>
      </c>
      <c r="BC15" s="50">
        <v>59696932940</v>
      </c>
      <c r="BD15" s="50">
        <v>74003145708</v>
      </c>
      <c r="BE15" s="50">
        <v>102247404832</v>
      </c>
      <c r="BF15" s="50">
        <v>105000758801</v>
      </c>
      <c r="BG15" s="50">
        <v>98339501677</v>
      </c>
      <c r="BH15" s="50">
        <v>80174525410</v>
      </c>
      <c r="BI15" s="50">
        <v>55270634444</v>
      </c>
      <c r="BJ15" s="50">
        <v>31305599367</v>
      </c>
      <c r="BK15" s="50">
        <v>25039164491</v>
      </c>
      <c r="BL15" s="50">
        <v>18753969760</v>
      </c>
      <c r="BM15" s="50">
        <v>18847664400</v>
      </c>
      <c r="BN15" s="50">
        <v>32128413884</v>
      </c>
      <c r="BO15" s="50">
        <v>13206538480</v>
      </c>
      <c r="BP15" s="50">
        <v>13201037710</v>
      </c>
      <c r="BQ15" s="50">
        <v>1210727617</v>
      </c>
      <c r="BR15" s="50"/>
      <c r="BS15" s="50"/>
      <c r="BT15" s="50"/>
      <c r="BU15" s="50"/>
      <c r="BV15" s="50"/>
      <c r="BW15" s="50"/>
    </row>
    <row r="16" spans="1:75">
      <c r="A16" s="186">
        <v>13</v>
      </c>
      <c r="B16" s="187" t="s">
        <v>462</v>
      </c>
      <c r="C16" s="186">
        <v>5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>
        <v>23767004508</v>
      </c>
      <c r="AZ16" s="50">
        <v>13667004508</v>
      </c>
      <c r="BA16" s="50">
        <v>13667004508</v>
      </c>
      <c r="BB16" s="50">
        <v>13667004508</v>
      </c>
      <c r="BC16" s="50">
        <v>21972780304</v>
      </c>
      <c r="BD16" s="50">
        <v>32049798323</v>
      </c>
      <c r="BE16" s="50">
        <v>39585571449</v>
      </c>
      <c r="BF16" s="50">
        <v>54125127716</v>
      </c>
      <c r="BG16" s="50">
        <v>80169222070</v>
      </c>
      <c r="BH16" s="50">
        <v>87240583973</v>
      </c>
      <c r="BI16" s="50">
        <v>64730980597</v>
      </c>
      <c r="BJ16" s="50">
        <v>55405837410</v>
      </c>
      <c r="BK16" s="50">
        <v>51149160926</v>
      </c>
      <c r="BL16" s="50">
        <v>18836413663</v>
      </c>
      <c r="BM16" s="50">
        <v>11765051760</v>
      </c>
      <c r="BN16" s="50">
        <v>8000000000</v>
      </c>
      <c r="BO16" s="50">
        <v>8000000000</v>
      </c>
      <c r="BP16" s="50"/>
      <c r="BQ16" s="50"/>
      <c r="BR16" s="50"/>
      <c r="BS16" s="50"/>
      <c r="BT16" s="50"/>
      <c r="BU16" s="50"/>
      <c r="BV16" s="50"/>
      <c r="BW16" s="50"/>
    </row>
    <row r="17" spans="1:75">
      <c r="A17" s="186">
        <v>14</v>
      </c>
      <c r="B17" s="187" t="s">
        <v>463</v>
      </c>
      <c r="C17" s="186">
        <v>5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>
        <v>14105920563</v>
      </c>
      <c r="AZ17" s="50"/>
      <c r="BA17" s="50"/>
      <c r="BB17" s="50">
        <v>278194176</v>
      </c>
      <c r="BC17" s="50">
        <v>278194176</v>
      </c>
      <c r="BD17" s="50">
        <v>6031380657</v>
      </c>
      <c r="BE17" s="50">
        <v>14430851772</v>
      </c>
      <c r="BF17" s="50">
        <v>18498731431</v>
      </c>
      <c r="BG17" s="50">
        <v>23865375229</v>
      </c>
      <c r="BH17" s="50">
        <v>56646971705</v>
      </c>
      <c r="BI17" s="50">
        <v>67671155323</v>
      </c>
      <c r="BJ17" s="50">
        <v>95052324284</v>
      </c>
      <c r="BK17" s="50">
        <v>99872206577</v>
      </c>
      <c r="BL17" s="50">
        <v>99872206577</v>
      </c>
      <c r="BM17" s="50">
        <v>99872206577</v>
      </c>
      <c r="BN17" s="50">
        <v>56166426483</v>
      </c>
      <c r="BO17" s="50">
        <v>43883378990</v>
      </c>
      <c r="BP17" s="50">
        <v>38362589500</v>
      </c>
      <c r="BQ17" s="50">
        <v>98006494719</v>
      </c>
      <c r="BR17" s="50"/>
      <c r="BS17" s="50"/>
      <c r="BT17" s="50"/>
      <c r="BU17" s="50"/>
      <c r="BV17" s="50"/>
      <c r="BW17" s="50"/>
    </row>
    <row r="18" spans="1:75">
      <c r="A18" s="186">
        <v>15</v>
      </c>
      <c r="B18" s="187" t="s">
        <v>464</v>
      </c>
      <c r="C18" s="186">
        <v>5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>
        <v>144752832</v>
      </c>
      <c r="BG18" s="50">
        <v>144752832</v>
      </c>
      <c r="BH18" s="50">
        <v>4692390016</v>
      </c>
      <c r="BI18" s="50">
        <v>4692390016</v>
      </c>
      <c r="BJ18" s="50">
        <v>4547637184</v>
      </c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</row>
    <row r="19" spans="1:75">
      <c r="A19" s="186">
        <v>16</v>
      </c>
      <c r="B19" s="187" t="s">
        <v>465</v>
      </c>
      <c r="C19" s="186">
        <v>5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>
        <v>9333333336</v>
      </c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>
        <v>8120618935</v>
      </c>
      <c r="BM19" s="50">
        <v>7382380850</v>
      </c>
      <c r="BN19" s="50">
        <v>6644142765</v>
      </c>
      <c r="BO19" s="50">
        <v>5905904680</v>
      </c>
      <c r="BP19" s="50">
        <v>5167666595</v>
      </c>
      <c r="BQ19" s="50">
        <v>4429428510</v>
      </c>
      <c r="BR19" s="50"/>
      <c r="BS19" s="50"/>
      <c r="BT19" s="50"/>
      <c r="BU19" s="50"/>
      <c r="BV19" s="50"/>
      <c r="BW19" s="50"/>
    </row>
    <row r="20" spans="1:75">
      <c r="A20" s="186">
        <v>17</v>
      </c>
      <c r="B20" s="187" t="s">
        <v>466</v>
      </c>
      <c r="C20" s="186">
        <v>5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</row>
    <row r="21" spans="1:75">
      <c r="A21" s="186">
        <v>18</v>
      </c>
      <c r="B21" s="104"/>
      <c r="C21" s="186">
        <v>5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</row>
    <row r="22" spans="1:75">
      <c r="A22" s="188">
        <v>19</v>
      </c>
      <c r="B22" s="189" t="s">
        <v>468</v>
      </c>
      <c r="C22" s="186">
        <v>5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</row>
    <row r="23" spans="1:75">
      <c r="A23" s="186">
        <v>20</v>
      </c>
      <c r="B23" s="187" t="str">
        <f t="shared" ref="B23:B29" si="5">B14</f>
        <v>ACB</v>
      </c>
      <c r="C23" s="186">
        <v>5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>
        <v>4.2000000000000003E-2</v>
      </c>
      <c r="BH23" s="53">
        <v>4.2000000000000003E-2</v>
      </c>
      <c r="BI23" s="53">
        <v>4.2000000000000003E-2</v>
      </c>
      <c r="BJ23" s="53">
        <v>4.2355336346735752E-2</v>
      </c>
      <c r="BK23" s="53">
        <v>4.2355336346735752E-2</v>
      </c>
      <c r="BL23" s="53">
        <v>4.2999999999999997E-2</v>
      </c>
      <c r="BM23" s="53">
        <v>4.2999999999999997E-2</v>
      </c>
      <c r="BN23" s="53">
        <v>4.2999999999999997E-2</v>
      </c>
      <c r="BO23" s="53">
        <v>4.2999999999999997E-2</v>
      </c>
      <c r="BP23" s="53">
        <v>4.2999999999999997E-2</v>
      </c>
      <c r="BQ23" s="53">
        <v>4.2999999999999997E-2</v>
      </c>
      <c r="BR23" s="53"/>
      <c r="BS23" s="53"/>
      <c r="BT23" s="53"/>
      <c r="BU23" s="53"/>
      <c r="BV23" s="53"/>
      <c r="BW23" s="53"/>
    </row>
    <row r="24" spans="1:75">
      <c r="A24" s="186">
        <v>21</v>
      </c>
      <c r="B24" s="187" t="str">
        <f t="shared" si="5"/>
        <v>VietinBank</v>
      </c>
      <c r="C24" s="186">
        <v>5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>
        <v>4.1000000000000002E-2</v>
      </c>
      <c r="BH24" s="53">
        <v>4.1000000000000002E-2</v>
      </c>
      <c r="BI24" s="53">
        <v>4.2000000000000003E-2</v>
      </c>
      <c r="BJ24" s="53">
        <v>4.2999999999999997E-2</v>
      </c>
      <c r="BK24" s="53">
        <v>4.2999999999999997E-2</v>
      </c>
      <c r="BL24" s="53">
        <v>4.2999999999999997E-2</v>
      </c>
      <c r="BM24" s="53">
        <v>4.2999999999999997E-2</v>
      </c>
      <c r="BN24" s="53">
        <v>4.2999999999999997E-2</v>
      </c>
      <c r="BO24" s="53">
        <v>4.2999999999999997E-2</v>
      </c>
      <c r="BP24" s="53">
        <v>4.2999999999999997E-2</v>
      </c>
      <c r="BQ24" s="53">
        <v>4.2999999999999997E-2</v>
      </c>
      <c r="BR24" s="53"/>
      <c r="BS24" s="53"/>
      <c r="BT24" s="53"/>
      <c r="BU24" s="53"/>
      <c r="BV24" s="53"/>
      <c r="BW24" s="53"/>
    </row>
    <row r="25" spans="1:75">
      <c r="A25" s="186">
        <v>22</v>
      </c>
      <c r="B25" s="187" t="str">
        <f t="shared" si="5"/>
        <v>Vietcombank</v>
      </c>
      <c r="C25" s="186">
        <v>5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>
        <v>4.4999999999999998E-2</v>
      </c>
      <c r="BH25" s="53">
        <v>4.4999999999999998E-2</v>
      </c>
      <c r="BI25" s="53">
        <v>4.1000000000000002E-2</v>
      </c>
      <c r="BJ25" s="53">
        <v>4.0193105051852696E-2</v>
      </c>
      <c r="BK25" s="53">
        <v>4.427375822297961E-2</v>
      </c>
      <c r="BL25" s="53">
        <v>5.1174134571775887E-2</v>
      </c>
      <c r="BM25" s="53">
        <v>5.7890326826747419E-2</v>
      </c>
      <c r="BN25" s="53">
        <v>5.8000000000000003E-2</v>
      </c>
      <c r="BO25" s="53">
        <v>5.8000000000000003E-2</v>
      </c>
      <c r="BP25" s="53"/>
      <c r="BQ25" s="53"/>
      <c r="BR25" s="53"/>
      <c r="BS25" s="53"/>
      <c r="BT25" s="53"/>
      <c r="BU25" s="53"/>
      <c r="BV25" s="53"/>
      <c r="BW25" s="53"/>
    </row>
    <row r="26" spans="1:75">
      <c r="A26" s="186">
        <v>23</v>
      </c>
      <c r="B26" s="187" t="str">
        <f t="shared" si="5"/>
        <v>BIDV</v>
      </c>
      <c r="C26" s="186">
        <v>5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>
        <v>0.04</v>
      </c>
      <c r="BH26" s="53">
        <v>0.04</v>
      </c>
      <c r="BI26" s="53">
        <v>0.04</v>
      </c>
      <c r="BJ26" s="53">
        <v>0.04</v>
      </c>
      <c r="BK26" s="53">
        <v>0.04</v>
      </c>
      <c r="BL26" s="53">
        <v>0.04</v>
      </c>
      <c r="BM26" s="53">
        <v>0.04</v>
      </c>
      <c r="BN26" s="53">
        <v>0.04</v>
      </c>
      <c r="BO26" s="53">
        <v>0.04</v>
      </c>
      <c r="BP26" s="53">
        <v>0.04</v>
      </c>
      <c r="BQ26" s="53">
        <v>4.023486058731103E-2</v>
      </c>
      <c r="BR26" s="53"/>
      <c r="BS26" s="53"/>
      <c r="BT26" s="53"/>
      <c r="BU26" s="53"/>
      <c r="BV26" s="53"/>
      <c r="BW26" s="53"/>
    </row>
    <row r="27" spans="1:75">
      <c r="A27" s="186">
        <v>24</v>
      </c>
      <c r="B27" s="187" t="str">
        <f t="shared" si="5"/>
        <v>Standard Chartered</v>
      </c>
      <c r="C27" s="186">
        <v>5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>
        <v>4.2999999999999997E-2</v>
      </c>
      <c r="BH27" s="53">
        <v>4.2999999999999997E-2</v>
      </c>
      <c r="BI27" s="53">
        <v>4.2999999999999997E-2</v>
      </c>
      <c r="BJ27" s="53">
        <v>4.2999999999999997E-2</v>
      </c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</row>
    <row r="28" spans="1:75">
      <c r="A28" s="186">
        <v>25</v>
      </c>
      <c r="B28" s="187" t="str">
        <f t="shared" si="5"/>
        <v>VILC</v>
      </c>
      <c r="C28" s="186">
        <v>5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</row>
    <row r="29" spans="1:75">
      <c r="A29" s="186">
        <v>26</v>
      </c>
      <c r="B29" s="187" t="str">
        <f t="shared" si="5"/>
        <v>IVB</v>
      </c>
      <c r="C29" s="186">
        <v>5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</row>
    <row r="30" spans="1:75">
      <c r="A30" s="186">
        <v>27</v>
      </c>
      <c r="B30" s="187"/>
      <c r="C30" s="186">
        <v>5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</row>
    <row r="31" spans="1:75">
      <c r="A31" s="183">
        <v>28</v>
      </c>
      <c r="B31" s="184" t="s">
        <v>469</v>
      </c>
      <c r="C31" s="183">
        <v>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>
        <f t="shared" ref="O31" si="6">SUM(O32:O39)</f>
        <v>74718069914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>
        <f t="shared" ref="AM31:BL31" si="7">SUM(AM32:AM39)</f>
        <v>58824336270</v>
      </c>
      <c r="AN31" s="49">
        <f t="shared" si="7"/>
        <v>0</v>
      </c>
      <c r="AO31" s="49">
        <f t="shared" si="7"/>
        <v>0</v>
      </c>
      <c r="AP31" s="49">
        <f t="shared" si="7"/>
        <v>0</v>
      </c>
      <c r="AQ31" s="49">
        <f t="shared" si="7"/>
        <v>0</v>
      </c>
      <c r="AR31" s="49">
        <f t="shared" si="7"/>
        <v>0</v>
      </c>
      <c r="AS31" s="49">
        <f t="shared" si="7"/>
        <v>0</v>
      </c>
      <c r="AT31" s="49">
        <f t="shared" si="7"/>
        <v>0</v>
      </c>
      <c r="AU31" s="49">
        <f t="shared" si="7"/>
        <v>0</v>
      </c>
      <c r="AV31" s="49">
        <f t="shared" si="7"/>
        <v>0</v>
      </c>
      <c r="AW31" s="49">
        <f t="shared" si="7"/>
        <v>0</v>
      </c>
      <c r="AX31" s="49">
        <f t="shared" si="7"/>
        <v>0</v>
      </c>
      <c r="AY31" s="49">
        <f t="shared" si="7"/>
        <v>82898404212</v>
      </c>
      <c r="AZ31" s="49">
        <f t="shared" si="7"/>
        <v>108410341946</v>
      </c>
      <c r="BA31" s="49">
        <f t="shared" si="7"/>
        <v>104162504168</v>
      </c>
      <c r="BB31" s="49">
        <f t="shared" si="7"/>
        <v>103325726390</v>
      </c>
      <c r="BC31" s="49">
        <f t="shared" si="7"/>
        <v>102252755220</v>
      </c>
      <c r="BD31" s="49">
        <f t="shared" si="7"/>
        <v>98004917442</v>
      </c>
      <c r="BE31" s="49">
        <f t="shared" si="7"/>
        <v>77121791394</v>
      </c>
      <c r="BF31" s="49">
        <f t="shared" si="7"/>
        <v>76048820224</v>
      </c>
      <c r="BG31" s="49">
        <f t="shared" si="7"/>
        <v>74463510446</v>
      </c>
      <c r="BH31" s="49">
        <f t="shared" si="7"/>
        <v>73626732668</v>
      </c>
      <c r="BI31" s="49">
        <f t="shared" si="7"/>
        <v>72553761498</v>
      </c>
      <c r="BJ31" s="49">
        <f t="shared" si="7"/>
        <v>71031650720</v>
      </c>
      <c r="BK31" s="49">
        <f t="shared" si="7"/>
        <v>59241111374</v>
      </c>
      <c r="BL31" s="49">
        <f t="shared" si="7"/>
        <v>49472841415</v>
      </c>
      <c r="BM31" s="49">
        <f>SUM(BM32:BM39)</f>
        <v>71400341415</v>
      </c>
      <c r="BN31" s="49">
        <f>SUM(BN32:BN39)</f>
        <v>80100341415</v>
      </c>
      <c r="BO31" s="49">
        <f>SUM(BO32:BO39)</f>
        <v>80100341415</v>
      </c>
      <c r="BP31" s="49">
        <f>SUM(BP32:BP39)</f>
        <v>154933236415</v>
      </c>
      <c r="BQ31" s="49">
        <f>SUM(BQ32:BQ39)</f>
        <v>154933236415</v>
      </c>
      <c r="BR31" s="49"/>
      <c r="BS31" s="49"/>
      <c r="BT31" s="49"/>
      <c r="BU31" s="49"/>
      <c r="BV31" s="49"/>
      <c r="BW31" s="49"/>
    </row>
    <row r="32" spans="1:75">
      <c r="A32" s="186">
        <v>29</v>
      </c>
      <c r="B32" s="187" t="str">
        <f>B14</f>
        <v>ACB</v>
      </c>
      <c r="C32" s="186">
        <v>5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>
        <v>58824336270</v>
      </c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>
        <v>65009515326</v>
      </c>
      <c r="AZ32" s="50">
        <v>81965897502</v>
      </c>
      <c r="BA32" s="50">
        <v>78495837502</v>
      </c>
      <c r="BB32" s="50">
        <v>78436837502</v>
      </c>
      <c r="BC32" s="50">
        <v>78141644110</v>
      </c>
      <c r="BD32" s="50">
        <v>74671584110</v>
      </c>
      <c r="BE32" s="50">
        <v>54566235840</v>
      </c>
      <c r="BF32" s="50">
        <v>54271042448</v>
      </c>
      <c r="BG32" s="50">
        <v>51904970448</v>
      </c>
      <c r="BH32" s="50">
        <v>51845970448</v>
      </c>
      <c r="BI32" s="50">
        <v>51550777056</v>
      </c>
      <c r="BJ32" s="50">
        <v>49748205056</v>
      </c>
      <c r="BK32" s="50">
        <v>38808143488</v>
      </c>
      <c r="BL32" s="50">
        <v>38808143488</v>
      </c>
      <c r="BM32" s="50">
        <v>38808143488</v>
      </c>
      <c r="BN32" s="50">
        <v>38808143488</v>
      </c>
      <c r="BO32" s="50">
        <v>38808143488</v>
      </c>
      <c r="BP32" s="50">
        <v>38808143488</v>
      </c>
      <c r="BQ32" s="50">
        <v>38808143488</v>
      </c>
      <c r="BR32" s="50"/>
      <c r="BS32" s="50"/>
      <c r="BT32" s="50"/>
      <c r="BU32" s="50"/>
      <c r="BV32" s="50"/>
      <c r="BW32" s="50"/>
    </row>
    <row r="33" spans="1:75">
      <c r="A33" s="186">
        <v>30</v>
      </c>
      <c r="B33" s="187" t="str">
        <f>B15</f>
        <v>VietinBank</v>
      </c>
      <c r="C33" s="186">
        <v>5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>
        <v>1558540000</v>
      </c>
      <c r="BH33" s="50">
        <v>1558540000</v>
      </c>
      <c r="BI33" s="50">
        <v>1558540000</v>
      </c>
      <c r="BJ33" s="50">
        <v>2616779000</v>
      </c>
      <c r="BK33" s="50">
        <v>2544079000</v>
      </c>
      <c r="BL33" s="50">
        <v>2544079000</v>
      </c>
      <c r="BM33" s="50">
        <v>2544079000</v>
      </c>
      <c r="BN33" s="50">
        <v>11244079000</v>
      </c>
      <c r="BO33" s="50">
        <v>11244079000</v>
      </c>
      <c r="BP33" s="50">
        <v>86860099000</v>
      </c>
      <c r="BQ33" s="50">
        <v>86860099000</v>
      </c>
      <c r="BR33" s="50"/>
      <c r="BS33" s="50"/>
      <c r="BT33" s="50"/>
      <c r="BU33" s="50"/>
      <c r="BV33" s="50"/>
      <c r="BW33" s="50"/>
    </row>
    <row r="34" spans="1:75">
      <c r="A34" s="186">
        <v>31</v>
      </c>
      <c r="B34" s="187" t="str">
        <f>B16</f>
        <v>Vietcombank</v>
      </c>
      <c r="C34" s="186">
        <v>5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>
        <v>74718069914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>
        <v>21927500000</v>
      </c>
      <c r="BN34" s="50">
        <v>21927500000</v>
      </c>
      <c r="BO34" s="50">
        <v>21927500000</v>
      </c>
      <c r="BP34" s="50">
        <v>21144375000</v>
      </c>
      <c r="BQ34" s="50">
        <v>21144375000</v>
      </c>
      <c r="BR34" s="50"/>
      <c r="BS34" s="50"/>
      <c r="BT34" s="50"/>
      <c r="BU34" s="50"/>
      <c r="BV34" s="50"/>
      <c r="BW34" s="50"/>
    </row>
    <row r="35" spans="1:75">
      <c r="A35" s="186">
        <v>32</v>
      </c>
      <c r="B35" s="187" t="s">
        <v>463</v>
      </c>
      <c r="C35" s="186">
        <v>5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</row>
    <row r="36" spans="1:75">
      <c r="A36" s="186">
        <v>33</v>
      </c>
      <c r="B36" s="187" t="str">
        <f>B18</f>
        <v>Standard Chartered</v>
      </c>
      <c r="C36" s="186">
        <v>5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</row>
    <row r="37" spans="1:75">
      <c r="A37" s="186">
        <v>34</v>
      </c>
      <c r="B37" s="187" t="s">
        <v>465</v>
      </c>
      <c r="C37" s="186">
        <v>5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>
        <f>27222222222-AY19</f>
        <v>17888888886</v>
      </c>
      <c r="AZ37" s="50">
        <v>26444444444</v>
      </c>
      <c r="BA37" s="50">
        <v>25666666666</v>
      </c>
      <c r="BB37" s="50">
        <v>24888888888</v>
      </c>
      <c r="BC37" s="50">
        <v>24111111110</v>
      </c>
      <c r="BD37" s="50">
        <v>23333333332</v>
      </c>
      <c r="BE37" s="50">
        <v>22555555554</v>
      </c>
      <c r="BF37" s="50">
        <v>21777777776</v>
      </c>
      <c r="BG37" s="50">
        <v>20999999998</v>
      </c>
      <c r="BH37" s="50">
        <v>20222222220</v>
      </c>
      <c r="BI37" s="50">
        <v>19444444442</v>
      </c>
      <c r="BJ37" s="50">
        <v>18666666664</v>
      </c>
      <c r="BK37" s="50">
        <v>17888888886</v>
      </c>
      <c r="BL37" s="50">
        <v>8120618927</v>
      </c>
      <c r="BM37" s="50">
        <v>8120618927</v>
      </c>
      <c r="BN37" s="50">
        <v>8120618927</v>
      </c>
      <c r="BO37" s="50">
        <v>8120618927</v>
      </c>
      <c r="BP37" s="50">
        <v>8120618927</v>
      </c>
      <c r="BQ37" s="50">
        <v>8120618927</v>
      </c>
      <c r="BR37" s="50"/>
      <c r="BS37" s="50"/>
      <c r="BT37" s="50"/>
      <c r="BU37" s="50"/>
      <c r="BV37" s="50"/>
      <c r="BW37" s="50"/>
    </row>
    <row r="38" spans="1:75">
      <c r="A38" s="186">
        <v>35</v>
      </c>
      <c r="B38" s="187" t="s">
        <v>466</v>
      </c>
      <c r="C38" s="186">
        <v>5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</row>
    <row r="39" spans="1:75">
      <c r="A39" s="186">
        <v>36</v>
      </c>
      <c r="B39" s="104"/>
      <c r="C39" s="186">
        <v>5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</row>
    <row r="40" spans="1:75">
      <c r="A40" s="188">
        <v>37</v>
      </c>
      <c r="B40" s="189" t="s">
        <v>470</v>
      </c>
      <c r="C40" s="186">
        <v>5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</row>
    <row r="41" spans="1:75">
      <c r="A41" s="186">
        <v>38</v>
      </c>
      <c r="B41" s="187" t="str">
        <f t="shared" ref="B41:B47" si="8">B32</f>
        <v>ACB</v>
      </c>
      <c r="C41" s="186">
        <v>5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>
        <v>7.4999999999999997E-2</v>
      </c>
      <c r="BA41" s="53">
        <v>7.4999999999999997E-2</v>
      </c>
      <c r="BB41" s="53">
        <v>7.4999999999999997E-2</v>
      </c>
      <c r="BC41" s="53">
        <v>7.4999999999999997E-2</v>
      </c>
      <c r="BD41" s="53">
        <v>7.4999999999999997E-2</v>
      </c>
      <c r="BE41" s="53">
        <v>7.4999999999999997E-2</v>
      </c>
      <c r="BF41" s="53">
        <v>7.4999999999999997E-2</v>
      </c>
      <c r="BG41" s="53">
        <v>7.1999999999999995E-2</v>
      </c>
      <c r="BH41" s="53">
        <v>7.1999999999999995E-2</v>
      </c>
      <c r="BI41" s="53">
        <v>7.0000000000000007E-2</v>
      </c>
      <c r="BJ41" s="53">
        <v>7.0000000000000007E-2</v>
      </c>
      <c r="BK41" s="53">
        <v>7.1999999999999995E-2</v>
      </c>
      <c r="BL41" s="53">
        <v>7.46E-2</v>
      </c>
      <c r="BM41" s="53">
        <v>7.6100000000000001E-2</v>
      </c>
      <c r="BN41" s="53">
        <v>7.7600000000000002E-2</v>
      </c>
      <c r="BO41" s="53">
        <v>7.7600000000000002E-2</v>
      </c>
      <c r="BP41" s="53">
        <v>7.8E-2</v>
      </c>
      <c r="BQ41" s="53">
        <v>8.6999999999999994E-2</v>
      </c>
      <c r="BR41" s="53"/>
      <c r="BS41" s="53"/>
      <c r="BT41" s="53"/>
      <c r="BU41" s="53"/>
      <c r="BV41" s="53"/>
      <c r="BW41" s="53"/>
    </row>
    <row r="42" spans="1:75">
      <c r="A42" s="186">
        <v>39</v>
      </c>
      <c r="B42" s="187" t="str">
        <f t="shared" si="8"/>
        <v>VietinBank</v>
      </c>
      <c r="C42" s="186">
        <v>5</v>
      </c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>
        <v>6.2E-2</v>
      </c>
      <c r="BH42" s="53">
        <v>6.2E-2</v>
      </c>
      <c r="BI42" s="53">
        <v>6.2E-2</v>
      </c>
      <c r="BJ42" s="53">
        <v>6.3213215560045388E-2</v>
      </c>
      <c r="BK42" s="53">
        <v>6.3213215863186636E-2</v>
      </c>
      <c r="BL42" s="53">
        <v>6.3213215863186636E-2</v>
      </c>
      <c r="BM42" s="53">
        <v>6.3213215863186636E-2</v>
      </c>
      <c r="BN42" s="53">
        <v>7.996408386167124E-2</v>
      </c>
      <c r="BO42" s="53">
        <v>8.2511146177468159E-2</v>
      </c>
      <c r="BP42" s="53">
        <v>8.6418915847655209E-2</v>
      </c>
      <c r="BQ42" s="53">
        <v>8.6418915847655209E-2</v>
      </c>
      <c r="BR42" s="53"/>
      <c r="BS42" s="53"/>
      <c r="BT42" s="53"/>
      <c r="BU42" s="53"/>
      <c r="BV42" s="53"/>
      <c r="BW42" s="53"/>
    </row>
    <row r="43" spans="1:75">
      <c r="A43" s="186">
        <v>40</v>
      </c>
      <c r="B43" s="187" t="str">
        <f t="shared" si="8"/>
        <v>Vietcombank</v>
      </c>
      <c r="C43" s="186">
        <v>5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>
        <v>8.5000000000000006E-2</v>
      </c>
      <c r="BN43" s="50">
        <v>8.5000000000000006E-2</v>
      </c>
      <c r="BO43" s="50">
        <v>8.5000000000000006E-2</v>
      </c>
      <c r="BP43" s="50">
        <v>8.5000000000000006E-2</v>
      </c>
      <c r="BQ43" s="50">
        <v>8.5000000000000006E-2</v>
      </c>
      <c r="BR43" s="50"/>
      <c r="BS43" s="50"/>
      <c r="BT43" s="50"/>
      <c r="BU43" s="50"/>
      <c r="BV43" s="50"/>
      <c r="BW43" s="50"/>
    </row>
    <row r="44" spans="1:75">
      <c r="A44" s="186">
        <v>41</v>
      </c>
      <c r="B44" s="187" t="str">
        <f t="shared" si="8"/>
        <v>BIDV</v>
      </c>
      <c r="C44" s="186">
        <v>5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</row>
    <row r="45" spans="1:75">
      <c r="A45" s="186">
        <v>42</v>
      </c>
      <c r="B45" s="187" t="str">
        <f t="shared" si="8"/>
        <v>Standard Chartered</v>
      </c>
      <c r="C45" s="186">
        <v>5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</row>
    <row r="46" spans="1:75">
      <c r="A46" s="186">
        <v>43</v>
      </c>
      <c r="B46" s="187" t="str">
        <f t="shared" si="8"/>
        <v>VILC</v>
      </c>
      <c r="C46" s="186">
        <v>5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>
        <v>5.7000000000000002E-2</v>
      </c>
      <c r="BA46" s="53">
        <v>5.7000000000000002E-2</v>
      </c>
      <c r="BB46" s="53">
        <v>5.7000000000000002E-2</v>
      </c>
      <c r="BC46" s="53">
        <v>5.7000000000000002E-2</v>
      </c>
      <c r="BD46" s="53">
        <v>5.7000000000000002E-2</v>
      </c>
      <c r="BE46" s="53">
        <v>5.7000000000000002E-2</v>
      </c>
      <c r="BF46" s="53">
        <v>5.7000000000000002E-2</v>
      </c>
      <c r="BG46" s="53">
        <v>5.7000000000000002E-2</v>
      </c>
      <c r="BH46" s="53">
        <v>5.67E-2</v>
      </c>
      <c r="BI46" s="53">
        <v>5.67E-2</v>
      </c>
      <c r="BJ46" s="53">
        <v>5.67E-2</v>
      </c>
      <c r="BK46" s="53">
        <v>5.67E-2</v>
      </c>
      <c r="BL46" s="50">
        <v>6.3E-2</v>
      </c>
      <c r="BM46" s="50">
        <v>6.3700000000000007E-2</v>
      </c>
      <c r="BN46" s="50">
        <v>6.4000000000000001E-2</v>
      </c>
      <c r="BO46" s="50">
        <v>7.0000000000000007E-2</v>
      </c>
      <c r="BP46" s="50">
        <v>7.0000000000000007E-2</v>
      </c>
      <c r="BQ46" s="50">
        <v>7.0000000000000007E-2</v>
      </c>
      <c r="BR46" s="50"/>
      <c r="BS46" s="50"/>
      <c r="BT46" s="50"/>
      <c r="BU46" s="50"/>
      <c r="BV46" s="50"/>
      <c r="BW46" s="50"/>
    </row>
    <row r="47" spans="1:75">
      <c r="A47" s="186">
        <v>44</v>
      </c>
      <c r="B47" s="187" t="str">
        <f t="shared" si="8"/>
        <v>IVB</v>
      </c>
      <c r="C47" s="186">
        <v>5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</row>
    <row r="48" spans="1:75">
      <c r="A48" s="186">
        <v>45</v>
      </c>
      <c r="B48" s="187"/>
      <c r="C48" s="186">
        <v>5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</row>
    <row r="49" spans="1:75" ht="15" thickBot="1">
      <c r="A49" s="190">
        <v>46</v>
      </c>
      <c r="B49" s="191" t="s">
        <v>471</v>
      </c>
      <c r="C49" s="190">
        <v>5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>
        <f t="shared" ref="O49:O56" si="9">O31+O13</f>
        <v>74718069914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>
        <f t="shared" ref="AA49:AA56" si="10">AA31+AA13</f>
        <v>4365166410</v>
      </c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>
        <f t="shared" ref="AM49:BK56" si="11">AM31+AM13</f>
        <v>83168486520</v>
      </c>
      <c r="AN49" s="51">
        <f t="shared" si="11"/>
        <v>0</v>
      </c>
      <c r="AO49" s="51">
        <f t="shared" si="11"/>
        <v>0</v>
      </c>
      <c r="AP49" s="51">
        <f t="shared" si="11"/>
        <v>0</v>
      </c>
      <c r="AQ49" s="51">
        <f t="shared" si="11"/>
        <v>0</v>
      </c>
      <c r="AR49" s="51">
        <f t="shared" si="11"/>
        <v>0</v>
      </c>
      <c r="AS49" s="51">
        <f t="shared" si="11"/>
        <v>0</v>
      </c>
      <c r="AT49" s="51">
        <f t="shared" si="11"/>
        <v>0</v>
      </c>
      <c r="AU49" s="51">
        <f t="shared" si="11"/>
        <v>0</v>
      </c>
      <c r="AV49" s="51">
        <f t="shared" si="11"/>
        <v>0</v>
      </c>
      <c r="AW49" s="51">
        <f t="shared" si="11"/>
        <v>0</v>
      </c>
      <c r="AX49" s="51">
        <f t="shared" si="11"/>
        <v>0</v>
      </c>
      <c r="AY49" s="51">
        <f t="shared" si="11"/>
        <v>275528225930</v>
      </c>
      <c r="AZ49" s="51">
        <f t="shared" si="11"/>
        <v>243335896197</v>
      </c>
      <c r="BA49" s="51">
        <f t="shared" si="11"/>
        <v>147774333446</v>
      </c>
      <c r="BB49" s="51">
        <f t="shared" si="11"/>
        <v>201328746871</v>
      </c>
      <c r="BC49" s="51">
        <f t="shared" si="11"/>
        <v>275181662640</v>
      </c>
      <c r="BD49" s="51">
        <f t="shared" si="11"/>
        <v>298671242130</v>
      </c>
      <c r="BE49" s="51">
        <f t="shared" si="11"/>
        <v>315510470665</v>
      </c>
      <c r="BF49" s="51">
        <f t="shared" si="11"/>
        <v>326622191004</v>
      </c>
      <c r="BG49" s="51">
        <f t="shared" si="11"/>
        <v>369295754196</v>
      </c>
      <c r="BH49" s="51">
        <f t="shared" si="11"/>
        <v>383243232428</v>
      </c>
      <c r="BI49" s="51">
        <f t="shared" si="11"/>
        <v>331907950534</v>
      </c>
      <c r="BJ49" s="51">
        <f t="shared" si="11"/>
        <v>324332077621</v>
      </c>
      <c r="BK49" s="51">
        <f t="shared" si="11"/>
        <v>312608233592</v>
      </c>
      <c r="BL49" s="51">
        <f t="shared" ref="BL49" si="12">BL31+BL13</f>
        <v>266291639560</v>
      </c>
      <c r="BM49" s="51">
        <f>BM31+BM13</f>
        <v>303246848492</v>
      </c>
      <c r="BN49" s="51">
        <f>BN31+BN13</f>
        <v>259837452825</v>
      </c>
      <c r="BO49" s="51">
        <f>BO31+BO13</f>
        <v>227614910965</v>
      </c>
      <c r="BP49" s="51">
        <f>BP31+BP13</f>
        <v>271528840240</v>
      </c>
      <c r="BQ49" s="51">
        <f>BQ31+BQ13</f>
        <v>294826252257</v>
      </c>
      <c r="BR49" s="51"/>
      <c r="BS49" s="51"/>
      <c r="BT49" s="51"/>
      <c r="BU49" s="51"/>
      <c r="BV49" s="51"/>
      <c r="BW49" s="51"/>
    </row>
    <row r="50" spans="1:75" ht="15" thickTop="1">
      <c r="A50" s="186">
        <v>47</v>
      </c>
      <c r="B50" s="187" t="str">
        <f t="shared" ref="B50:B55" si="13">B32</f>
        <v>ACB</v>
      </c>
      <c r="C50" s="186">
        <v>5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>
        <f t="shared" si="9"/>
        <v>0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>
        <f t="shared" si="10"/>
        <v>4365166410</v>
      </c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>
        <f t="shared" si="11"/>
        <v>83168486520</v>
      </c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>
        <f t="shared" ref="AY50:BK50" si="14">AY14+AY32</f>
        <v>151205528894</v>
      </c>
      <c r="AZ50" s="52">
        <f t="shared" si="14"/>
        <v>143996897502</v>
      </c>
      <c r="BA50" s="52">
        <f t="shared" si="14"/>
        <v>97472837502</v>
      </c>
      <c r="BB50" s="52">
        <f t="shared" si="14"/>
        <v>127301837502</v>
      </c>
      <c r="BC50" s="52">
        <f t="shared" si="14"/>
        <v>169122644110</v>
      </c>
      <c r="BD50" s="52">
        <f t="shared" si="14"/>
        <v>163253584110</v>
      </c>
      <c r="BE50" s="52">
        <f t="shared" si="14"/>
        <v>136691087058</v>
      </c>
      <c r="BF50" s="52">
        <f t="shared" si="14"/>
        <v>127075042448</v>
      </c>
      <c r="BG50" s="52">
        <f t="shared" si="14"/>
        <v>144218362390</v>
      </c>
      <c r="BH50" s="52">
        <f t="shared" si="14"/>
        <v>132707999104</v>
      </c>
      <c r="BI50" s="52">
        <f t="shared" si="14"/>
        <v>118539805712</v>
      </c>
      <c r="BJ50" s="52">
        <f t="shared" si="14"/>
        <v>116737233712</v>
      </c>
      <c r="BK50" s="52">
        <f t="shared" si="14"/>
        <v>116114733712</v>
      </c>
      <c r="BL50" s="52">
        <f t="shared" ref="BL50:BM50" si="15">BL14+BL32</f>
        <v>110043732698</v>
      </c>
      <c r="BM50" s="52">
        <f t="shared" si="15"/>
        <v>132787346978</v>
      </c>
      <c r="BN50" s="52">
        <f>BN14+BN32</f>
        <v>115606271766</v>
      </c>
      <c r="BO50" s="52">
        <f>BO14+BO32</f>
        <v>115326890888</v>
      </c>
      <c r="BP50" s="52">
        <f>BP14+BP32</f>
        <v>98672453508</v>
      </c>
      <c r="BQ50" s="52">
        <f>BQ14+BQ32</f>
        <v>75054508484</v>
      </c>
      <c r="BR50" s="52"/>
      <c r="BS50" s="52"/>
      <c r="BT50" s="52"/>
      <c r="BU50" s="52"/>
      <c r="BV50" s="52"/>
      <c r="BW50" s="52"/>
    </row>
    <row r="51" spans="1:75">
      <c r="A51" s="186">
        <v>48</v>
      </c>
      <c r="B51" s="187" t="str">
        <f t="shared" si="13"/>
        <v>VietinBank</v>
      </c>
      <c r="C51" s="186">
        <v>5</v>
      </c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>
        <f t="shared" si="9"/>
        <v>0</v>
      </c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>
        <f t="shared" si="10"/>
        <v>0</v>
      </c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>
        <f t="shared" si="11"/>
        <v>0</v>
      </c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>
        <f t="shared" ref="AY51:BK51" si="16">AY15+AY33</f>
        <v>59227549743</v>
      </c>
      <c r="AZ51" s="54">
        <f t="shared" si="16"/>
        <v>59227549743</v>
      </c>
      <c r="BA51" s="54">
        <f t="shared" si="16"/>
        <v>10967824770</v>
      </c>
      <c r="BB51" s="54">
        <f t="shared" si="16"/>
        <v>35192821797</v>
      </c>
      <c r="BC51" s="54">
        <f t="shared" si="16"/>
        <v>59696932940</v>
      </c>
      <c r="BD51" s="54">
        <f t="shared" si="16"/>
        <v>74003145708</v>
      </c>
      <c r="BE51" s="54">
        <f t="shared" si="16"/>
        <v>102247404832</v>
      </c>
      <c r="BF51" s="54">
        <f t="shared" si="16"/>
        <v>105000758801</v>
      </c>
      <c r="BG51" s="54">
        <f t="shared" si="16"/>
        <v>99898041677</v>
      </c>
      <c r="BH51" s="54">
        <f t="shared" si="16"/>
        <v>81733065410</v>
      </c>
      <c r="BI51" s="54">
        <f t="shared" si="16"/>
        <v>56829174444</v>
      </c>
      <c r="BJ51" s="54">
        <f t="shared" si="16"/>
        <v>33922378367</v>
      </c>
      <c r="BK51" s="54">
        <f t="shared" si="16"/>
        <v>27583243491</v>
      </c>
      <c r="BL51" s="54">
        <f t="shared" ref="BL51:BO51" si="17">BL15+BL33</f>
        <v>21298048760</v>
      </c>
      <c r="BM51" s="54">
        <f t="shared" si="17"/>
        <v>21391743400</v>
      </c>
      <c r="BN51" s="54">
        <f t="shared" si="17"/>
        <v>43372492884</v>
      </c>
      <c r="BO51" s="54">
        <f t="shared" si="17"/>
        <v>24450617480</v>
      </c>
      <c r="BP51" s="54">
        <f t="shared" ref="BP51:BQ51" si="18">BP15+BP33</f>
        <v>100061136710</v>
      </c>
      <c r="BQ51" s="54">
        <f t="shared" si="18"/>
        <v>88070826617</v>
      </c>
      <c r="BR51" s="54"/>
      <c r="BS51" s="54"/>
      <c r="BT51" s="54"/>
      <c r="BU51" s="54"/>
      <c r="BV51" s="54"/>
      <c r="BW51" s="54"/>
    </row>
    <row r="52" spans="1:75">
      <c r="A52" s="186">
        <v>49</v>
      </c>
      <c r="B52" s="187" t="str">
        <f t="shared" si="13"/>
        <v>Vietcombank</v>
      </c>
      <c r="C52" s="186">
        <v>5</v>
      </c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>
        <f t="shared" si="9"/>
        <v>74718069914</v>
      </c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>
        <f t="shared" si="10"/>
        <v>0</v>
      </c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>
        <f t="shared" si="11"/>
        <v>0</v>
      </c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>
        <f t="shared" ref="AY52:BK52" si="19">AY16+AY34</f>
        <v>23767004508</v>
      </c>
      <c r="AZ52" s="54">
        <f t="shared" si="19"/>
        <v>13667004508</v>
      </c>
      <c r="BA52" s="54">
        <f t="shared" si="19"/>
        <v>13667004508</v>
      </c>
      <c r="BB52" s="54">
        <f t="shared" si="19"/>
        <v>13667004508</v>
      </c>
      <c r="BC52" s="54">
        <f t="shared" si="19"/>
        <v>21972780304</v>
      </c>
      <c r="BD52" s="54">
        <f t="shared" si="19"/>
        <v>32049798323</v>
      </c>
      <c r="BE52" s="54">
        <f t="shared" si="19"/>
        <v>39585571449</v>
      </c>
      <c r="BF52" s="54">
        <f t="shared" si="19"/>
        <v>54125127716</v>
      </c>
      <c r="BG52" s="54">
        <f t="shared" si="19"/>
        <v>80169222070</v>
      </c>
      <c r="BH52" s="54">
        <f t="shared" si="19"/>
        <v>87240583973</v>
      </c>
      <c r="BI52" s="54">
        <f t="shared" si="19"/>
        <v>64730980597</v>
      </c>
      <c r="BJ52" s="54">
        <f t="shared" si="19"/>
        <v>55405837410</v>
      </c>
      <c r="BK52" s="54">
        <f t="shared" si="19"/>
        <v>51149160926</v>
      </c>
      <c r="BL52" s="54">
        <f t="shared" ref="BL52:BO52" si="20">BL16+BL34</f>
        <v>18836413663</v>
      </c>
      <c r="BM52" s="54">
        <f t="shared" si="20"/>
        <v>33692551760</v>
      </c>
      <c r="BN52" s="54">
        <f t="shared" si="20"/>
        <v>29927500000</v>
      </c>
      <c r="BO52" s="54">
        <f t="shared" si="20"/>
        <v>29927500000</v>
      </c>
      <c r="BP52" s="54">
        <f t="shared" ref="BP52:BQ52" si="21">BP16+BP34</f>
        <v>21144375000</v>
      </c>
      <c r="BQ52" s="54">
        <f t="shared" si="21"/>
        <v>21144375000</v>
      </c>
      <c r="BR52" s="54"/>
      <c r="BS52" s="54"/>
      <c r="BT52" s="54"/>
      <c r="BU52" s="54"/>
      <c r="BV52" s="54"/>
      <c r="BW52" s="54"/>
    </row>
    <row r="53" spans="1:75">
      <c r="A53" s="186">
        <v>50</v>
      </c>
      <c r="B53" s="187" t="str">
        <f t="shared" si="13"/>
        <v>BIDV</v>
      </c>
      <c r="C53" s="186">
        <v>5</v>
      </c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>
        <f t="shared" si="9"/>
        <v>0</v>
      </c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>
        <f t="shared" si="10"/>
        <v>0</v>
      </c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>
        <f t="shared" si="11"/>
        <v>0</v>
      </c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>
        <f t="shared" ref="AY53:BK53" si="22">AY17+AY35</f>
        <v>14105920563</v>
      </c>
      <c r="AZ53" s="54">
        <f t="shared" si="22"/>
        <v>0</v>
      </c>
      <c r="BA53" s="54">
        <f t="shared" si="22"/>
        <v>0</v>
      </c>
      <c r="BB53" s="54">
        <f t="shared" si="22"/>
        <v>278194176</v>
      </c>
      <c r="BC53" s="54">
        <f t="shared" si="22"/>
        <v>278194176</v>
      </c>
      <c r="BD53" s="54">
        <f t="shared" si="22"/>
        <v>6031380657</v>
      </c>
      <c r="BE53" s="54">
        <f t="shared" si="22"/>
        <v>14430851772</v>
      </c>
      <c r="BF53" s="54">
        <f t="shared" si="22"/>
        <v>18498731431</v>
      </c>
      <c r="BG53" s="54">
        <f t="shared" si="22"/>
        <v>23865375229</v>
      </c>
      <c r="BH53" s="54">
        <f t="shared" si="22"/>
        <v>56646971705</v>
      </c>
      <c r="BI53" s="54">
        <f t="shared" si="22"/>
        <v>67671155323</v>
      </c>
      <c r="BJ53" s="54">
        <f t="shared" si="22"/>
        <v>95052324284</v>
      </c>
      <c r="BK53" s="54">
        <f t="shared" si="22"/>
        <v>99872206577</v>
      </c>
      <c r="BL53" s="54">
        <f t="shared" ref="BL53:BO55" si="23">BL17+BL35</f>
        <v>99872206577</v>
      </c>
      <c r="BM53" s="54">
        <f t="shared" si="23"/>
        <v>99872206577</v>
      </c>
      <c r="BN53" s="54">
        <f t="shared" si="23"/>
        <v>56166426483</v>
      </c>
      <c r="BO53" s="54">
        <f t="shared" si="23"/>
        <v>43883378990</v>
      </c>
      <c r="BP53" s="54">
        <f t="shared" ref="BP53:BQ53" si="24">BP17+BP35</f>
        <v>38362589500</v>
      </c>
      <c r="BQ53" s="54">
        <f t="shared" si="24"/>
        <v>98006494719</v>
      </c>
      <c r="BR53" s="54"/>
      <c r="BS53" s="54"/>
      <c r="BT53" s="54"/>
      <c r="BU53" s="54"/>
      <c r="BV53" s="54"/>
      <c r="BW53" s="54"/>
    </row>
    <row r="54" spans="1:75">
      <c r="A54" s="186">
        <v>51</v>
      </c>
      <c r="B54" s="187" t="str">
        <f t="shared" si="13"/>
        <v>Standard Chartered</v>
      </c>
      <c r="C54" s="186">
        <v>5</v>
      </c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>
        <f t="shared" si="9"/>
        <v>0</v>
      </c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>
        <f t="shared" si="10"/>
        <v>0</v>
      </c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>
        <f t="shared" si="11"/>
        <v>0</v>
      </c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>
        <f t="shared" ref="AY54:BK54" si="25">AY18+AY36</f>
        <v>0</v>
      </c>
      <c r="AZ54" s="54">
        <f t="shared" si="25"/>
        <v>0</v>
      </c>
      <c r="BA54" s="54">
        <f t="shared" si="25"/>
        <v>0</v>
      </c>
      <c r="BB54" s="54">
        <f t="shared" si="25"/>
        <v>0</v>
      </c>
      <c r="BC54" s="54">
        <f t="shared" si="25"/>
        <v>0</v>
      </c>
      <c r="BD54" s="54">
        <f t="shared" si="25"/>
        <v>0</v>
      </c>
      <c r="BE54" s="54">
        <f t="shared" si="25"/>
        <v>0</v>
      </c>
      <c r="BF54" s="54">
        <f t="shared" si="25"/>
        <v>144752832</v>
      </c>
      <c r="BG54" s="54">
        <f t="shared" si="25"/>
        <v>144752832</v>
      </c>
      <c r="BH54" s="54">
        <f t="shared" si="25"/>
        <v>4692390016</v>
      </c>
      <c r="BI54" s="54">
        <f t="shared" si="25"/>
        <v>4692390016</v>
      </c>
      <c r="BJ54" s="54">
        <f t="shared" si="25"/>
        <v>4547637184</v>
      </c>
      <c r="BK54" s="54">
        <f t="shared" si="25"/>
        <v>0</v>
      </c>
      <c r="BL54" s="54">
        <f t="shared" ref="BL54:BO54" si="26">BL18+BL36</f>
        <v>0</v>
      </c>
      <c r="BM54" s="54">
        <f t="shared" si="26"/>
        <v>0</v>
      </c>
      <c r="BN54" s="54">
        <f t="shared" si="26"/>
        <v>0</v>
      </c>
      <c r="BO54" s="54">
        <f t="shared" si="26"/>
        <v>0</v>
      </c>
      <c r="BP54" s="54">
        <f t="shared" ref="BP54:BQ54" si="27">BP18+BP36</f>
        <v>0</v>
      </c>
      <c r="BQ54" s="54">
        <f t="shared" si="27"/>
        <v>0</v>
      </c>
      <c r="BR54" s="54"/>
      <c r="BS54" s="54"/>
      <c r="BT54" s="54"/>
      <c r="BU54" s="54"/>
      <c r="BV54" s="54"/>
      <c r="BW54" s="54"/>
    </row>
    <row r="55" spans="1:75">
      <c r="A55" s="186">
        <v>52</v>
      </c>
      <c r="B55" s="187" t="str">
        <f t="shared" si="13"/>
        <v>VILC</v>
      </c>
      <c r="C55" s="186">
        <v>5</v>
      </c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>
        <f t="shared" si="9"/>
        <v>0</v>
      </c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>
        <f t="shared" si="10"/>
        <v>0</v>
      </c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>
        <f t="shared" si="11"/>
        <v>0</v>
      </c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>
        <f t="shared" ref="AY55:BK55" si="28">AY19+AY37</f>
        <v>27222222222</v>
      </c>
      <c r="AZ55" s="54">
        <f t="shared" si="28"/>
        <v>26444444444</v>
      </c>
      <c r="BA55" s="54">
        <f t="shared" si="28"/>
        <v>25666666666</v>
      </c>
      <c r="BB55" s="54">
        <f t="shared" si="28"/>
        <v>24888888888</v>
      </c>
      <c r="BC55" s="54">
        <f t="shared" si="28"/>
        <v>24111111110</v>
      </c>
      <c r="BD55" s="54">
        <f t="shared" si="28"/>
        <v>23333333332</v>
      </c>
      <c r="BE55" s="54">
        <f t="shared" si="28"/>
        <v>22555555554</v>
      </c>
      <c r="BF55" s="54">
        <f t="shared" si="28"/>
        <v>21777777776</v>
      </c>
      <c r="BG55" s="54">
        <f t="shared" si="28"/>
        <v>20999999998</v>
      </c>
      <c r="BH55" s="54">
        <f t="shared" si="28"/>
        <v>20222222220</v>
      </c>
      <c r="BI55" s="54">
        <f t="shared" si="28"/>
        <v>19444444442</v>
      </c>
      <c r="BJ55" s="54">
        <f t="shared" si="28"/>
        <v>18666666664</v>
      </c>
      <c r="BK55" s="54">
        <f t="shared" si="28"/>
        <v>17888888886</v>
      </c>
      <c r="BL55" s="54">
        <f t="shared" ref="BL55:BM55" si="29">BL19+BL37</f>
        <v>16241237862</v>
      </c>
      <c r="BM55" s="54">
        <f t="shared" si="29"/>
        <v>15502999777</v>
      </c>
      <c r="BN55" s="54">
        <f t="shared" si="23"/>
        <v>14764761692</v>
      </c>
      <c r="BO55" s="54">
        <f t="shared" si="23"/>
        <v>14026523607</v>
      </c>
      <c r="BP55" s="54">
        <f t="shared" ref="BP55:BQ55" si="30">BP19+BP37</f>
        <v>13288285522</v>
      </c>
      <c r="BQ55" s="54">
        <f t="shared" si="30"/>
        <v>12550047437</v>
      </c>
      <c r="BR55" s="54"/>
      <c r="BS55" s="54"/>
      <c r="BT55" s="54"/>
      <c r="BU55" s="54"/>
      <c r="BV55" s="54"/>
      <c r="BW55" s="54"/>
    </row>
    <row r="56" spans="1:75">
      <c r="A56" s="186">
        <v>53</v>
      </c>
      <c r="B56" s="187" t="s">
        <v>466</v>
      </c>
      <c r="C56" s="186">
        <v>5</v>
      </c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>
        <f t="shared" si="9"/>
        <v>0</v>
      </c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>
        <f t="shared" si="10"/>
        <v>0</v>
      </c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>
        <f t="shared" si="11"/>
        <v>0</v>
      </c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</row>
    <row r="57" spans="1:75">
      <c r="A57" s="186">
        <v>54</v>
      </c>
      <c r="B57" s="104"/>
      <c r="C57" s="186">
        <v>5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50"/>
      <c r="BN57" s="50"/>
      <c r="BO57" s="32"/>
      <c r="BP57" s="32"/>
      <c r="BQ57" s="32"/>
      <c r="BR57" s="32"/>
      <c r="BS57" s="32"/>
      <c r="BT57" s="32"/>
      <c r="BU57" s="32"/>
      <c r="BV57" s="32"/>
      <c r="BW57" s="32"/>
    </row>
    <row r="58" spans="1:75" ht="15" thickBot="1">
      <c r="A58" s="190">
        <v>55</v>
      </c>
      <c r="B58" s="191" t="s">
        <v>472</v>
      </c>
      <c r="C58" s="186">
        <v>5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>
        <f>SUM(AZ59:AZ65)</f>
        <v>73639345359</v>
      </c>
      <c r="BA58" s="51">
        <f t="shared" ref="BA58:BQ58" si="31">SUM(BA59:BA65)</f>
        <v>30410651139</v>
      </c>
      <c r="BB58" s="51">
        <f t="shared" si="31"/>
        <v>23547721623</v>
      </c>
      <c r="BC58" s="51">
        <f t="shared" si="31"/>
        <v>37578534089</v>
      </c>
      <c r="BD58" s="51">
        <f t="shared" si="31"/>
        <v>21861177777</v>
      </c>
      <c r="BE58" s="51">
        <f t="shared" si="31"/>
        <v>32242479022</v>
      </c>
      <c r="BF58" s="51">
        <f t="shared" si="31"/>
        <v>30469385708</v>
      </c>
      <c r="BG58" s="51">
        <f t="shared" si="31"/>
        <v>29612209875</v>
      </c>
      <c r="BH58" s="51">
        <f t="shared" si="31"/>
        <v>64134112160</v>
      </c>
      <c r="BI58" s="51">
        <f t="shared" si="31"/>
        <v>33433975543</v>
      </c>
      <c r="BJ58" s="51">
        <f t="shared" si="31"/>
        <v>34956680570</v>
      </c>
      <c r="BK58" s="51">
        <f t="shared" si="31"/>
        <v>36691014506</v>
      </c>
      <c r="BL58" s="51">
        <f t="shared" si="31"/>
        <v>42014198362</v>
      </c>
      <c r="BM58" s="51">
        <f t="shared" si="31"/>
        <v>45813465266</v>
      </c>
      <c r="BN58" s="51">
        <f t="shared" si="31"/>
        <v>27265147323</v>
      </c>
      <c r="BO58" s="51">
        <f t="shared" si="31"/>
        <v>28523975907</v>
      </c>
      <c r="BP58" s="51">
        <f t="shared" si="31"/>
        <v>30566056956</v>
      </c>
      <c r="BQ58" s="51">
        <f t="shared" si="31"/>
        <v>26807084013</v>
      </c>
      <c r="BR58" s="51"/>
      <c r="BS58" s="51"/>
      <c r="BT58" s="51"/>
      <c r="BU58" s="51"/>
      <c r="BV58" s="51"/>
      <c r="BW58" s="51"/>
    </row>
    <row r="59" spans="1:75" ht="15" thickTop="1">
      <c r="A59" s="186">
        <v>56</v>
      </c>
      <c r="B59" s="187" t="str">
        <f t="shared" ref="B59:B64" si="32">B50</f>
        <v>ACB</v>
      </c>
      <c r="C59" s="186">
        <v>5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>
        <f t="shared" ref="AY59" si="33">AY50/AY$49</f>
        <v>0.54878417041894967</v>
      </c>
      <c r="AZ59" s="50">
        <v>58648683508</v>
      </c>
      <c r="BA59" s="50">
        <v>25301027162</v>
      </c>
      <c r="BB59" s="50">
        <v>5182368074</v>
      </c>
      <c r="BC59" s="50">
        <v>28891596246</v>
      </c>
      <c r="BD59" s="50">
        <v>13729382580</v>
      </c>
      <c r="BE59" s="50">
        <v>8995769374</v>
      </c>
      <c r="BF59" s="50">
        <v>26537551931</v>
      </c>
      <c r="BG59" s="50">
        <v>25669227891</v>
      </c>
      <c r="BH59" s="50">
        <v>26439534476</v>
      </c>
      <c r="BI59" s="50">
        <v>31733876465</v>
      </c>
      <c r="BJ59" s="50">
        <v>30130281623</v>
      </c>
      <c r="BK59" s="50">
        <v>21807135133</v>
      </c>
      <c r="BL59" s="50">
        <v>37923349135</v>
      </c>
      <c r="BM59" s="50">
        <v>18902268641</v>
      </c>
      <c r="BN59" s="50">
        <v>23645505388</v>
      </c>
      <c r="BO59" s="50">
        <v>19567436924</v>
      </c>
      <c r="BP59" s="50">
        <v>9671006782</v>
      </c>
      <c r="BQ59" s="50">
        <v>14079304875</v>
      </c>
      <c r="BR59" s="50"/>
      <c r="BS59" s="50"/>
      <c r="BT59" s="50"/>
      <c r="BU59" s="50"/>
      <c r="BV59" s="50"/>
      <c r="BW59" s="50"/>
    </row>
    <row r="60" spans="1:75">
      <c r="A60" s="186">
        <v>57</v>
      </c>
      <c r="B60" s="187" t="str">
        <f t="shared" si="32"/>
        <v>VietinBank</v>
      </c>
      <c r="C60" s="186">
        <v>5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>
        <f t="shared" ref="AY60" si="34">AY51/AY$49</f>
        <v>0.21496000833703041</v>
      </c>
      <c r="AZ60" s="50">
        <v>1613446550</v>
      </c>
      <c r="BA60" s="50">
        <v>5048205585</v>
      </c>
      <c r="BB60" s="50">
        <v>16713931194</v>
      </c>
      <c r="BC60" s="50">
        <v>7492325246</v>
      </c>
      <c r="BD60" s="50">
        <v>7972929849</v>
      </c>
      <c r="BE60" s="50">
        <v>19631631401</v>
      </c>
      <c r="BF60" s="50">
        <v>3485902518</v>
      </c>
      <c r="BG60" s="50">
        <v>1720562699</v>
      </c>
      <c r="BH60" s="50">
        <v>15252265881</v>
      </c>
      <c r="BI60" s="50">
        <v>1015804410</v>
      </c>
      <c r="BJ60" s="50">
        <v>993729880</v>
      </c>
      <c r="BK60" s="50">
        <v>4189726151</v>
      </c>
      <c r="BL60" s="50">
        <v>1442215095</v>
      </c>
      <c r="BM60" s="50">
        <v>12488317893</v>
      </c>
      <c r="BN60" s="50">
        <v>1160009935</v>
      </c>
      <c r="BO60" s="50">
        <v>1814829542</v>
      </c>
      <c r="BP60" s="50">
        <v>19780013288</v>
      </c>
      <c r="BQ60" s="50">
        <v>7754524872</v>
      </c>
      <c r="BR60" s="50"/>
      <c r="BS60" s="50"/>
      <c r="BT60" s="50"/>
      <c r="BU60" s="50"/>
      <c r="BV60" s="50"/>
      <c r="BW60" s="50"/>
    </row>
    <row r="61" spans="1:75">
      <c r="A61" s="186">
        <v>58</v>
      </c>
      <c r="B61" s="187" t="str">
        <f t="shared" si="32"/>
        <v>Vietcombank</v>
      </c>
      <c r="C61" s="186">
        <v>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>
        <f t="shared" ref="AY61" si="35">AY52/AY$49</f>
        <v>8.6259781290205034E-2</v>
      </c>
      <c r="AZ61" s="50">
        <v>3237003103</v>
      </c>
      <c r="BA61" s="50">
        <v>21086109</v>
      </c>
      <c r="BB61" s="50">
        <v>1611206376</v>
      </c>
      <c r="BC61" s="50">
        <v>155384520</v>
      </c>
      <c r="BD61" s="50">
        <v>70659853</v>
      </c>
      <c r="BE61" s="50">
        <v>2554028353</v>
      </c>
      <c r="BF61" s="50">
        <v>71365824</v>
      </c>
      <c r="BG61" s="50">
        <v>194091939</v>
      </c>
      <c r="BH61" s="50">
        <v>19192901465</v>
      </c>
      <c r="BI61" s="50">
        <v>317350360</v>
      </c>
      <c r="BJ61" s="50">
        <v>3290199707</v>
      </c>
      <c r="BK61" s="50">
        <v>6854820387</v>
      </c>
      <c r="BL61" s="50">
        <v>1885504640</v>
      </c>
      <c r="BM61" s="50">
        <v>451548992</v>
      </c>
      <c r="BN61" s="50">
        <v>358832456</v>
      </c>
      <c r="BO61" s="50">
        <v>218216391</v>
      </c>
      <c r="BP61" s="50">
        <v>371174482</v>
      </c>
      <c r="BQ61" s="50">
        <v>331508723</v>
      </c>
      <c r="BR61" s="50"/>
      <c r="BS61" s="50"/>
      <c r="BT61" s="50"/>
      <c r="BU61" s="50"/>
      <c r="BV61" s="50"/>
      <c r="BW61" s="50"/>
    </row>
    <row r="62" spans="1:75">
      <c r="A62" s="186">
        <v>59</v>
      </c>
      <c r="B62" s="187" t="str">
        <f t="shared" si="32"/>
        <v>BIDV</v>
      </c>
      <c r="C62" s="186">
        <v>5</v>
      </c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>
        <f t="shared" ref="AY62" si="36">AY53/AY$49</f>
        <v>5.1195918368754402E-2</v>
      </c>
      <c r="AZ62" s="50">
        <v>10139212198</v>
      </c>
      <c r="BA62" s="50">
        <v>39772283</v>
      </c>
      <c r="BB62" s="50">
        <v>39655979</v>
      </c>
      <c r="BC62" s="50">
        <v>38668077</v>
      </c>
      <c r="BD62" s="50">
        <v>37645495</v>
      </c>
      <c r="BE62" s="50">
        <v>1011232394</v>
      </c>
      <c r="BF62" s="50">
        <v>324747935</v>
      </c>
      <c r="BG62" s="50">
        <v>978509846</v>
      </c>
      <c r="BH62" s="50">
        <v>3199592838</v>
      </c>
      <c r="BI62" s="50">
        <v>317566808</v>
      </c>
      <c r="BJ62" s="50">
        <v>489771689</v>
      </c>
      <c r="BK62" s="50">
        <v>2766142960</v>
      </c>
      <c r="BL62" s="50">
        <v>692286808</v>
      </c>
      <c r="BM62" s="50">
        <v>13900927056</v>
      </c>
      <c r="BN62" s="50">
        <v>2030836860</v>
      </c>
      <c r="BO62" s="50">
        <v>6853530366</v>
      </c>
      <c r="BP62" s="50">
        <v>673899720</v>
      </c>
      <c r="BQ62" s="50">
        <v>4571782859</v>
      </c>
      <c r="BR62" s="50"/>
      <c r="BS62" s="50"/>
      <c r="BT62" s="50"/>
      <c r="BU62" s="50"/>
      <c r="BV62" s="50"/>
      <c r="BW62" s="50"/>
    </row>
    <row r="63" spans="1:75">
      <c r="A63" s="186">
        <v>60</v>
      </c>
      <c r="B63" s="187" t="str">
        <f t="shared" si="32"/>
        <v>Standard Chartered</v>
      </c>
      <c r="C63" s="186">
        <v>5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>
        <f t="shared" ref="AY63" si="37">AY54/AY$49</f>
        <v>0</v>
      </c>
      <c r="AZ63" s="50">
        <v>1000000</v>
      </c>
      <c r="BA63" s="50">
        <v>560000</v>
      </c>
      <c r="BB63" s="50">
        <v>560000</v>
      </c>
      <c r="BC63" s="50">
        <v>1000560000</v>
      </c>
      <c r="BD63" s="50">
        <v>50560000</v>
      </c>
      <c r="BE63" s="50">
        <v>49817500</v>
      </c>
      <c r="BF63" s="50">
        <v>49817500</v>
      </c>
      <c r="BG63" s="50">
        <v>1049817500</v>
      </c>
      <c r="BH63" s="50">
        <v>49817500</v>
      </c>
      <c r="BI63" s="50">
        <v>49377500</v>
      </c>
      <c r="BJ63" s="50">
        <v>52697671</v>
      </c>
      <c r="BK63" s="50">
        <v>1073189875</v>
      </c>
      <c r="BL63" s="50">
        <v>70842684</v>
      </c>
      <c r="BM63" s="50">
        <v>70402684</v>
      </c>
      <c r="BN63" s="50">
        <v>69962684</v>
      </c>
      <c r="BO63" s="50">
        <v>69962684</v>
      </c>
      <c r="BP63" s="50">
        <v>69962684</v>
      </c>
      <c r="BQ63" s="50">
        <v>69962684</v>
      </c>
      <c r="BR63" s="50"/>
      <c r="BS63" s="50"/>
      <c r="BT63" s="50"/>
      <c r="BU63" s="50"/>
      <c r="BV63" s="50"/>
      <c r="BW63" s="50"/>
    </row>
    <row r="64" spans="1:75">
      <c r="A64" s="186">
        <v>61</v>
      </c>
      <c r="B64" s="187" t="str">
        <f t="shared" si="32"/>
        <v>VILC</v>
      </c>
      <c r="C64" s="186">
        <v>5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>
        <f t="shared" ref="AY64" si="38">AY55/AY$49</f>
        <v>9.8800121585060435E-2</v>
      </c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</row>
    <row r="65" spans="1:75">
      <c r="A65" s="186">
        <v>62</v>
      </c>
      <c r="B65" s="187" t="s">
        <v>466</v>
      </c>
      <c r="C65" s="186">
        <v>5</v>
      </c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</row>
    <row r="66" spans="1:75">
      <c r="A66" s="186">
        <v>63</v>
      </c>
      <c r="B66" s="187"/>
      <c r="C66" s="186">
        <v>5</v>
      </c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</row>
    <row r="67" spans="1:75" ht="15" thickBot="1">
      <c r="A67" s="190">
        <v>64</v>
      </c>
      <c r="B67" s="191" t="s">
        <v>473</v>
      </c>
      <c r="C67" s="186">
        <v>5</v>
      </c>
      <c r="D67" s="525"/>
      <c r="E67" s="525"/>
      <c r="F67" s="525"/>
      <c r="G67" s="525"/>
      <c r="H67" s="525"/>
      <c r="I67" s="525"/>
      <c r="J67" s="525"/>
      <c r="K67" s="525"/>
      <c r="L67" s="525"/>
      <c r="M67" s="525"/>
      <c r="N67" s="525"/>
      <c r="O67" s="525"/>
      <c r="P67" s="525"/>
      <c r="Q67" s="525"/>
      <c r="R67" s="525"/>
      <c r="S67" s="525"/>
      <c r="T67" s="525"/>
      <c r="U67" s="525"/>
      <c r="V67" s="525"/>
      <c r="W67" s="525"/>
      <c r="X67" s="525"/>
      <c r="Y67" s="525"/>
      <c r="Z67" s="525"/>
      <c r="AA67" s="525"/>
      <c r="AB67" s="525"/>
      <c r="AC67" s="525"/>
      <c r="AD67" s="525"/>
      <c r="AE67" s="525"/>
      <c r="AF67" s="525"/>
      <c r="AG67" s="525"/>
      <c r="AH67" s="525"/>
      <c r="AI67" s="525"/>
      <c r="AJ67" s="525"/>
      <c r="AK67" s="525"/>
      <c r="AL67" s="525"/>
      <c r="AM67" s="525"/>
      <c r="AN67" s="525"/>
      <c r="AO67" s="525"/>
      <c r="AP67" s="525"/>
      <c r="AQ67" s="525"/>
      <c r="AR67" s="525"/>
      <c r="AS67" s="525"/>
      <c r="AT67" s="525"/>
      <c r="AU67" s="525"/>
      <c r="AV67" s="525"/>
      <c r="AW67" s="525"/>
      <c r="AX67" s="525"/>
      <c r="AY67" s="525"/>
      <c r="AZ67" s="525">
        <f>SUM(AZ68:AZ74)</f>
        <v>2840000000</v>
      </c>
      <c r="BA67" s="525">
        <f t="shared" ref="BA67:BQ67" si="39">SUM(BA68:BA74)</f>
        <v>2840000000</v>
      </c>
      <c r="BB67" s="525">
        <f t="shared" si="39"/>
        <v>22840000000</v>
      </c>
      <c r="BC67" s="525">
        <f t="shared" si="39"/>
        <v>22840000000</v>
      </c>
      <c r="BD67" s="525">
        <f t="shared" si="39"/>
        <v>22840000000</v>
      </c>
      <c r="BE67" s="525">
        <f t="shared" si="39"/>
        <v>22840000000</v>
      </c>
      <c r="BF67" s="525">
        <f t="shared" si="39"/>
        <v>22840000000</v>
      </c>
      <c r="BG67" s="525">
        <f t="shared" si="39"/>
        <v>22840000000</v>
      </c>
      <c r="BH67" s="525">
        <f t="shared" si="39"/>
        <v>22840000000</v>
      </c>
      <c r="BI67" s="525">
        <f t="shared" si="39"/>
        <v>52840000000</v>
      </c>
      <c r="BJ67" s="525">
        <f t="shared" si="39"/>
        <v>52840000000</v>
      </c>
      <c r="BK67" s="525">
        <f t="shared" si="39"/>
        <v>32840000000</v>
      </c>
      <c r="BL67" s="525">
        <f t="shared" si="39"/>
        <v>32840000000</v>
      </c>
      <c r="BM67" s="525">
        <f t="shared" si="39"/>
        <v>32840000000</v>
      </c>
      <c r="BN67" s="525">
        <f t="shared" si="39"/>
        <v>39040000000</v>
      </c>
      <c r="BO67" s="525">
        <f t="shared" si="39"/>
        <v>52640000000</v>
      </c>
      <c r="BP67" s="525">
        <f t="shared" si="39"/>
        <v>44640000000</v>
      </c>
      <c r="BQ67" s="525">
        <f t="shared" si="39"/>
        <v>49095263957</v>
      </c>
      <c r="BR67" s="525"/>
      <c r="BS67" s="525"/>
      <c r="BT67" s="525"/>
      <c r="BU67" s="525"/>
      <c r="BV67" s="525"/>
      <c r="BW67" s="525"/>
    </row>
    <row r="68" spans="1:75" ht="15" thickTop="1">
      <c r="A68" s="186">
        <v>65</v>
      </c>
      <c r="B68" s="187" t="str">
        <f t="shared" ref="B68:B73" si="40">B50</f>
        <v>ACB</v>
      </c>
      <c r="C68" s="186">
        <v>5</v>
      </c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>
        <v>2840000000</v>
      </c>
      <c r="BA68" s="50">
        <v>2840000000</v>
      </c>
      <c r="BB68" s="50">
        <v>2840000000</v>
      </c>
      <c r="BC68" s="50">
        <v>2840000000</v>
      </c>
      <c r="BD68" s="50">
        <v>2840000000</v>
      </c>
      <c r="BE68" s="50">
        <v>2840000000</v>
      </c>
      <c r="BF68" s="50">
        <v>2840000000</v>
      </c>
      <c r="BG68" s="50">
        <v>2840000000</v>
      </c>
      <c r="BH68" s="50">
        <v>2840000000</v>
      </c>
      <c r="BI68" s="50">
        <v>2840000000</v>
      </c>
      <c r="BJ68" s="50">
        <v>2840000000</v>
      </c>
      <c r="BK68" s="50">
        <v>2840000000</v>
      </c>
      <c r="BL68" s="50">
        <v>2840000000</v>
      </c>
      <c r="BM68" s="50">
        <v>2840000000</v>
      </c>
      <c r="BN68" s="50">
        <v>2840000000</v>
      </c>
      <c r="BO68" s="50">
        <v>4640000000</v>
      </c>
      <c r="BP68" s="50">
        <v>14640000000</v>
      </c>
      <c r="BQ68" s="50">
        <f>14640000000-10000000000</f>
        <v>4640000000</v>
      </c>
      <c r="BR68" s="50"/>
      <c r="BS68" s="50"/>
      <c r="BT68" s="50"/>
      <c r="BU68" s="50"/>
      <c r="BV68" s="50"/>
      <c r="BW68" s="50"/>
    </row>
    <row r="69" spans="1:75">
      <c r="A69" s="186">
        <v>66</v>
      </c>
      <c r="B69" s="187" t="str">
        <f t="shared" si="40"/>
        <v>VietinBank</v>
      </c>
      <c r="C69" s="186">
        <v>5</v>
      </c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</row>
    <row r="70" spans="1:75">
      <c r="A70" s="186">
        <v>67</v>
      </c>
      <c r="B70" s="187" t="str">
        <f t="shared" si="40"/>
        <v>Vietcombank</v>
      </c>
      <c r="C70" s="186">
        <v>5</v>
      </c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</row>
    <row r="71" spans="1:75">
      <c r="A71" s="186">
        <v>68</v>
      </c>
      <c r="B71" s="187" t="str">
        <f t="shared" si="40"/>
        <v>BIDV</v>
      </c>
      <c r="C71" s="186">
        <v>5</v>
      </c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>
        <v>20000000000</v>
      </c>
      <c r="BC71" s="50">
        <v>20000000000</v>
      </c>
      <c r="BD71" s="50">
        <v>20000000000</v>
      </c>
      <c r="BE71" s="50">
        <v>20000000000</v>
      </c>
      <c r="BF71" s="50">
        <v>20000000000</v>
      </c>
      <c r="BG71" s="50">
        <v>20000000000</v>
      </c>
      <c r="BH71" s="50">
        <v>20000000000</v>
      </c>
      <c r="BI71" s="50">
        <v>50000000000</v>
      </c>
      <c r="BJ71" s="50">
        <v>50000000000</v>
      </c>
      <c r="BK71" s="50">
        <v>30000000000</v>
      </c>
      <c r="BL71" s="50">
        <v>30000000000</v>
      </c>
      <c r="BM71" s="50">
        <v>30000000000</v>
      </c>
      <c r="BN71" s="50">
        <v>36200000000</v>
      </c>
      <c r="BO71" s="50">
        <v>48000000000</v>
      </c>
      <c r="BP71" s="50">
        <v>30000000000</v>
      </c>
      <c r="BQ71" s="50">
        <v>44455263957</v>
      </c>
      <c r="BR71" s="50"/>
      <c r="BS71" s="50"/>
      <c r="BT71" s="50"/>
      <c r="BU71" s="50"/>
      <c r="BV71" s="50"/>
      <c r="BW71" s="50"/>
    </row>
    <row r="72" spans="1:75">
      <c r="A72" s="186">
        <v>69</v>
      </c>
      <c r="B72" s="187" t="str">
        <f t="shared" si="40"/>
        <v>Standard Chartered</v>
      </c>
      <c r="C72" s="186">
        <v>5</v>
      </c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</row>
    <row r="73" spans="1:75">
      <c r="A73" s="186">
        <v>70</v>
      </c>
      <c r="B73" s="187" t="str">
        <f t="shared" si="40"/>
        <v>VILC</v>
      </c>
      <c r="C73" s="186">
        <v>5</v>
      </c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</row>
    <row r="74" spans="1:75">
      <c r="A74" s="186">
        <v>71</v>
      </c>
      <c r="B74" s="187" t="s">
        <v>466</v>
      </c>
      <c r="C74" s="186">
        <v>5</v>
      </c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</row>
  </sheetData>
  <sheetProtection algorithmName="SHA-512" hashValue="vNn3wPB/igUtyDFSOM5+36pW5o1JhEQqDAR8iMzXMcywnR5iWnlYqa6pICjvT69B2NchKOSbk6ImstwGOKbCfQ==" saltValue="mxbLE7sh2rzAmJ+tsPLh7w==" spinCount="100000" sheet="1" objects="1" scenarios="1"/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7293-9F43-4F19-BE52-95EEB643BCBE}">
  <sheetPr>
    <tabColor theme="9" tint="0.59999389629810485"/>
  </sheetPr>
  <dimension ref="A1:AG487"/>
  <sheetViews>
    <sheetView showGridLines="0" zoomScale="90" zoomScaleNormal="90" workbookViewId="0">
      <pane xSplit="5" ySplit="6" topLeftCell="F127" activePane="bottomRight" state="frozen"/>
      <selection pane="topRight" activeCell="D8" sqref="D8:E8"/>
      <selection pane="bottomLeft" activeCell="D8" sqref="D8:E8"/>
      <selection pane="bottomRight" activeCell="U159" sqref="U159"/>
    </sheetView>
  </sheetViews>
  <sheetFormatPr defaultColWidth="8.6640625" defaultRowHeight="13.2"/>
  <cols>
    <col min="1" max="1" width="3.44140625" style="379" customWidth="1"/>
    <col min="2" max="2" width="49.6640625" style="377" customWidth="1"/>
    <col min="3" max="3" width="13.44140625" style="377" bestFit="1" customWidth="1"/>
    <col min="4" max="4" width="22" style="377" bestFit="1" customWidth="1"/>
    <col min="5" max="5" width="8.33203125" style="377" customWidth="1"/>
    <col min="6" max="6" width="14.33203125" style="378" hidden="1" customWidth="1"/>
    <col min="7" max="7" width="14.6640625" style="377" hidden="1" customWidth="1"/>
    <col min="8" max="8" width="16.44140625" style="377" hidden="1" customWidth="1"/>
    <col min="9" max="10" width="17.44140625" style="377" hidden="1" customWidth="1"/>
    <col min="11" max="11" width="14.6640625" style="377" hidden="1" customWidth="1"/>
    <col min="12" max="12" width="17.44140625" style="377" hidden="1" customWidth="1"/>
    <col min="13" max="13" width="14.6640625" style="377" hidden="1" customWidth="1"/>
    <col min="14" max="16" width="17.44140625" style="377" hidden="1" customWidth="1"/>
    <col min="17" max="17" width="16.44140625" style="377" hidden="1" customWidth="1"/>
    <col min="18" max="18" width="17.5546875" style="378" hidden="1" customWidth="1"/>
    <col min="19" max="19" width="14.88671875" style="378" bestFit="1" customWidth="1"/>
    <col min="20" max="20" width="13.6640625" style="377" bestFit="1" customWidth="1"/>
    <col min="21" max="24" width="14.88671875" style="377" bestFit="1" customWidth="1"/>
    <col min="25" max="25" width="12.44140625" style="377" bestFit="1" customWidth="1"/>
    <col min="26" max="30" width="11.44140625" style="377" customWidth="1"/>
    <col min="31" max="31" width="17.5546875" style="378" bestFit="1" customWidth="1"/>
    <col min="32" max="32" width="16.33203125" style="377" customWidth="1"/>
    <col min="33" max="33" width="11.33203125" style="377" bestFit="1" customWidth="1"/>
    <col min="34" max="16384" width="8.6640625" style="377"/>
  </cols>
  <sheetData>
    <row r="1" spans="1:31">
      <c r="A1" s="376" t="str">
        <f>'Thong tin'!$A$1</f>
        <v>CÔNG TY CP NHỰA TÁI CHẾ DUY TÂN</v>
      </c>
      <c r="G1" s="445"/>
      <c r="T1" s="445"/>
    </row>
    <row r="2" spans="1:31" ht="13.35" customHeight="1">
      <c r="B2" s="380" t="s">
        <v>474</v>
      </c>
      <c r="C2" s="380"/>
      <c r="D2" s="380"/>
      <c r="E2" s="380"/>
      <c r="G2" s="445"/>
      <c r="H2" s="445"/>
      <c r="T2" s="445"/>
      <c r="U2" s="445"/>
    </row>
    <row r="3" spans="1:31">
      <c r="G3" s="445"/>
      <c r="H3" s="445"/>
      <c r="T3" s="445"/>
      <c r="U3" s="445"/>
    </row>
    <row r="4" spans="1:31">
      <c r="A4" s="381" t="s">
        <v>475</v>
      </c>
      <c r="B4" s="382" t="s">
        <v>476</v>
      </c>
      <c r="C4" s="382"/>
      <c r="D4" s="383"/>
      <c r="E4" s="383"/>
      <c r="H4" s="445"/>
      <c r="U4" s="445"/>
    </row>
    <row r="5" spans="1:31">
      <c r="F5" s="384" t="s">
        <v>477</v>
      </c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6"/>
      <c r="S5" s="384" t="s">
        <v>477</v>
      </c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6"/>
    </row>
    <row r="6" spans="1:31" s="392" customFormat="1" ht="26.25" customHeight="1">
      <c r="A6" s="387"/>
      <c r="B6" s="388" t="s">
        <v>478</v>
      </c>
      <c r="C6" s="388" t="s">
        <v>479</v>
      </c>
      <c r="D6" s="388" t="s">
        <v>480</v>
      </c>
      <c r="E6" s="389" t="s">
        <v>481</v>
      </c>
      <c r="F6" s="390" t="s">
        <v>482</v>
      </c>
      <c r="G6" s="390" t="s">
        <v>483</v>
      </c>
      <c r="H6" s="390" t="s">
        <v>484</v>
      </c>
      <c r="I6" s="390" t="s">
        <v>485</v>
      </c>
      <c r="J6" s="390" t="s">
        <v>486</v>
      </c>
      <c r="K6" s="390" t="s">
        <v>487</v>
      </c>
      <c r="L6" s="390" t="s">
        <v>488</v>
      </c>
      <c r="M6" s="390" t="s">
        <v>489</v>
      </c>
      <c r="N6" s="390" t="s">
        <v>490</v>
      </c>
      <c r="O6" s="390" t="s">
        <v>491</v>
      </c>
      <c r="P6" s="390" t="s">
        <v>492</v>
      </c>
      <c r="Q6" s="390" t="s">
        <v>493</v>
      </c>
      <c r="R6" s="391" t="s">
        <v>494</v>
      </c>
      <c r="S6" s="390" t="s">
        <v>482</v>
      </c>
      <c r="T6" s="390" t="s">
        <v>483</v>
      </c>
      <c r="U6" s="390" t="s">
        <v>484</v>
      </c>
      <c r="V6" s="390" t="s">
        <v>485</v>
      </c>
      <c r="W6" s="390" t="s">
        <v>486</v>
      </c>
      <c r="X6" s="390" t="s">
        <v>487</v>
      </c>
      <c r="Y6" s="390" t="s">
        <v>488</v>
      </c>
      <c r="Z6" s="390" t="s">
        <v>489</v>
      </c>
      <c r="AA6" s="390" t="s">
        <v>490</v>
      </c>
      <c r="AB6" s="390" t="s">
        <v>491</v>
      </c>
      <c r="AC6" s="390" t="s">
        <v>492</v>
      </c>
      <c r="AD6" s="390" t="s">
        <v>493</v>
      </c>
      <c r="AE6" s="391" t="s">
        <v>495</v>
      </c>
    </row>
    <row r="7" spans="1:31" s="392" customFormat="1">
      <c r="A7" s="393" t="s">
        <v>496</v>
      </c>
      <c r="B7" s="394" t="s">
        <v>497</v>
      </c>
      <c r="C7" s="394"/>
      <c r="D7" s="388"/>
      <c r="E7" s="395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7"/>
      <c r="S7" s="396"/>
      <c r="T7" s="396"/>
      <c r="U7" s="396"/>
      <c r="V7" s="396"/>
      <c r="W7" s="396"/>
      <c r="X7" s="396"/>
      <c r="Y7" s="396"/>
      <c r="Z7" s="396"/>
      <c r="AA7" s="396"/>
      <c r="AB7" s="396"/>
      <c r="AC7" s="396"/>
      <c r="AD7" s="396"/>
      <c r="AE7" s="397"/>
    </row>
    <row r="8" spans="1:31">
      <c r="A8" s="398">
        <v>1</v>
      </c>
      <c r="B8" s="399" t="s">
        <v>498</v>
      </c>
      <c r="C8" s="399" t="s">
        <v>499</v>
      </c>
      <c r="D8" s="400" t="s">
        <v>500</v>
      </c>
      <c r="E8" s="401">
        <v>511</v>
      </c>
      <c r="F8" s="402"/>
      <c r="G8" s="402"/>
      <c r="H8" s="402"/>
      <c r="I8" s="402"/>
      <c r="J8" s="403"/>
      <c r="K8" s="402"/>
      <c r="L8" s="402"/>
      <c r="M8" s="402"/>
      <c r="N8" s="402"/>
      <c r="O8" s="402"/>
      <c r="P8" s="402"/>
      <c r="Q8" s="402"/>
      <c r="R8" s="404"/>
      <c r="S8" s="402"/>
      <c r="T8" s="402"/>
      <c r="U8" s="402"/>
      <c r="V8" s="402"/>
      <c r="W8" s="403"/>
      <c r="X8" s="402"/>
      <c r="Y8" s="402"/>
      <c r="Z8" s="402"/>
      <c r="AA8" s="402"/>
      <c r="AB8" s="402"/>
      <c r="AC8" s="402"/>
      <c r="AD8" s="402"/>
      <c r="AE8" s="404">
        <f>SUM(S8:AD8)</f>
        <v>0</v>
      </c>
    </row>
    <row r="9" spans="1:31">
      <c r="A9" s="405"/>
      <c r="B9" s="406"/>
      <c r="C9" s="406"/>
      <c r="D9" s="407" t="s">
        <v>501</v>
      </c>
      <c r="E9" s="408">
        <v>511</v>
      </c>
      <c r="F9" s="402"/>
      <c r="G9" s="402"/>
      <c r="H9" s="402"/>
      <c r="I9" s="402"/>
      <c r="J9" s="402"/>
      <c r="K9" s="402"/>
      <c r="L9" s="402"/>
      <c r="M9" s="402"/>
      <c r="N9" s="402"/>
      <c r="O9" s="402"/>
      <c r="P9" s="402"/>
      <c r="Q9" s="402"/>
      <c r="R9" s="404"/>
      <c r="S9" s="402"/>
      <c r="T9" s="402"/>
      <c r="U9" s="402"/>
      <c r="V9" s="402"/>
      <c r="W9" s="402"/>
      <c r="X9" s="402"/>
      <c r="Y9" s="402"/>
      <c r="Z9" s="402"/>
      <c r="AA9" s="402"/>
      <c r="AB9" s="402"/>
      <c r="AC9" s="402"/>
      <c r="AD9" s="402"/>
      <c r="AE9" s="404">
        <f t="shared" ref="AE9:AE83" si="0">SUM(S9:AD9)</f>
        <v>0</v>
      </c>
    </row>
    <row r="10" spans="1:31">
      <c r="A10" s="405"/>
      <c r="B10" s="406"/>
      <c r="C10" s="409"/>
      <c r="D10" s="409" t="s">
        <v>502</v>
      </c>
      <c r="E10" s="410">
        <v>711</v>
      </c>
      <c r="F10" s="402"/>
      <c r="G10" s="402"/>
      <c r="H10" s="402"/>
      <c r="I10" s="402"/>
      <c r="J10" s="402"/>
      <c r="K10" s="402"/>
      <c r="L10" s="402"/>
      <c r="M10" s="402"/>
      <c r="N10" s="402"/>
      <c r="O10" s="402"/>
      <c r="P10" s="402"/>
      <c r="Q10" s="402"/>
      <c r="R10" s="404"/>
      <c r="S10" s="402"/>
      <c r="T10" s="402"/>
      <c r="U10" s="402"/>
      <c r="V10" s="402"/>
      <c r="W10" s="402"/>
      <c r="X10" s="402"/>
      <c r="Y10" s="402"/>
      <c r="Z10" s="402"/>
      <c r="AA10" s="402"/>
      <c r="AB10" s="402"/>
      <c r="AC10" s="402"/>
      <c r="AD10" s="402"/>
      <c r="AE10" s="404">
        <f t="shared" si="0"/>
        <v>0</v>
      </c>
    </row>
    <row r="11" spans="1:31">
      <c r="A11" s="411"/>
      <c r="B11" s="406"/>
      <c r="C11" s="406"/>
      <c r="D11" s="406" t="s">
        <v>503</v>
      </c>
      <c r="E11" s="410">
        <v>515</v>
      </c>
      <c r="F11" s="402">
        <v>73041096</v>
      </c>
      <c r="G11" s="402">
        <v>50598630</v>
      </c>
      <c r="H11" s="402">
        <v>20086301</v>
      </c>
      <c r="I11" s="402">
        <v>9719178</v>
      </c>
      <c r="J11" s="402"/>
      <c r="K11" s="402"/>
      <c r="L11" s="402"/>
      <c r="M11" s="402"/>
      <c r="N11" s="402">
        <v>312854795</v>
      </c>
      <c r="O11" s="402">
        <v>521424658</v>
      </c>
      <c r="P11" s="402">
        <v>262136986</v>
      </c>
      <c r="Q11" s="402"/>
      <c r="R11" s="404"/>
      <c r="S11" s="402"/>
      <c r="T11" s="402"/>
      <c r="U11" s="402"/>
      <c r="V11" s="402"/>
      <c r="W11" s="402"/>
      <c r="X11" s="402"/>
      <c r="Y11" s="402"/>
      <c r="Z11" s="402"/>
      <c r="AA11" s="402"/>
      <c r="AB11" s="402"/>
      <c r="AC11" s="402"/>
      <c r="AD11" s="402"/>
      <c r="AE11" s="404">
        <f t="shared" si="0"/>
        <v>0</v>
      </c>
    </row>
    <row r="12" spans="1:31">
      <c r="A12" s="411"/>
      <c r="B12" s="406"/>
      <c r="C12" s="406"/>
      <c r="D12" s="406" t="s">
        <v>504</v>
      </c>
      <c r="E12" s="410">
        <v>112</v>
      </c>
      <c r="F12" s="402"/>
      <c r="G12" s="402"/>
      <c r="H12" s="402"/>
      <c r="I12" s="402"/>
      <c r="J12" s="402"/>
      <c r="K12" s="402"/>
      <c r="L12" s="402"/>
      <c r="M12" s="402"/>
      <c r="N12" s="402"/>
      <c r="O12" s="402"/>
      <c r="P12" s="402"/>
      <c r="Q12" s="402"/>
      <c r="R12" s="404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4">
        <f t="shared" si="0"/>
        <v>0</v>
      </c>
    </row>
    <row r="13" spans="1:31">
      <c r="A13" s="411"/>
      <c r="B13" s="406"/>
      <c r="C13" s="406"/>
      <c r="D13" s="412" t="s">
        <v>505</v>
      </c>
      <c r="E13" s="413">
        <v>511</v>
      </c>
      <c r="F13" s="402"/>
      <c r="G13" s="402"/>
      <c r="H13" s="402"/>
      <c r="I13" s="402"/>
      <c r="J13" s="402"/>
      <c r="K13" s="402"/>
      <c r="L13" s="402"/>
      <c r="M13" s="402"/>
      <c r="N13" s="402"/>
      <c r="O13" s="402"/>
      <c r="P13" s="402"/>
      <c r="Q13" s="402"/>
      <c r="R13" s="404"/>
      <c r="S13" s="402"/>
      <c r="T13" s="402"/>
      <c r="U13" s="402"/>
      <c r="V13" s="402"/>
      <c r="W13" s="402"/>
      <c r="X13" s="402"/>
      <c r="Y13" s="402"/>
      <c r="Z13" s="402"/>
      <c r="AA13" s="402"/>
      <c r="AB13" s="402"/>
      <c r="AC13" s="402"/>
      <c r="AD13" s="402"/>
      <c r="AE13" s="404">
        <f t="shared" si="0"/>
        <v>0</v>
      </c>
    </row>
    <row r="14" spans="1:31">
      <c r="A14" s="554"/>
      <c r="B14" s="409"/>
      <c r="C14" s="477"/>
      <c r="D14" s="426" t="s">
        <v>506</v>
      </c>
      <c r="E14" s="413">
        <v>511</v>
      </c>
      <c r="F14" s="402">
        <v>15370200</v>
      </c>
      <c r="G14" s="555"/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428"/>
      <c r="S14" s="555"/>
      <c r="T14" s="555"/>
      <c r="U14" s="555"/>
      <c r="V14" s="555"/>
      <c r="W14" s="555"/>
      <c r="X14" s="555"/>
      <c r="Y14" s="555"/>
      <c r="Z14" s="555"/>
      <c r="AA14" s="555"/>
      <c r="AB14" s="555"/>
      <c r="AC14" s="555"/>
      <c r="AD14" s="555"/>
      <c r="AE14" s="428"/>
    </row>
    <row r="15" spans="1:31">
      <c r="A15" s="414"/>
      <c r="B15" s="415"/>
      <c r="C15" s="453"/>
      <c r="D15" s="416" t="s">
        <v>507</v>
      </c>
      <c r="E15" s="417" t="s">
        <v>508</v>
      </c>
      <c r="F15" s="418"/>
      <c r="G15" s="418"/>
      <c r="H15" s="418"/>
      <c r="I15" s="418"/>
      <c r="J15" s="418"/>
      <c r="K15" s="418"/>
      <c r="L15" s="418"/>
      <c r="M15" s="418"/>
      <c r="N15" s="418"/>
      <c r="O15" s="418"/>
      <c r="P15" s="418"/>
      <c r="Q15" s="418"/>
      <c r="R15" s="419"/>
      <c r="S15" s="418"/>
      <c r="T15" s="418"/>
      <c r="U15" s="418"/>
      <c r="V15" s="418"/>
      <c r="W15" s="418"/>
      <c r="X15" s="418"/>
      <c r="Y15" s="418"/>
      <c r="Z15" s="418"/>
      <c r="AA15" s="418"/>
      <c r="AB15" s="418"/>
      <c r="AC15" s="418"/>
      <c r="AD15" s="418"/>
      <c r="AE15" s="419">
        <f t="shared" si="0"/>
        <v>0</v>
      </c>
    </row>
    <row r="16" spans="1:31">
      <c r="A16" s="558">
        <v>2</v>
      </c>
      <c r="B16" s="559" t="s">
        <v>509</v>
      </c>
      <c r="C16" s="560" t="s">
        <v>510</v>
      </c>
      <c r="D16" s="559" t="s">
        <v>500</v>
      </c>
      <c r="E16" s="561">
        <v>511</v>
      </c>
      <c r="F16" s="402"/>
      <c r="G16" s="402"/>
      <c r="H16" s="402"/>
      <c r="I16" s="402"/>
      <c r="J16" s="403"/>
      <c r="K16" s="402"/>
      <c r="L16" s="402"/>
      <c r="M16" s="402"/>
      <c r="N16" s="402"/>
      <c r="O16" s="402"/>
      <c r="P16" s="402"/>
      <c r="Q16" s="402"/>
      <c r="R16" s="404"/>
      <c r="S16" s="402"/>
      <c r="T16" s="402"/>
      <c r="U16" s="402"/>
      <c r="V16" s="402"/>
      <c r="W16" s="403"/>
      <c r="X16" s="402"/>
      <c r="Y16" s="402"/>
      <c r="Z16" s="402"/>
      <c r="AA16" s="402"/>
      <c r="AB16" s="402"/>
      <c r="AC16" s="402"/>
      <c r="AD16" s="402"/>
      <c r="AE16" s="404">
        <f t="shared" si="0"/>
        <v>0</v>
      </c>
    </row>
    <row r="17" spans="1:31">
      <c r="A17" s="398"/>
      <c r="B17" s="412"/>
      <c r="C17" s="420"/>
      <c r="D17" s="412" t="s">
        <v>511</v>
      </c>
      <c r="E17" s="408">
        <v>511</v>
      </c>
      <c r="F17" s="421"/>
      <c r="G17" s="422"/>
      <c r="H17" s="422"/>
      <c r="I17" s="422"/>
      <c r="J17" s="422"/>
      <c r="K17" s="422"/>
      <c r="L17" s="422"/>
      <c r="M17" s="422"/>
      <c r="N17" s="422"/>
      <c r="O17" s="422"/>
      <c r="P17" s="422"/>
      <c r="Q17" s="422"/>
      <c r="R17" s="404"/>
      <c r="S17" s="421"/>
      <c r="T17" s="422"/>
      <c r="U17" s="422"/>
      <c r="V17" s="422"/>
      <c r="W17" s="422"/>
      <c r="X17" s="422"/>
      <c r="Y17" s="422"/>
      <c r="Z17" s="422"/>
      <c r="AA17" s="422"/>
      <c r="AB17" s="422"/>
      <c r="AC17" s="422"/>
      <c r="AD17" s="422"/>
      <c r="AE17" s="404">
        <f t="shared" si="0"/>
        <v>0</v>
      </c>
    </row>
    <row r="18" spans="1:31">
      <c r="A18" s="398"/>
      <c r="B18" s="412"/>
      <c r="C18" s="420"/>
      <c r="D18" s="412" t="s">
        <v>501</v>
      </c>
      <c r="E18" s="408">
        <v>511</v>
      </c>
      <c r="F18" s="422"/>
      <c r="G18" s="422"/>
      <c r="H18" s="422"/>
      <c r="I18" s="422"/>
      <c r="J18" s="422"/>
      <c r="K18" s="422"/>
      <c r="L18" s="422"/>
      <c r="M18" s="422"/>
      <c r="N18" s="422"/>
      <c r="O18" s="422"/>
      <c r="P18" s="422"/>
      <c r="Q18" s="422"/>
      <c r="R18" s="404"/>
      <c r="S18" s="422"/>
      <c r="T18" s="422"/>
      <c r="U18" s="422"/>
      <c r="V18" s="422"/>
      <c r="W18" s="422"/>
      <c r="X18" s="422"/>
      <c r="Y18" s="422"/>
      <c r="Z18" s="422"/>
      <c r="AA18" s="422"/>
      <c r="AB18" s="422"/>
      <c r="AC18" s="422"/>
      <c r="AD18" s="422"/>
      <c r="AE18" s="404">
        <f t="shared" si="0"/>
        <v>0</v>
      </c>
    </row>
    <row r="19" spans="1:31">
      <c r="A19" s="423"/>
      <c r="B19" s="412"/>
      <c r="C19" s="420"/>
      <c r="D19" s="412" t="s">
        <v>512</v>
      </c>
      <c r="E19" s="413">
        <v>511</v>
      </c>
      <c r="F19" s="422"/>
      <c r="G19" s="422"/>
      <c r="H19" s="422"/>
      <c r="I19" s="422"/>
      <c r="J19" s="422"/>
      <c r="K19" s="422"/>
      <c r="L19" s="422"/>
      <c r="M19" s="422"/>
      <c r="N19" s="422"/>
      <c r="O19" s="422"/>
      <c r="P19" s="422"/>
      <c r="Q19" s="422"/>
      <c r="R19" s="404"/>
      <c r="S19" s="422"/>
      <c r="T19" s="422"/>
      <c r="U19" s="422"/>
      <c r="V19" s="422"/>
      <c r="W19" s="422"/>
      <c r="X19" s="422"/>
      <c r="Y19" s="422"/>
      <c r="Z19" s="422"/>
      <c r="AA19" s="422"/>
      <c r="AB19" s="422"/>
      <c r="AC19" s="422"/>
      <c r="AD19" s="422"/>
      <c r="AE19" s="404">
        <f t="shared" si="0"/>
        <v>0</v>
      </c>
    </row>
    <row r="20" spans="1:31">
      <c r="A20" s="423"/>
      <c r="B20" s="412"/>
      <c r="C20" s="420"/>
      <c r="D20" s="412" t="s">
        <v>513</v>
      </c>
      <c r="E20" s="413">
        <v>511</v>
      </c>
      <c r="F20" s="422"/>
      <c r="G20" s="422"/>
      <c r="H20" s="422"/>
      <c r="I20" s="422"/>
      <c r="J20" s="422"/>
      <c r="K20" s="422"/>
      <c r="L20" s="422"/>
      <c r="M20" s="422"/>
      <c r="N20" s="422"/>
      <c r="O20" s="422"/>
      <c r="P20" s="422"/>
      <c r="Q20" s="422"/>
      <c r="R20" s="404"/>
      <c r="S20" s="422"/>
      <c r="T20" s="422"/>
      <c r="U20" s="422"/>
      <c r="V20" s="422"/>
      <c r="W20" s="422"/>
      <c r="X20" s="422"/>
      <c r="Y20" s="422"/>
      <c r="Z20" s="422"/>
      <c r="AA20" s="422"/>
      <c r="AB20" s="422"/>
      <c r="AC20" s="422"/>
      <c r="AD20" s="422"/>
      <c r="AE20" s="404">
        <f t="shared" si="0"/>
        <v>0</v>
      </c>
    </row>
    <row r="21" spans="1:31">
      <c r="A21" s="423"/>
      <c r="B21" s="412"/>
      <c r="C21" s="420"/>
      <c r="D21" s="412" t="s">
        <v>502</v>
      </c>
      <c r="E21" s="413">
        <v>711</v>
      </c>
      <c r="F21" s="422"/>
      <c r="G21" s="422"/>
      <c r="H21" s="422"/>
      <c r="I21" s="422"/>
      <c r="J21" s="422"/>
      <c r="K21" s="422"/>
      <c r="L21" s="422"/>
      <c r="M21" s="422"/>
      <c r="N21" s="422"/>
      <c r="O21" s="422"/>
      <c r="P21" s="422"/>
      <c r="Q21" s="422"/>
      <c r="R21" s="404"/>
      <c r="S21" s="422"/>
      <c r="T21" s="422"/>
      <c r="U21" s="422"/>
      <c r="V21" s="422"/>
      <c r="W21" s="422"/>
      <c r="X21" s="422"/>
      <c r="Y21" s="422"/>
      <c r="Z21" s="422"/>
      <c r="AA21" s="422"/>
      <c r="AB21" s="422"/>
      <c r="AC21" s="422"/>
      <c r="AD21" s="422"/>
      <c r="AE21" s="404">
        <f t="shared" si="0"/>
        <v>0</v>
      </c>
    </row>
    <row r="22" spans="1:31">
      <c r="A22" s="423"/>
      <c r="B22" s="412"/>
      <c r="C22" s="513"/>
      <c r="D22" s="424" t="s">
        <v>514</v>
      </c>
      <c r="E22" s="408">
        <v>511</v>
      </c>
      <c r="F22" s="422"/>
      <c r="G22" s="422"/>
      <c r="H22" s="422"/>
      <c r="I22" s="422"/>
      <c r="J22" s="422"/>
      <c r="K22" s="422"/>
      <c r="L22" s="422"/>
      <c r="M22" s="422"/>
      <c r="N22" s="422"/>
      <c r="O22" s="422"/>
      <c r="P22" s="422"/>
      <c r="Q22" s="422"/>
      <c r="R22" s="404"/>
      <c r="S22" s="422"/>
      <c r="T22" s="422"/>
      <c r="U22" s="422"/>
      <c r="V22" s="422"/>
      <c r="W22" s="422"/>
      <c r="X22" s="422"/>
      <c r="Y22" s="422"/>
      <c r="Z22" s="422"/>
      <c r="AA22" s="422"/>
      <c r="AB22" s="422"/>
      <c r="AC22" s="422"/>
      <c r="AD22" s="422"/>
      <c r="AE22" s="404">
        <f t="shared" si="0"/>
        <v>0</v>
      </c>
    </row>
    <row r="23" spans="1:31">
      <c r="A23" s="425"/>
      <c r="B23" s="434"/>
      <c r="C23" s="514"/>
      <c r="D23" s="426" t="s">
        <v>507</v>
      </c>
      <c r="E23" s="417" t="s">
        <v>508</v>
      </c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8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8">
        <f t="shared" si="0"/>
        <v>0</v>
      </c>
    </row>
    <row r="24" spans="1:31">
      <c r="A24" s="558">
        <v>3</v>
      </c>
      <c r="B24" s="559" t="s">
        <v>515</v>
      </c>
      <c r="C24" s="560" t="s">
        <v>516</v>
      </c>
      <c r="D24" s="559" t="s">
        <v>500</v>
      </c>
      <c r="E24" s="561">
        <v>511</v>
      </c>
      <c r="F24" s="562"/>
      <c r="G24" s="562"/>
      <c r="H24" s="562"/>
      <c r="I24" s="562"/>
      <c r="J24" s="562"/>
      <c r="K24" s="562"/>
      <c r="L24" s="562"/>
      <c r="M24" s="562"/>
      <c r="N24" s="562"/>
      <c r="O24" s="562"/>
      <c r="P24" s="562"/>
      <c r="Q24" s="562">
        <v>112675000</v>
      </c>
      <c r="R24" s="563"/>
      <c r="S24" s="562">
        <v>329850000</v>
      </c>
      <c r="T24" s="562"/>
      <c r="U24" s="562">
        <v>329200000</v>
      </c>
      <c r="V24" s="562"/>
      <c r="W24" s="584">
        <v>-663775000</v>
      </c>
      <c r="X24" s="584">
        <v>17946500</v>
      </c>
      <c r="Y24" s="562"/>
      <c r="Z24" s="562"/>
      <c r="AA24" s="562"/>
      <c r="AB24" s="562"/>
      <c r="AC24" s="562"/>
      <c r="AD24" s="562"/>
      <c r="AE24" s="563">
        <f t="shared" si="0"/>
        <v>13221500</v>
      </c>
    </row>
    <row r="25" spans="1:31">
      <c r="A25" s="423"/>
      <c r="B25" s="412"/>
      <c r="C25" s="420"/>
      <c r="D25" s="412" t="s">
        <v>511</v>
      </c>
      <c r="E25" s="408">
        <v>511</v>
      </c>
      <c r="F25" s="421"/>
      <c r="G25" s="422"/>
      <c r="H25" s="422"/>
      <c r="I25" s="422"/>
      <c r="J25" s="422"/>
      <c r="K25" s="422"/>
      <c r="L25" s="422"/>
      <c r="M25" s="422"/>
      <c r="N25" s="422"/>
      <c r="O25" s="422"/>
      <c r="P25" s="422"/>
      <c r="Q25" s="422"/>
      <c r="R25" s="404"/>
      <c r="S25" s="421"/>
      <c r="T25" s="422"/>
      <c r="U25" s="422"/>
      <c r="V25" s="422"/>
      <c r="W25" s="422"/>
      <c r="X25" s="422"/>
      <c r="Y25" s="422"/>
      <c r="Z25" s="422"/>
      <c r="AA25" s="422"/>
      <c r="AB25" s="422"/>
      <c r="AC25" s="422"/>
      <c r="AD25" s="422"/>
      <c r="AE25" s="404">
        <f t="shared" si="0"/>
        <v>0</v>
      </c>
    </row>
    <row r="26" spans="1:31">
      <c r="A26" s="423"/>
      <c r="B26" s="412"/>
      <c r="C26" s="420"/>
      <c r="D26" s="412" t="s">
        <v>501</v>
      </c>
      <c r="E26" s="408">
        <v>511</v>
      </c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04"/>
      <c r="S26" s="422"/>
      <c r="T26" s="422">
        <v>41403854</v>
      </c>
      <c r="U26" s="422"/>
      <c r="V26" s="422"/>
      <c r="W26" s="422"/>
      <c r="X26" s="422">
        <v>55500000</v>
      </c>
      <c r="Y26" s="422"/>
      <c r="Z26" s="422"/>
      <c r="AA26" s="422"/>
      <c r="AB26" s="422"/>
      <c r="AC26" s="422"/>
      <c r="AD26" s="422"/>
      <c r="AE26" s="404">
        <f t="shared" si="0"/>
        <v>96903854</v>
      </c>
    </row>
    <row r="27" spans="1:31">
      <c r="A27" s="423"/>
      <c r="B27" s="412"/>
      <c r="C27" s="420"/>
      <c r="D27" s="412" t="s">
        <v>517</v>
      </c>
      <c r="E27" s="413">
        <v>511</v>
      </c>
      <c r="F27" s="422"/>
      <c r="G27" s="422"/>
      <c r="H27" s="422"/>
      <c r="I27" s="422"/>
      <c r="J27" s="422"/>
      <c r="K27" s="422"/>
      <c r="L27" s="422"/>
      <c r="M27" s="422"/>
      <c r="N27" s="422"/>
      <c r="O27" s="422"/>
      <c r="P27" s="422"/>
      <c r="Q27" s="422"/>
      <c r="R27" s="404"/>
      <c r="S27" s="422"/>
      <c r="T27" s="422"/>
      <c r="U27" s="422"/>
      <c r="V27" s="422"/>
      <c r="W27" s="422"/>
      <c r="X27" s="422"/>
      <c r="Y27" s="422"/>
      <c r="Z27" s="422"/>
      <c r="AA27" s="422"/>
      <c r="AB27" s="422"/>
      <c r="AC27" s="422"/>
      <c r="AD27" s="422"/>
      <c r="AE27" s="404">
        <f t="shared" si="0"/>
        <v>0</v>
      </c>
    </row>
    <row r="28" spans="1:31">
      <c r="A28" s="423"/>
      <c r="B28" s="412"/>
      <c r="C28" s="420"/>
      <c r="D28" s="412" t="s">
        <v>513</v>
      </c>
      <c r="E28" s="413">
        <v>511</v>
      </c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04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04">
        <f t="shared" si="0"/>
        <v>0</v>
      </c>
    </row>
    <row r="29" spans="1:31">
      <c r="A29" s="423"/>
      <c r="B29" s="412"/>
      <c r="C29" s="420"/>
      <c r="D29" s="412" t="s">
        <v>502</v>
      </c>
      <c r="E29" s="413">
        <v>711</v>
      </c>
      <c r="F29" s="422"/>
      <c r="G29" s="422"/>
      <c r="H29" s="422"/>
      <c r="I29" s="427">
        <v>480000000</v>
      </c>
      <c r="J29" s="422"/>
      <c r="K29" s="422"/>
      <c r="L29" s="422"/>
      <c r="M29" s="422"/>
      <c r="N29" s="422"/>
      <c r="O29" s="422"/>
      <c r="P29" s="422"/>
      <c r="Q29" s="422"/>
      <c r="R29" s="404"/>
      <c r="S29" s="422"/>
      <c r="T29" s="422"/>
      <c r="U29" s="422">
        <v>2074074</v>
      </c>
      <c r="V29" s="427">
        <v>3800000</v>
      </c>
      <c r="W29" s="422"/>
      <c r="X29" s="422"/>
      <c r="Y29" s="422"/>
      <c r="Z29" s="422"/>
      <c r="AA29" s="422"/>
      <c r="AB29" s="422"/>
      <c r="AC29" s="422"/>
      <c r="AD29" s="422"/>
      <c r="AE29" s="404">
        <f t="shared" si="0"/>
        <v>5874074</v>
      </c>
    </row>
    <row r="30" spans="1:31">
      <c r="A30" s="558">
        <v>4</v>
      </c>
      <c r="B30" s="559" t="s">
        <v>518</v>
      </c>
      <c r="C30" s="560" t="s">
        <v>519</v>
      </c>
      <c r="D30" s="559" t="s">
        <v>500</v>
      </c>
      <c r="E30" s="561">
        <v>511</v>
      </c>
      <c r="F30" s="562"/>
      <c r="G30" s="562"/>
      <c r="H30" s="562"/>
      <c r="I30" s="562"/>
      <c r="J30" s="562"/>
      <c r="K30" s="562"/>
      <c r="L30" s="562"/>
      <c r="M30" s="562"/>
      <c r="N30" s="562"/>
      <c r="O30" s="562"/>
      <c r="P30" s="562"/>
      <c r="Q30" s="562"/>
      <c r="R30" s="563"/>
      <c r="S30" s="562"/>
      <c r="T30" s="562"/>
      <c r="U30" s="562"/>
      <c r="V30" s="562"/>
      <c r="W30" s="562"/>
      <c r="X30" s="562"/>
      <c r="Y30" s="562"/>
      <c r="Z30" s="562"/>
      <c r="AA30" s="562"/>
      <c r="AB30" s="562"/>
      <c r="AC30" s="562"/>
      <c r="AD30" s="562"/>
      <c r="AE30" s="563">
        <f t="shared" si="0"/>
        <v>0</v>
      </c>
    </row>
    <row r="31" spans="1:31">
      <c r="A31" s="423"/>
      <c r="B31" s="412"/>
      <c r="C31" s="420"/>
      <c r="D31" s="412" t="s">
        <v>511</v>
      </c>
      <c r="E31" s="413">
        <v>511</v>
      </c>
      <c r="F31" s="422"/>
      <c r="G31" s="422"/>
      <c r="H31" s="422"/>
      <c r="I31" s="422"/>
      <c r="J31" s="422"/>
      <c r="K31" s="422"/>
      <c r="L31" s="422"/>
      <c r="M31" s="422"/>
      <c r="N31" s="422"/>
      <c r="O31" s="422"/>
      <c r="P31" s="422"/>
      <c r="Q31" s="422"/>
      <c r="R31" s="404"/>
      <c r="S31" s="422"/>
      <c r="T31" s="422"/>
      <c r="U31" s="422"/>
      <c r="V31" s="422"/>
      <c r="W31" s="422"/>
      <c r="X31" s="422"/>
      <c r="Y31" s="422"/>
      <c r="Z31" s="422"/>
      <c r="AA31" s="422"/>
      <c r="AB31" s="422"/>
      <c r="AC31" s="422"/>
      <c r="AD31" s="422"/>
      <c r="AE31" s="404">
        <f t="shared" si="0"/>
        <v>0</v>
      </c>
    </row>
    <row r="32" spans="1:31">
      <c r="A32" s="423"/>
      <c r="B32" s="412"/>
      <c r="C32" s="420"/>
      <c r="D32" s="412" t="s">
        <v>501</v>
      </c>
      <c r="E32" s="413">
        <v>511</v>
      </c>
      <c r="F32" s="422"/>
      <c r="G32" s="422"/>
      <c r="H32" s="422"/>
      <c r="I32" s="422"/>
      <c r="J32" s="422"/>
      <c r="K32" s="422"/>
      <c r="L32" s="422"/>
      <c r="M32" s="422"/>
      <c r="N32" s="422"/>
      <c r="O32" s="422"/>
      <c r="P32" s="422"/>
      <c r="Q32" s="422"/>
      <c r="R32" s="404"/>
      <c r="S32" s="422"/>
      <c r="T32" s="422"/>
      <c r="U32" s="422"/>
      <c r="V32" s="422"/>
      <c r="W32" s="422">
        <v>9960000</v>
      </c>
      <c r="X32" s="422"/>
      <c r="Y32" s="422"/>
      <c r="Z32" s="422"/>
      <c r="AA32" s="422"/>
      <c r="AB32" s="422"/>
      <c r="AC32" s="422"/>
      <c r="AD32" s="422"/>
      <c r="AE32" s="404">
        <f t="shared" si="0"/>
        <v>9960000</v>
      </c>
    </row>
    <row r="33" spans="1:32">
      <c r="A33" s="423"/>
      <c r="B33" s="412"/>
      <c r="C33" s="420"/>
      <c r="D33" s="412" t="s">
        <v>512</v>
      </c>
      <c r="E33" s="413">
        <v>511</v>
      </c>
      <c r="F33" s="422"/>
      <c r="G33" s="422"/>
      <c r="H33" s="422"/>
      <c r="I33" s="422"/>
      <c r="J33" s="422"/>
      <c r="K33" s="422"/>
      <c r="L33" s="422"/>
      <c r="M33" s="422"/>
      <c r="N33" s="422"/>
      <c r="O33" s="422"/>
      <c r="P33" s="422"/>
      <c r="Q33" s="422"/>
      <c r="R33" s="404"/>
      <c r="S33" s="422"/>
      <c r="T33" s="422"/>
      <c r="U33" s="422"/>
      <c r="V33" s="422"/>
      <c r="W33" s="422"/>
      <c r="X33" s="422"/>
      <c r="Y33" s="422"/>
      <c r="Z33" s="422"/>
      <c r="AA33" s="422"/>
      <c r="AB33" s="422"/>
      <c r="AC33" s="422"/>
      <c r="AD33" s="422"/>
      <c r="AE33" s="404">
        <f t="shared" si="0"/>
        <v>0</v>
      </c>
    </row>
    <row r="34" spans="1:32">
      <c r="A34" s="423"/>
      <c r="B34" s="412"/>
      <c r="C34" s="420"/>
      <c r="D34" s="412" t="s">
        <v>520</v>
      </c>
      <c r="E34" s="413">
        <v>511</v>
      </c>
      <c r="F34" s="422"/>
      <c r="G34" s="422"/>
      <c r="H34" s="422">
        <v>4000000</v>
      </c>
      <c r="I34" s="422">
        <v>20000000</v>
      </c>
      <c r="J34" s="422">
        <v>12000000</v>
      </c>
      <c r="K34" s="422">
        <v>12000000</v>
      </c>
      <c r="L34" s="422">
        <v>4000000</v>
      </c>
      <c r="M34" s="422"/>
      <c r="N34" s="422"/>
      <c r="O34" s="422"/>
      <c r="P34" s="422"/>
      <c r="Q34" s="422"/>
      <c r="R34" s="404"/>
      <c r="S34" s="422"/>
      <c r="T34" s="422"/>
      <c r="U34" s="422"/>
      <c r="V34" s="422"/>
      <c r="W34" s="422"/>
      <c r="X34" s="422"/>
      <c r="Y34" s="422"/>
      <c r="Z34" s="422"/>
      <c r="AA34" s="422"/>
      <c r="AB34" s="422"/>
      <c r="AC34" s="422"/>
      <c r="AD34" s="422"/>
      <c r="AE34" s="404">
        <f t="shared" si="0"/>
        <v>0</v>
      </c>
    </row>
    <row r="35" spans="1:32">
      <c r="A35" s="423"/>
      <c r="B35" s="412"/>
      <c r="C35" s="420"/>
      <c r="D35" s="412" t="s">
        <v>502</v>
      </c>
      <c r="E35" s="413">
        <v>711</v>
      </c>
      <c r="F35" s="421"/>
      <c r="G35" s="422"/>
      <c r="H35" s="422"/>
      <c r="I35" s="422"/>
      <c r="J35" s="422"/>
      <c r="K35" s="422">
        <v>226000000</v>
      </c>
      <c r="L35" s="422"/>
      <c r="M35" s="422">
        <v>226000000</v>
      </c>
      <c r="N35" s="422"/>
      <c r="O35" s="422"/>
      <c r="P35" s="422"/>
      <c r="Q35" s="422"/>
      <c r="R35" s="404"/>
      <c r="S35" s="421"/>
      <c r="T35" s="422"/>
      <c r="U35" s="422"/>
      <c r="V35" s="422"/>
      <c r="W35" s="422"/>
      <c r="X35" s="422"/>
      <c r="Y35" s="422"/>
      <c r="Z35" s="422"/>
      <c r="AA35" s="422"/>
      <c r="AB35" s="422"/>
      <c r="AC35" s="422"/>
      <c r="AD35" s="422"/>
      <c r="AE35" s="404">
        <f t="shared" si="0"/>
        <v>0</v>
      </c>
    </row>
    <row r="36" spans="1:32">
      <c r="A36" s="425"/>
      <c r="B36" s="412"/>
      <c r="C36" s="420"/>
      <c r="D36" s="412" t="s">
        <v>507</v>
      </c>
      <c r="E36" s="429">
        <v>7118</v>
      </c>
      <c r="F36" s="422"/>
      <c r="G36" s="422"/>
      <c r="H36" s="422"/>
      <c r="I36" s="422"/>
      <c r="J36" s="422"/>
      <c r="K36" s="422"/>
      <c r="L36" s="422"/>
      <c r="M36" s="422"/>
      <c r="N36" s="422"/>
      <c r="O36" s="422"/>
      <c r="P36" s="422"/>
      <c r="Q36" s="422"/>
      <c r="R36" s="404"/>
      <c r="S36" s="422"/>
      <c r="T36" s="422"/>
      <c r="U36" s="422"/>
      <c r="V36" s="422"/>
      <c r="W36" s="422"/>
      <c r="X36" s="422"/>
      <c r="Y36" s="422"/>
      <c r="Z36" s="422"/>
      <c r="AA36" s="422"/>
      <c r="AB36" s="422"/>
      <c r="AC36" s="422"/>
      <c r="AD36" s="422"/>
      <c r="AE36" s="404">
        <f t="shared" si="0"/>
        <v>0</v>
      </c>
    </row>
    <row r="37" spans="1:32">
      <c r="A37" s="558">
        <v>5</v>
      </c>
      <c r="B37" s="559" t="s">
        <v>521</v>
      </c>
      <c r="C37" s="560" t="s">
        <v>522</v>
      </c>
      <c r="D37" s="559" t="s">
        <v>500</v>
      </c>
      <c r="E37" s="561">
        <v>511</v>
      </c>
      <c r="F37" s="564"/>
      <c r="G37" s="562"/>
      <c r="H37" s="562"/>
      <c r="I37" s="562"/>
      <c r="J37" s="562"/>
      <c r="K37" s="562"/>
      <c r="L37" s="562"/>
      <c r="M37" s="562"/>
      <c r="N37" s="562"/>
      <c r="O37" s="562"/>
      <c r="P37" s="562"/>
      <c r="Q37" s="562"/>
      <c r="R37" s="563"/>
      <c r="S37" s="564"/>
      <c r="T37" s="562"/>
      <c r="U37" s="562"/>
      <c r="V37" s="562"/>
      <c r="W37" s="562"/>
      <c r="X37" s="562"/>
      <c r="Y37" s="562"/>
      <c r="Z37" s="562"/>
      <c r="AA37" s="562"/>
      <c r="AB37" s="562"/>
      <c r="AC37" s="562"/>
      <c r="AD37" s="562"/>
      <c r="AE37" s="563">
        <f t="shared" si="0"/>
        <v>0</v>
      </c>
    </row>
    <row r="38" spans="1:32">
      <c r="A38" s="425"/>
      <c r="B38" s="412"/>
      <c r="C38" s="420"/>
      <c r="D38" s="412" t="s">
        <v>511</v>
      </c>
      <c r="E38" s="413">
        <v>511</v>
      </c>
      <c r="F38" s="421"/>
      <c r="G38" s="422"/>
      <c r="H38" s="422"/>
      <c r="I38" s="422"/>
      <c r="J38" s="422"/>
      <c r="K38" s="422"/>
      <c r="L38" s="422"/>
      <c r="M38" s="422"/>
      <c r="N38" s="422"/>
      <c r="O38" s="422"/>
      <c r="P38" s="422"/>
      <c r="Q38" s="422"/>
      <c r="R38" s="404"/>
      <c r="S38" s="421"/>
      <c r="T38" s="422"/>
      <c r="U38" s="422"/>
      <c r="V38" s="422"/>
      <c r="W38" s="422"/>
      <c r="X38" s="422"/>
      <c r="Y38" s="422"/>
      <c r="Z38" s="422"/>
      <c r="AA38" s="422"/>
      <c r="AB38" s="422"/>
      <c r="AC38" s="422"/>
      <c r="AD38" s="422"/>
      <c r="AE38" s="404">
        <f t="shared" si="0"/>
        <v>0</v>
      </c>
    </row>
    <row r="39" spans="1:32">
      <c r="A39" s="425"/>
      <c r="B39" s="412"/>
      <c r="C39" s="420"/>
      <c r="D39" s="412" t="s">
        <v>502</v>
      </c>
      <c r="E39" s="413">
        <v>711</v>
      </c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2"/>
      <c r="Q39" s="422"/>
      <c r="R39" s="404"/>
      <c r="S39" s="422"/>
      <c r="T39" s="422"/>
      <c r="U39" s="422"/>
      <c r="V39" s="422"/>
      <c r="W39" s="422"/>
      <c r="X39" s="422"/>
      <c r="Y39" s="422"/>
      <c r="Z39" s="422"/>
      <c r="AA39" s="422"/>
      <c r="AB39" s="422"/>
      <c r="AC39" s="422"/>
      <c r="AD39" s="422"/>
      <c r="AE39" s="404">
        <f t="shared" si="0"/>
        <v>0</v>
      </c>
    </row>
    <row r="40" spans="1:32">
      <c r="A40" s="425"/>
      <c r="B40" s="412"/>
      <c r="C40" s="420"/>
      <c r="D40" s="412" t="s">
        <v>501</v>
      </c>
      <c r="E40" s="413">
        <v>511</v>
      </c>
      <c r="F40" s="422"/>
      <c r="G40" s="422"/>
      <c r="H40" s="422"/>
      <c r="I40" s="422"/>
      <c r="J40" s="422"/>
      <c r="K40" s="422"/>
      <c r="L40" s="422"/>
      <c r="M40" s="422"/>
      <c r="N40" s="422"/>
      <c r="O40" s="422"/>
      <c r="P40" s="422"/>
      <c r="Q40" s="422"/>
      <c r="R40" s="404"/>
      <c r="S40" s="422"/>
      <c r="T40" s="422"/>
      <c r="U40" s="422"/>
      <c r="V40" s="422"/>
      <c r="W40" s="422"/>
      <c r="X40" s="422"/>
      <c r="Y40" s="422"/>
      <c r="Z40" s="422"/>
      <c r="AA40" s="422"/>
      <c r="AB40" s="422"/>
      <c r="AC40" s="422"/>
      <c r="AD40" s="422"/>
      <c r="AE40" s="404">
        <f t="shared" si="0"/>
        <v>0</v>
      </c>
    </row>
    <row r="41" spans="1:32">
      <c r="A41" s="425"/>
      <c r="B41" s="412"/>
      <c r="C41" s="420"/>
      <c r="D41" s="412" t="s">
        <v>520</v>
      </c>
      <c r="E41" s="413">
        <v>511</v>
      </c>
      <c r="F41" s="422"/>
      <c r="G41" s="422"/>
      <c r="H41" s="422">
        <v>27000000</v>
      </c>
      <c r="I41" s="422">
        <v>67500000</v>
      </c>
      <c r="J41" s="422">
        <v>54000000</v>
      </c>
      <c r="K41" s="422">
        <v>57000000</v>
      </c>
      <c r="L41" s="422">
        <v>100500000</v>
      </c>
      <c r="M41" s="422">
        <v>19500000</v>
      </c>
      <c r="N41" s="422"/>
      <c r="O41" s="422"/>
      <c r="P41" s="422"/>
      <c r="Q41" s="422"/>
      <c r="R41" s="404"/>
      <c r="S41" s="422"/>
      <c r="T41" s="422"/>
      <c r="U41" s="422"/>
      <c r="V41" s="422"/>
      <c r="W41" s="422"/>
      <c r="X41" s="422"/>
      <c r="Y41" s="422"/>
      <c r="Z41" s="422"/>
      <c r="AA41" s="422"/>
      <c r="AB41" s="422"/>
      <c r="AC41" s="422"/>
      <c r="AD41" s="422"/>
      <c r="AE41" s="404">
        <f t="shared" si="0"/>
        <v>0</v>
      </c>
    </row>
    <row r="42" spans="1:32">
      <c r="A42" s="425"/>
      <c r="B42" s="412"/>
      <c r="C42" s="420"/>
      <c r="D42" s="412" t="s">
        <v>512</v>
      </c>
      <c r="E42" s="413">
        <v>511</v>
      </c>
      <c r="F42" s="422"/>
      <c r="G42" s="422"/>
      <c r="H42" s="422"/>
      <c r="I42" s="422"/>
      <c r="J42" s="422"/>
      <c r="K42" s="422"/>
      <c r="L42" s="422"/>
      <c r="M42" s="422"/>
      <c r="N42" s="422"/>
      <c r="O42" s="422"/>
      <c r="P42" s="422"/>
      <c r="Q42" s="422"/>
      <c r="R42" s="404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  <c r="AC42" s="422"/>
      <c r="AD42" s="422"/>
      <c r="AE42" s="404">
        <f t="shared" si="0"/>
        <v>0</v>
      </c>
    </row>
    <row r="43" spans="1:32">
      <c r="A43" s="425"/>
      <c r="B43" s="412"/>
      <c r="C43" s="420"/>
      <c r="D43" s="412" t="s">
        <v>523</v>
      </c>
      <c r="E43" s="413">
        <v>711</v>
      </c>
      <c r="F43" s="422"/>
      <c r="G43" s="422"/>
      <c r="H43" s="422"/>
      <c r="I43" s="422"/>
      <c r="J43" s="422"/>
      <c r="K43" s="422"/>
      <c r="L43" s="422"/>
      <c r="M43" s="422"/>
      <c r="N43" s="422"/>
      <c r="O43" s="422"/>
      <c r="P43" s="422"/>
      <c r="Q43" s="422"/>
      <c r="R43" s="404"/>
      <c r="S43" s="422"/>
      <c r="T43" s="422"/>
      <c r="U43" s="422"/>
      <c r="V43" s="422"/>
      <c r="W43" s="422"/>
      <c r="X43" s="422"/>
      <c r="Y43" s="422"/>
      <c r="Z43" s="422"/>
      <c r="AA43" s="422"/>
      <c r="AB43" s="422"/>
      <c r="AC43" s="422"/>
      <c r="AD43" s="422"/>
      <c r="AE43" s="404">
        <f t="shared" si="0"/>
        <v>0</v>
      </c>
    </row>
    <row r="44" spans="1:32">
      <c r="A44" s="425"/>
      <c r="B44" s="412"/>
      <c r="C44" s="420"/>
      <c r="D44" s="412" t="s">
        <v>507</v>
      </c>
      <c r="E44" s="413" t="s">
        <v>508</v>
      </c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04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04">
        <f t="shared" si="0"/>
        <v>0</v>
      </c>
    </row>
    <row r="45" spans="1:32">
      <c r="A45" s="558">
        <v>6</v>
      </c>
      <c r="B45" s="559" t="s">
        <v>524</v>
      </c>
      <c r="C45" s="560" t="s">
        <v>525</v>
      </c>
      <c r="D45" s="559" t="s">
        <v>500</v>
      </c>
      <c r="E45" s="561">
        <v>511</v>
      </c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3"/>
      <c r="S45" s="562"/>
      <c r="T45" s="562"/>
      <c r="U45" s="562"/>
      <c r="V45" s="562"/>
      <c r="W45" s="562"/>
      <c r="X45" s="562"/>
      <c r="Y45" s="562"/>
      <c r="Z45" s="562"/>
      <c r="AA45" s="562"/>
      <c r="AB45" s="562"/>
      <c r="AC45" s="562"/>
      <c r="AD45" s="562"/>
      <c r="AE45" s="563">
        <f t="shared" si="0"/>
        <v>0</v>
      </c>
      <c r="AF45" s="430"/>
    </row>
    <row r="46" spans="1:32">
      <c r="A46" s="398"/>
      <c r="B46" s="412"/>
      <c r="C46" s="431"/>
      <c r="D46" s="412" t="s">
        <v>511</v>
      </c>
      <c r="E46" s="408">
        <v>511</v>
      </c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2"/>
      <c r="Q46" s="422"/>
      <c r="R46" s="404"/>
      <c r="S46" s="422"/>
      <c r="T46" s="422"/>
      <c r="U46" s="422"/>
      <c r="V46" s="422"/>
      <c r="W46" s="422"/>
      <c r="X46" s="422"/>
      <c r="Y46" s="422"/>
      <c r="Z46" s="422"/>
      <c r="AA46" s="422"/>
      <c r="AB46" s="422"/>
      <c r="AC46" s="422"/>
      <c r="AD46" s="422"/>
      <c r="AE46" s="404">
        <f t="shared" si="0"/>
        <v>0</v>
      </c>
    </row>
    <row r="47" spans="1:32">
      <c r="A47" s="398"/>
      <c r="B47" s="412"/>
      <c r="C47" s="431"/>
      <c r="D47" s="412" t="s">
        <v>501</v>
      </c>
      <c r="E47" s="408">
        <v>511</v>
      </c>
      <c r="F47" s="421"/>
      <c r="G47" s="422"/>
      <c r="H47" s="422"/>
      <c r="I47" s="422"/>
      <c r="J47" s="422"/>
      <c r="K47" s="422"/>
      <c r="L47" s="422"/>
      <c r="M47" s="422"/>
      <c r="N47" s="422"/>
      <c r="O47" s="422"/>
      <c r="P47" s="422"/>
      <c r="Q47" s="422"/>
      <c r="R47" s="404"/>
      <c r="S47" s="421"/>
      <c r="T47" s="422"/>
      <c r="U47" s="422"/>
      <c r="V47" s="422"/>
      <c r="W47" s="422"/>
      <c r="X47" s="422"/>
      <c r="Y47" s="422"/>
      <c r="Z47" s="422"/>
      <c r="AA47" s="422"/>
      <c r="AB47" s="422"/>
      <c r="AC47" s="422"/>
      <c r="AD47" s="422"/>
      <c r="AE47" s="404">
        <f t="shared" si="0"/>
        <v>0</v>
      </c>
    </row>
    <row r="48" spans="1:32">
      <c r="A48" s="398"/>
      <c r="B48" s="412"/>
      <c r="C48" s="431"/>
      <c r="D48" s="412" t="s">
        <v>526</v>
      </c>
      <c r="E48" s="408">
        <v>511</v>
      </c>
      <c r="F48" s="422"/>
      <c r="G48" s="422"/>
      <c r="H48" s="422"/>
      <c r="I48" s="422"/>
      <c r="J48" s="422"/>
      <c r="K48" s="422"/>
      <c r="L48" s="422"/>
      <c r="M48" s="422"/>
      <c r="N48" s="422"/>
      <c r="O48" s="422"/>
      <c r="P48" s="422"/>
      <c r="Q48" s="422"/>
      <c r="R48" s="404"/>
      <c r="S48" s="422"/>
      <c r="T48" s="422"/>
      <c r="U48" s="422"/>
      <c r="V48" s="422"/>
      <c r="W48" s="422"/>
      <c r="X48" s="422"/>
      <c r="Y48" s="422"/>
      <c r="Z48" s="422"/>
      <c r="AA48" s="422"/>
      <c r="AB48" s="422"/>
      <c r="AC48" s="422"/>
      <c r="AD48" s="422"/>
      <c r="AE48" s="404">
        <f t="shared" si="0"/>
        <v>0</v>
      </c>
    </row>
    <row r="49" spans="1:32">
      <c r="A49" s="398"/>
      <c r="B49" s="412"/>
      <c r="C49" s="431"/>
      <c r="D49" s="412" t="s">
        <v>512</v>
      </c>
      <c r="E49" s="413">
        <v>511</v>
      </c>
      <c r="F49" s="422"/>
      <c r="G49" s="422"/>
      <c r="H49" s="422"/>
      <c r="I49" s="422"/>
      <c r="J49" s="422"/>
      <c r="K49" s="422"/>
      <c r="L49" s="422"/>
      <c r="M49" s="422"/>
      <c r="N49" s="422"/>
      <c r="O49" s="422"/>
      <c r="P49" s="422"/>
      <c r="Q49" s="422"/>
      <c r="R49" s="404"/>
      <c r="S49" s="422"/>
      <c r="T49" s="422"/>
      <c r="U49" s="422"/>
      <c r="V49" s="422"/>
      <c r="W49" s="422"/>
      <c r="X49" s="422"/>
      <c r="Y49" s="422"/>
      <c r="Z49" s="422"/>
      <c r="AA49" s="422"/>
      <c r="AB49" s="422"/>
      <c r="AC49" s="422"/>
      <c r="AD49" s="422"/>
      <c r="AE49" s="404">
        <f t="shared" si="0"/>
        <v>0</v>
      </c>
    </row>
    <row r="50" spans="1:32">
      <c r="A50" s="398"/>
      <c r="B50" s="412"/>
      <c r="C50" s="431"/>
      <c r="D50" s="412" t="s">
        <v>527</v>
      </c>
      <c r="E50" s="413">
        <v>511</v>
      </c>
      <c r="F50" s="422"/>
      <c r="G50" s="422"/>
      <c r="H50" s="422"/>
      <c r="I50" s="422"/>
      <c r="J50" s="422"/>
      <c r="K50" s="422"/>
      <c r="L50" s="422"/>
      <c r="M50" s="422"/>
      <c r="N50" s="422"/>
      <c r="O50" s="422"/>
      <c r="P50" s="422"/>
      <c r="Q50" s="422"/>
      <c r="R50" s="404"/>
      <c r="S50" s="422"/>
      <c r="T50" s="422"/>
      <c r="U50" s="422"/>
      <c r="V50" s="422"/>
      <c r="W50" s="422"/>
      <c r="X50" s="422"/>
      <c r="Y50" s="422"/>
      <c r="Z50" s="422"/>
      <c r="AA50" s="422"/>
      <c r="AB50" s="422"/>
      <c r="AC50" s="422"/>
      <c r="AD50" s="422"/>
      <c r="AE50" s="404">
        <f t="shared" si="0"/>
        <v>0</v>
      </c>
    </row>
    <row r="51" spans="1:32">
      <c r="A51" s="398"/>
      <c r="B51" s="412"/>
      <c r="C51" s="431"/>
      <c r="D51" s="412" t="s">
        <v>502</v>
      </c>
      <c r="E51" s="413">
        <v>711</v>
      </c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2"/>
      <c r="Q51" s="422"/>
      <c r="R51" s="404"/>
      <c r="S51" s="422"/>
      <c r="T51" s="422"/>
      <c r="U51" s="422"/>
      <c r="V51" s="422"/>
      <c r="W51" s="422"/>
      <c r="X51" s="422"/>
      <c r="Y51" s="422"/>
      <c r="Z51" s="422"/>
      <c r="AA51" s="422"/>
      <c r="AB51" s="422"/>
      <c r="AC51" s="422"/>
      <c r="AD51" s="422"/>
      <c r="AE51" s="404">
        <f t="shared" si="0"/>
        <v>0</v>
      </c>
    </row>
    <row r="52" spans="1:32">
      <c r="A52" s="432"/>
      <c r="B52" s="434"/>
      <c r="C52" s="433"/>
      <c r="D52" s="434" t="s">
        <v>507</v>
      </c>
      <c r="E52" s="417" t="s">
        <v>508</v>
      </c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8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8">
        <f t="shared" si="0"/>
        <v>0</v>
      </c>
    </row>
    <row r="53" spans="1:32">
      <c r="A53" s="558">
        <v>7</v>
      </c>
      <c r="B53" s="559" t="s">
        <v>528</v>
      </c>
      <c r="C53" s="560" t="s">
        <v>529</v>
      </c>
      <c r="D53" s="559" t="s">
        <v>500</v>
      </c>
      <c r="E53" s="565">
        <v>511</v>
      </c>
      <c r="F53" s="562"/>
      <c r="G53" s="562"/>
      <c r="H53" s="562"/>
      <c r="I53" s="562"/>
      <c r="J53" s="562"/>
      <c r="K53" s="562"/>
      <c r="L53" s="562"/>
      <c r="M53" s="562"/>
      <c r="N53" s="562"/>
      <c r="O53" s="562"/>
      <c r="P53" s="562"/>
      <c r="Q53" s="562"/>
      <c r="R53" s="563"/>
      <c r="S53" s="562"/>
      <c r="T53" s="562"/>
      <c r="U53" s="562"/>
      <c r="V53" s="562"/>
      <c r="W53" s="562"/>
      <c r="X53" s="562"/>
      <c r="Y53" s="562"/>
      <c r="Z53" s="562"/>
      <c r="AA53" s="562"/>
      <c r="AB53" s="562"/>
      <c r="AC53" s="562"/>
      <c r="AD53" s="562"/>
      <c r="AE53" s="563">
        <f t="shared" si="0"/>
        <v>0</v>
      </c>
    </row>
    <row r="54" spans="1:32">
      <c r="A54" s="398"/>
      <c r="B54" s="424"/>
      <c r="C54" s="435"/>
      <c r="D54" s="424" t="s">
        <v>511</v>
      </c>
      <c r="E54" s="436">
        <v>511</v>
      </c>
      <c r="F54" s="402"/>
      <c r="G54" s="402"/>
      <c r="H54" s="402"/>
      <c r="I54" s="402"/>
      <c r="J54" s="402"/>
      <c r="K54" s="402"/>
      <c r="L54" s="402"/>
      <c r="M54" s="402"/>
      <c r="N54" s="402"/>
      <c r="O54" s="402"/>
      <c r="P54" s="402"/>
      <c r="Q54" s="402"/>
      <c r="R54" s="404"/>
      <c r="S54" s="402"/>
      <c r="T54" s="402"/>
      <c r="U54" s="402"/>
      <c r="V54" s="402"/>
      <c r="W54" s="402"/>
      <c r="X54" s="402"/>
      <c r="Y54" s="402"/>
      <c r="Z54" s="402"/>
      <c r="AA54" s="402"/>
      <c r="AB54" s="402"/>
      <c r="AC54" s="402"/>
      <c r="AD54" s="402"/>
      <c r="AE54" s="404">
        <f t="shared" si="0"/>
        <v>0</v>
      </c>
    </row>
    <row r="55" spans="1:32">
      <c r="A55" s="398"/>
      <c r="B55" s="424"/>
      <c r="C55" s="435"/>
      <c r="D55" s="424" t="s">
        <v>501</v>
      </c>
      <c r="E55" s="436">
        <v>511</v>
      </c>
      <c r="F55" s="402"/>
      <c r="G55" s="402"/>
      <c r="H55" s="402"/>
      <c r="I55" s="402"/>
      <c r="J55" s="402"/>
      <c r="K55" s="402"/>
      <c r="L55" s="402"/>
      <c r="M55" s="402"/>
      <c r="N55" s="402"/>
      <c r="O55" s="402"/>
      <c r="P55" s="402"/>
      <c r="Q55" s="402"/>
      <c r="R55" s="404"/>
      <c r="S55" s="402"/>
      <c r="T55" s="402"/>
      <c r="U55" s="402"/>
      <c r="V55" s="402"/>
      <c r="W55" s="402"/>
      <c r="X55" s="402"/>
      <c r="Y55" s="402"/>
      <c r="Z55" s="402"/>
      <c r="AA55" s="402"/>
      <c r="AB55" s="402"/>
      <c r="AC55" s="402"/>
      <c r="AD55" s="402"/>
      <c r="AE55" s="404">
        <f t="shared" si="0"/>
        <v>0</v>
      </c>
    </row>
    <row r="56" spans="1:32">
      <c r="A56" s="398"/>
      <c r="B56" s="424"/>
      <c r="C56" s="435"/>
      <c r="D56" s="424" t="s">
        <v>526</v>
      </c>
      <c r="E56" s="436">
        <v>511</v>
      </c>
      <c r="F56" s="402"/>
      <c r="G56" s="402"/>
      <c r="H56" s="402"/>
      <c r="I56" s="402"/>
      <c r="J56" s="402"/>
      <c r="K56" s="402"/>
      <c r="L56" s="402"/>
      <c r="M56" s="402"/>
      <c r="N56" s="402"/>
      <c r="O56" s="402"/>
      <c r="P56" s="402"/>
      <c r="Q56" s="402"/>
      <c r="R56" s="404"/>
      <c r="S56" s="402"/>
      <c r="T56" s="402"/>
      <c r="U56" s="402"/>
      <c r="V56" s="402"/>
      <c r="W56" s="402"/>
      <c r="X56" s="402"/>
      <c r="Y56" s="402"/>
      <c r="Z56" s="402"/>
      <c r="AA56" s="402"/>
      <c r="AB56" s="402"/>
      <c r="AC56" s="402"/>
      <c r="AD56" s="402"/>
      <c r="AE56" s="404">
        <f t="shared" si="0"/>
        <v>0</v>
      </c>
    </row>
    <row r="57" spans="1:32">
      <c r="A57" s="398"/>
      <c r="B57" s="424"/>
      <c r="C57" s="435"/>
      <c r="D57" s="424" t="s">
        <v>512</v>
      </c>
      <c r="E57" s="436">
        <v>511</v>
      </c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4"/>
      <c r="S57" s="402"/>
      <c r="T57" s="402"/>
      <c r="U57" s="402"/>
      <c r="V57" s="402"/>
      <c r="W57" s="402"/>
      <c r="X57" s="402"/>
      <c r="Y57" s="402"/>
      <c r="Z57" s="402"/>
      <c r="AA57" s="402"/>
      <c r="AB57" s="402"/>
      <c r="AC57" s="402"/>
      <c r="AD57" s="402"/>
      <c r="AE57" s="404">
        <f t="shared" si="0"/>
        <v>0</v>
      </c>
    </row>
    <row r="58" spans="1:32">
      <c r="A58" s="398"/>
      <c r="B58" s="424"/>
      <c r="C58" s="435"/>
      <c r="D58" s="424" t="s">
        <v>527</v>
      </c>
      <c r="E58" s="436">
        <v>511</v>
      </c>
      <c r="F58" s="402"/>
      <c r="G58" s="402"/>
      <c r="H58" s="402"/>
      <c r="I58" s="402"/>
      <c r="J58" s="402"/>
      <c r="K58" s="402"/>
      <c r="L58" s="402"/>
      <c r="M58" s="402"/>
      <c r="N58" s="402"/>
      <c r="O58" s="402"/>
      <c r="P58" s="402"/>
      <c r="Q58" s="402"/>
      <c r="R58" s="404"/>
      <c r="S58" s="402"/>
      <c r="T58" s="402"/>
      <c r="U58" s="402"/>
      <c r="V58" s="402"/>
      <c r="W58" s="402"/>
      <c r="X58" s="402"/>
      <c r="Y58" s="402"/>
      <c r="Z58" s="402"/>
      <c r="AA58" s="402"/>
      <c r="AB58" s="402"/>
      <c r="AC58" s="402"/>
      <c r="AD58" s="402"/>
      <c r="AE58" s="404">
        <f t="shared" si="0"/>
        <v>0</v>
      </c>
    </row>
    <row r="59" spans="1:32">
      <c r="A59" s="398"/>
      <c r="B59" s="424"/>
      <c r="C59" s="435"/>
      <c r="D59" s="424" t="s">
        <v>502</v>
      </c>
      <c r="E59" s="436">
        <v>711</v>
      </c>
      <c r="F59" s="402"/>
      <c r="G59" s="402"/>
      <c r="H59" s="402"/>
      <c r="I59" s="402"/>
      <c r="J59" s="402"/>
      <c r="K59" s="402"/>
      <c r="L59" s="402"/>
      <c r="M59" s="402"/>
      <c r="N59" s="402"/>
      <c r="O59" s="402"/>
      <c r="P59" s="402"/>
      <c r="Q59" s="402"/>
      <c r="R59" s="404"/>
      <c r="S59" s="402"/>
      <c r="T59" s="402"/>
      <c r="U59" s="402"/>
      <c r="V59" s="402"/>
      <c r="W59" s="402"/>
      <c r="X59" s="402"/>
      <c r="Y59" s="402"/>
      <c r="Z59" s="402"/>
      <c r="AA59" s="402"/>
      <c r="AB59" s="402"/>
      <c r="AC59" s="402"/>
      <c r="AD59" s="402"/>
      <c r="AE59" s="404">
        <f t="shared" si="0"/>
        <v>0</v>
      </c>
    </row>
    <row r="60" spans="1:32">
      <c r="A60" s="398"/>
      <c r="B60" s="424"/>
      <c r="C60" s="435"/>
      <c r="D60" s="424" t="s">
        <v>507</v>
      </c>
      <c r="E60" s="436" t="s">
        <v>508</v>
      </c>
      <c r="F60" s="402"/>
      <c r="G60" s="402"/>
      <c r="H60" s="402"/>
      <c r="I60" s="402"/>
      <c r="J60" s="402"/>
      <c r="K60" s="402"/>
      <c r="L60" s="402"/>
      <c r="M60" s="402"/>
      <c r="N60" s="402"/>
      <c r="O60" s="402"/>
      <c r="P60" s="402"/>
      <c r="Q60" s="402"/>
      <c r="R60" s="404"/>
      <c r="S60" s="402"/>
      <c r="T60" s="402"/>
      <c r="U60" s="402"/>
      <c r="V60" s="402"/>
      <c r="W60" s="402"/>
      <c r="X60" s="402"/>
      <c r="Y60" s="402"/>
      <c r="Z60" s="402"/>
      <c r="AA60" s="402"/>
      <c r="AB60" s="402"/>
      <c r="AC60" s="402"/>
      <c r="AD60" s="402"/>
      <c r="AE60" s="404">
        <f t="shared" si="0"/>
        <v>0</v>
      </c>
    </row>
    <row r="61" spans="1:32">
      <c r="A61" s="558">
        <v>8</v>
      </c>
      <c r="B61" s="559" t="s">
        <v>530</v>
      </c>
      <c r="C61" s="560" t="s">
        <v>531</v>
      </c>
      <c r="D61" s="559" t="s">
        <v>500</v>
      </c>
      <c r="E61" s="561">
        <v>511</v>
      </c>
      <c r="F61" s="562"/>
      <c r="G61" s="562"/>
      <c r="H61" s="562"/>
      <c r="I61" s="562"/>
      <c r="J61" s="562"/>
      <c r="K61" s="562"/>
      <c r="L61" s="562"/>
      <c r="M61" s="562"/>
      <c r="N61" s="562">
        <v>3362500</v>
      </c>
      <c r="O61" s="562">
        <v>6840800</v>
      </c>
      <c r="P61" s="562"/>
      <c r="Q61" s="562">
        <v>34859000</v>
      </c>
      <c r="R61" s="563"/>
      <c r="S61" s="562">
        <v>383090400</v>
      </c>
      <c r="T61" s="562"/>
      <c r="U61" s="562">
        <v>1305194000</v>
      </c>
      <c r="V61" s="562">
        <v>580144400</v>
      </c>
      <c r="W61" s="562">
        <v>1917740000</v>
      </c>
      <c r="X61" s="562">
        <v>1142059600</v>
      </c>
      <c r="Y61" s="562"/>
      <c r="Z61" s="562"/>
      <c r="AA61" s="562"/>
      <c r="AB61" s="562"/>
      <c r="AC61" s="562"/>
      <c r="AD61" s="562"/>
      <c r="AE61" s="563">
        <f t="shared" si="0"/>
        <v>5328228400</v>
      </c>
      <c r="AF61" s="430"/>
    </row>
    <row r="62" spans="1:32">
      <c r="A62" s="398"/>
      <c r="B62" s="424"/>
      <c r="C62" s="435"/>
      <c r="D62" s="424" t="s">
        <v>532</v>
      </c>
      <c r="E62" s="408">
        <v>511</v>
      </c>
      <c r="F62" s="422"/>
      <c r="G62" s="422"/>
      <c r="H62" s="422"/>
      <c r="I62" s="422"/>
      <c r="J62" s="422"/>
      <c r="K62" s="422"/>
      <c r="L62" s="422"/>
      <c r="M62" s="422"/>
      <c r="N62" s="422"/>
      <c r="O62" s="422"/>
      <c r="P62" s="422"/>
      <c r="Q62" s="422"/>
      <c r="R62" s="404"/>
      <c r="S62" s="422"/>
      <c r="T62" s="422"/>
      <c r="U62" s="422"/>
      <c r="V62" s="422"/>
      <c r="W62" s="422"/>
      <c r="X62" s="422"/>
      <c r="Y62" s="422"/>
      <c r="Z62" s="422"/>
      <c r="AA62" s="422"/>
      <c r="AB62" s="422"/>
      <c r="AC62" s="422"/>
      <c r="AD62" s="422"/>
      <c r="AE62" s="404">
        <f t="shared" si="0"/>
        <v>0</v>
      </c>
    </row>
    <row r="63" spans="1:32">
      <c r="A63" s="398"/>
      <c r="B63" s="424"/>
      <c r="C63" s="435"/>
      <c r="D63" s="412" t="s">
        <v>511</v>
      </c>
      <c r="E63" s="408">
        <v>511</v>
      </c>
      <c r="F63" s="421"/>
      <c r="G63" s="422"/>
      <c r="H63" s="422"/>
      <c r="I63" s="422"/>
      <c r="J63" s="422"/>
      <c r="K63" s="422"/>
      <c r="L63" s="422"/>
      <c r="M63" s="422"/>
      <c r="N63" s="422"/>
      <c r="O63" s="422"/>
      <c r="P63" s="422"/>
      <c r="Q63" s="422"/>
      <c r="R63" s="404"/>
      <c r="S63" s="421"/>
      <c r="T63" s="422"/>
      <c r="U63" s="422"/>
      <c r="V63" s="422"/>
      <c r="W63" s="422"/>
      <c r="X63" s="422"/>
      <c r="Y63" s="422"/>
      <c r="Z63" s="422"/>
      <c r="AA63" s="422"/>
      <c r="AB63" s="422"/>
      <c r="AC63" s="422"/>
      <c r="AD63" s="422"/>
      <c r="AE63" s="404">
        <f t="shared" si="0"/>
        <v>0</v>
      </c>
    </row>
    <row r="64" spans="1:32">
      <c r="A64" s="398"/>
      <c r="B64" s="424"/>
      <c r="C64" s="435"/>
      <c r="D64" s="412" t="s">
        <v>501</v>
      </c>
      <c r="E64" s="408">
        <v>511</v>
      </c>
      <c r="F64" s="422"/>
      <c r="G64" s="422"/>
      <c r="H64" s="422"/>
      <c r="I64" s="422"/>
      <c r="J64" s="422"/>
      <c r="K64" s="422"/>
      <c r="L64" s="422"/>
      <c r="M64" s="422"/>
      <c r="N64" s="422"/>
      <c r="O64" s="422"/>
      <c r="P64" s="422"/>
      <c r="Q64" s="422"/>
      <c r="R64" s="404"/>
      <c r="S64" s="422"/>
      <c r="T64" s="422"/>
      <c r="U64" s="422"/>
      <c r="V64" s="422"/>
      <c r="W64" s="422"/>
      <c r="X64" s="422"/>
      <c r="Y64" s="422"/>
      <c r="Z64" s="422"/>
      <c r="AA64" s="422"/>
      <c r="AB64" s="422"/>
      <c r="AC64" s="422"/>
      <c r="AD64" s="422"/>
      <c r="AE64" s="404">
        <f t="shared" si="0"/>
        <v>0</v>
      </c>
    </row>
    <row r="65" spans="1:31">
      <c r="A65" s="398"/>
      <c r="B65" s="424"/>
      <c r="C65" s="435"/>
      <c r="D65" s="412" t="s">
        <v>506</v>
      </c>
      <c r="E65" s="408">
        <v>511</v>
      </c>
      <c r="F65" s="422">
        <v>2414000</v>
      </c>
      <c r="G65" s="422"/>
      <c r="H65" s="422"/>
      <c r="I65" s="422"/>
      <c r="J65" s="422"/>
      <c r="K65" s="422"/>
      <c r="L65" s="422"/>
      <c r="M65" s="422"/>
      <c r="N65" s="422"/>
      <c r="O65" s="422"/>
      <c r="P65" s="422"/>
      <c r="Q65" s="422"/>
      <c r="R65" s="404"/>
      <c r="S65" s="422"/>
      <c r="T65" s="422"/>
      <c r="U65" s="422"/>
      <c r="V65" s="422"/>
      <c r="W65" s="422"/>
      <c r="X65" s="422"/>
      <c r="Y65" s="422"/>
      <c r="Z65" s="422"/>
      <c r="AA65" s="422"/>
      <c r="AB65" s="422"/>
      <c r="AC65" s="422"/>
      <c r="AD65" s="422"/>
      <c r="AE65" s="404"/>
    </row>
    <row r="66" spans="1:31">
      <c r="A66" s="398"/>
      <c r="B66" s="424"/>
      <c r="C66" s="435"/>
      <c r="D66" s="412" t="s">
        <v>527</v>
      </c>
      <c r="E66" s="413">
        <v>511</v>
      </c>
      <c r="F66" s="422"/>
      <c r="G66" s="422"/>
      <c r="H66" s="422"/>
      <c r="I66" s="422"/>
      <c r="J66" s="422"/>
      <c r="K66" s="422"/>
      <c r="L66" s="422"/>
      <c r="M66" s="422"/>
      <c r="N66" s="422"/>
      <c r="O66" s="422"/>
      <c r="P66" s="422"/>
      <c r="Q66" s="422"/>
      <c r="R66" s="404"/>
      <c r="S66" s="422"/>
      <c r="T66" s="422"/>
      <c r="U66" s="422"/>
      <c r="V66" s="422"/>
      <c r="W66" s="422"/>
      <c r="X66" s="422"/>
      <c r="Y66" s="422"/>
      <c r="Z66" s="422"/>
      <c r="AA66" s="422"/>
      <c r="AB66" s="422"/>
      <c r="AC66" s="422"/>
      <c r="AD66" s="422"/>
      <c r="AE66" s="404">
        <f t="shared" si="0"/>
        <v>0</v>
      </c>
    </row>
    <row r="67" spans="1:31">
      <c r="A67" s="398"/>
      <c r="B67" s="412"/>
      <c r="C67" s="431"/>
      <c r="D67" s="412" t="s">
        <v>502</v>
      </c>
      <c r="E67" s="413">
        <v>711</v>
      </c>
      <c r="F67" s="422"/>
      <c r="G67" s="422"/>
      <c r="H67" s="422"/>
      <c r="I67" s="422"/>
      <c r="J67" s="422"/>
      <c r="K67" s="422"/>
      <c r="L67" s="422"/>
      <c r="M67" s="422"/>
      <c r="N67" s="422"/>
      <c r="O67" s="422"/>
      <c r="P67" s="422"/>
      <c r="Q67" s="422"/>
      <c r="R67" s="404"/>
      <c r="S67" s="422"/>
      <c r="T67" s="422"/>
      <c r="U67" s="422"/>
      <c r="V67" s="422"/>
      <c r="W67" s="422"/>
      <c r="X67" s="422"/>
      <c r="Y67" s="422"/>
      <c r="Z67" s="422"/>
      <c r="AA67" s="422"/>
      <c r="AB67" s="422"/>
      <c r="AC67" s="422"/>
      <c r="AD67" s="422"/>
      <c r="AE67" s="404">
        <f t="shared" si="0"/>
        <v>0</v>
      </c>
    </row>
    <row r="68" spans="1:31">
      <c r="A68" s="398"/>
      <c r="B68" s="412"/>
      <c r="C68" s="431"/>
      <c r="D68" s="412" t="s">
        <v>517</v>
      </c>
      <c r="E68" s="413">
        <v>511</v>
      </c>
      <c r="F68" s="422"/>
      <c r="G68" s="422"/>
      <c r="H68" s="422"/>
      <c r="I68" s="422"/>
      <c r="J68" s="422"/>
      <c r="K68" s="422"/>
      <c r="L68" s="422"/>
      <c r="M68" s="422"/>
      <c r="N68" s="422"/>
      <c r="O68" s="422"/>
      <c r="P68" s="422"/>
      <c r="Q68" s="422"/>
      <c r="R68" s="404"/>
      <c r="S68" s="422"/>
      <c r="T68" s="422"/>
      <c r="U68" s="422"/>
      <c r="V68" s="422"/>
      <c r="W68" s="422"/>
      <c r="X68" s="422"/>
      <c r="Y68" s="422"/>
      <c r="Z68" s="422"/>
      <c r="AA68" s="422"/>
      <c r="AB68" s="422"/>
      <c r="AC68" s="422"/>
      <c r="AD68" s="422"/>
      <c r="AE68" s="404">
        <f t="shared" si="0"/>
        <v>0</v>
      </c>
    </row>
    <row r="69" spans="1:31">
      <c r="A69" s="398"/>
      <c r="B69" s="412"/>
      <c r="C69" s="435"/>
      <c r="D69" s="424" t="s">
        <v>507</v>
      </c>
      <c r="E69" s="413">
        <v>711</v>
      </c>
      <c r="F69" s="422"/>
      <c r="G69" s="422"/>
      <c r="H69" s="422"/>
      <c r="I69" s="422"/>
      <c r="J69" s="422"/>
      <c r="K69" s="422"/>
      <c r="L69" s="422"/>
      <c r="M69" s="422"/>
      <c r="N69" s="422"/>
      <c r="O69" s="422"/>
      <c r="P69" s="422"/>
      <c r="Q69" s="422"/>
      <c r="R69" s="404"/>
      <c r="S69" s="422"/>
      <c r="T69" s="422"/>
      <c r="U69" s="422"/>
      <c r="V69" s="422"/>
      <c r="W69" s="422"/>
      <c r="X69" s="422"/>
      <c r="Y69" s="422"/>
      <c r="Z69" s="422"/>
      <c r="AA69" s="422"/>
      <c r="AB69" s="422"/>
      <c r="AC69" s="422"/>
      <c r="AD69" s="422"/>
      <c r="AE69" s="404">
        <f t="shared" si="0"/>
        <v>0</v>
      </c>
    </row>
    <row r="70" spans="1:31">
      <c r="A70" s="558">
        <v>9</v>
      </c>
      <c r="B70" s="560" t="s">
        <v>533</v>
      </c>
      <c r="C70" s="560" t="s">
        <v>534</v>
      </c>
      <c r="D70" s="559" t="s">
        <v>500</v>
      </c>
      <c r="E70" s="561">
        <v>511</v>
      </c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3"/>
      <c r="S70" s="562"/>
      <c r="T70" s="562"/>
      <c r="U70" s="562"/>
      <c r="V70" s="562"/>
      <c r="W70" s="562"/>
      <c r="X70" s="562"/>
      <c r="Y70" s="562"/>
      <c r="Z70" s="562"/>
      <c r="AA70" s="562"/>
      <c r="AB70" s="562"/>
      <c r="AC70" s="562"/>
      <c r="AD70" s="562"/>
      <c r="AE70" s="563">
        <f t="shared" si="0"/>
        <v>0</v>
      </c>
    </row>
    <row r="71" spans="1:31">
      <c r="A71" s="398"/>
      <c r="B71" s="431"/>
      <c r="C71" s="431"/>
      <c r="D71" s="412" t="s">
        <v>511</v>
      </c>
      <c r="E71" s="408">
        <v>511</v>
      </c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2"/>
      <c r="Q71" s="422"/>
      <c r="R71" s="404"/>
      <c r="S71" s="422"/>
      <c r="T71" s="422"/>
      <c r="U71" s="422"/>
      <c r="V71" s="422"/>
      <c r="W71" s="422"/>
      <c r="X71" s="422"/>
      <c r="Y71" s="422"/>
      <c r="Z71" s="422"/>
      <c r="AA71" s="422"/>
      <c r="AB71" s="422"/>
      <c r="AC71" s="422"/>
      <c r="AD71" s="422"/>
      <c r="AE71" s="404">
        <f t="shared" si="0"/>
        <v>0</v>
      </c>
    </row>
    <row r="72" spans="1:31">
      <c r="A72" s="398"/>
      <c r="B72" s="431"/>
      <c r="C72" s="431"/>
      <c r="D72" s="412" t="s">
        <v>501</v>
      </c>
      <c r="E72" s="408">
        <v>511</v>
      </c>
      <c r="F72" s="422"/>
      <c r="G72" s="422"/>
      <c r="H72" s="422"/>
      <c r="I72" s="422"/>
      <c r="J72" s="422"/>
      <c r="K72" s="422"/>
      <c r="L72" s="422"/>
      <c r="M72" s="422"/>
      <c r="N72" s="422"/>
      <c r="O72" s="422"/>
      <c r="P72" s="422"/>
      <c r="Q72" s="422"/>
      <c r="R72" s="404"/>
      <c r="S72" s="422"/>
      <c r="T72" s="422"/>
      <c r="U72" s="422"/>
      <c r="V72" s="422"/>
      <c r="W72" s="422"/>
      <c r="X72" s="422"/>
      <c r="Y72" s="422"/>
      <c r="Z72" s="422"/>
      <c r="AA72" s="422"/>
      <c r="AB72" s="422"/>
      <c r="AC72" s="422"/>
      <c r="AD72" s="422"/>
      <c r="AE72" s="404">
        <f t="shared" si="0"/>
        <v>0</v>
      </c>
    </row>
    <row r="73" spans="1:31">
      <c r="A73" s="398"/>
      <c r="B73" s="431"/>
      <c r="C73" s="431"/>
      <c r="D73" s="412" t="s">
        <v>506</v>
      </c>
      <c r="E73" s="408">
        <v>511</v>
      </c>
      <c r="F73" s="422">
        <v>766800</v>
      </c>
      <c r="G73" s="422"/>
      <c r="H73" s="422"/>
      <c r="I73" s="422"/>
      <c r="J73" s="422"/>
      <c r="K73" s="422"/>
      <c r="L73" s="422"/>
      <c r="M73" s="422"/>
      <c r="N73" s="422"/>
      <c r="O73" s="422"/>
      <c r="P73" s="422"/>
      <c r="Q73" s="422"/>
      <c r="R73" s="404"/>
      <c r="S73" s="422"/>
      <c r="T73" s="422"/>
      <c r="U73" s="422"/>
      <c r="V73" s="422"/>
      <c r="W73" s="422"/>
      <c r="X73" s="422"/>
      <c r="Y73" s="422"/>
      <c r="Z73" s="422"/>
      <c r="AA73" s="422"/>
      <c r="AB73" s="422"/>
      <c r="AC73" s="422"/>
      <c r="AD73" s="422"/>
      <c r="AE73" s="404"/>
    </row>
    <row r="74" spans="1:31">
      <c r="A74" s="398"/>
      <c r="B74" s="431"/>
      <c r="C74" s="431"/>
      <c r="D74" s="412" t="s">
        <v>527</v>
      </c>
      <c r="E74" s="413">
        <v>511</v>
      </c>
      <c r="F74" s="422"/>
      <c r="G74" s="422"/>
      <c r="H74" s="422"/>
      <c r="I74" s="422"/>
      <c r="J74" s="422"/>
      <c r="K74" s="422"/>
      <c r="L74" s="422"/>
      <c r="M74" s="422"/>
      <c r="N74" s="422"/>
      <c r="O74" s="422"/>
      <c r="P74" s="422"/>
      <c r="Q74" s="422"/>
      <c r="R74" s="404"/>
      <c r="S74" s="422"/>
      <c r="T74" s="422"/>
      <c r="U74" s="422"/>
      <c r="V74" s="422"/>
      <c r="W74" s="422"/>
      <c r="X74" s="422"/>
      <c r="Y74" s="422"/>
      <c r="Z74" s="422"/>
      <c r="AA74" s="422"/>
      <c r="AB74" s="422"/>
      <c r="AC74" s="422"/>
      <c r="AD74" s="422"/>
      <c r="AE74" s="404">
        <f t="shared" si="0"/>
        <v>0</v>
      </c>
    </row>
    <row r="75" spans="1:31">
      <c r="A75" s="398"/>
      <c r="B75" s="431"/>
      <c r="C75" s="431"/>
      <c r="D75" s="412" t="s">
        <v>507</v>
      </c>
      <c r="E75" s="413">
        <v>711</v>
      </c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2"/>
      <c r="Q75" s="422"/>
      <c r="R75" s="404"/>
      <c r="S75" s="422"/>
      <c r="T75" s="422"/>
      <c r="U75" s="422"/>
      <c r="V75" s="422"/>
      <c r="W75" s="422"/>
      <c r="X75" s="422"/>
      <c r="Y75" s="422"/>
      <c r="Z75" s="422"/>
      <c r="AA75" s="422"/>
      <c r="AB75" s="422"/>
      <c r="AC75" s="422"/>
      <c r="AD75" s="422"/>
      <c r="AE75" s="404">
        <f t="shared" si="0"/>
        <v>0</v>
      </c>
    </row>
    <row r="76" spans="1:31">
      <c r="A76" s="558">
        <v>10</v>
      </c>
      <c r="B76" s="437" t="s">
        <v>535</v>
      </c>
      <c r="C76" s="560" t="s">
        <v>536</v>
      </c>
      <c r="D76" s="559" t="s">
        <v>500</v>
      </c>
      <c r="E76" s="561">
        <v>511</v>
      </c>
      <c r="F76" s="564"/>
      <c r="G76" s="562"/>
      <c r="H76" s="562"/>
      <c r="I76" s="562"/>
      <c r="J76" s="562"/>
      <c r="K76" s="562"/>
      <c r="L76" s="562"/>
      <c r="M76" s="562"/>
      <c r="N76" s="562"/>
      <c r="O76" s="562"/>
      <c r="P76" s="562"/>
      <c r="Q76" s="562"/>
      <c r="R76" s="563"/>
      <c r="S76" s="564"/>
      <c r="T76" s="562"/>
      <c r="U76" s="562"/>
      <c r="V76" s="562"/>
      <c r="W76" s="562"/>
      <c r="X76" s="562"/>
      <c r="Y76" s="562"/>
      <c r="Z76" s="562"/>
      <c r="AA76" s="562"/>
      <c r="AB76" s="562"/>
      <c r="AC76" s="562"/>
      <c r="AD76" s="562"/>
      <c r="AE76" s="563">
        <f t="shared" si="0"/>
        <v>0</v>
      </c>
    </row>
    <row r="77" spans="1:31">
      <c r="A77" s="398"/>
      <c r="B77" s="431"/>
      <c r="C77" s="435"/>
      <c r="D77" s="424" t="s">
        <v>511</v>
      </c>
      <c r="E77" s="413">
        <v>511</v>
      </c>
      <c r="F77" s="422"/>
      <c r="G77" s="422"/>
      <c r="H77" s="422"/>
      <c r="I77" s="422"/>
      <c r="J77" s="422"/>
      <c r="K77" s="422"/>
      <c r="L77" s="422"/>
      <c r="M77" s="422"/>
      <c r="N77" s="422"/>
      <c r="O77" s="422"/>
      <c r="P77" s="422"/>
      <c r="Q77" s="422"/>
      <c r="R77" s="438"/>
      <c r="S77" s="422"/>
      <c r="T77" s="422"/>
      <c r="U77" s="422"/>
      <c r="V77" s="422"/>
      <c r="W77" s="422"/>
      <c r="X77" s="422"/>
      <c r="Y77" s="422"/>
      <c r="Z77" s="422"/>
      <c r="AA77" s="422"/>
      <c r="AB77" s="422"/>
      <c r="AC77" s="422"/>
      <c r="AD77" s="422"/>
      <c r="AE77" s="438">
        <f t="shared" si="0"/>
        <v>0</v>
      </c>
    </row>
    <row r="78" spans="1:31">
      <c r="A78" s="423"/>
      <c r="B78" s="433"/>
      <c r="C78" s="433"/>
      <c r="D78" s="412" t="s">
        <v>501</v>
      </c>
      <c r="E78" s="413">
        <v>511</v>
      </c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38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38">
        <f t="shared" si="0"/>
        <v>0</v>
      </c>
    </row>
    <row r="79" spans="1:31">
      <c r="A79" s="423"/>
      <c r="B79" s="433"/>
      <c r="C79" s="433"/>
      <c r="D79" s="412" t="s">
        <v>527</v>
      </c>
      <c r="E79" s="413">
        <v>511</v>
      </c>
      <c r="F79" s="427"/>
      <c r="G79" s="427"/>
      <c r="H79" s="427"/>
      <c r="I79" s="427"/>
      <c r="J79" s="427"/>
      <c r="K79" s="427"/>
      <c r="L79" s="427"/>
      <c r="M79" s="427"/>
      <c r="N79" s="427"/>
      <c r="O79" s="427"/>
      <c r="P79" s="427"/>
      <c r="Q79" s="427"/>
      <c r="R79" s="438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38">
        <f t="shared" si="0"/>
        <v>0</v>
      </c>
    </row>
    <row r="80" spans="1:31">
      <c r="A80" s="414"/>
      <c r="B80" s="433"/>
      <c r="C80" s="433"/>
      <c r="D80" s="434" t="s">
        <v>507</v>
      </c>
      <c r="E80" s="439">
        <v>711</v>
      </c>
      <c r="F80" s="427"/>
      <c r="G80" s="427"/>
      <c r="H80" s="427"/>
      <c r="I80" s="427"/>
      <c r="J80" s="427"/>
      <c r="K80" s="427"/>
      <c r="L80" s="427"/>
      <c r="M80" s="427"/>
      <c r="N80" s="427"/>
      <c r="O80" s="427"/>
      <c r="P80" s="427"/>
      <c r="Q80" s="427"/>
      <c r="R80" s="419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19">
        <f t="shared" si="0"/>
        <v>0</v>
      </c>
    </row>
    <row r="81" spans="1:32">
      <c r="A81" s="558">
        <v>11</v>
      </c>
      <c r="B81" s="560" t="s">
        <v>537</v>
      </c>
      <c r="C81" s="560" t="s">
        <v>538</v>
      </c>
      <c r="D81" s="440" t="s">
        <v>501</v>
      </c>
      <c r="E81" s="441">
        <v>511</v>
      </c>
      <c r="F81" s="562"/>
      <c r="G81" s="562"/>
      <c r="H81" s="562"/>
      <c r="I81" s="562"/>
      <c r="J81" s="562"/>
      <c r="K81" s="562"/>
      <c r="L81" s="562"/>
      <c r="M81" s="562"/>
      <c r="N81" s="562"/>
      <c r="O81" s="562"/>
      <c r="P81" s="562"/>
      <c r="Q81" s="562"/>
      <c r="R81" s="563"/>
      <c r="S81" s="562"/>
      <c r="T81" s="562"/>
      <c r="U81" s="562">
        <v>2000000</v>
      </c>
      <c r="V81" s="562"/>
      <c r="W81" s="562"/>
      <c r="X81" s="562"/>
      <c r="Y81" s="562"/>
      <c r="Z81" s="562"/>
      <c r="AA81" s="562"/>
      <c r="AB81" s="562"/>
      <c r="AC81" s="562"/>
      <c r="AD81" s="562"/>
      <c r="AE81" s="563">
        <f t="shared" si="0"/>
        <v>2000000</v>
      </c>
    </row>
    <row r="82" spans="1:32">
      <c r="A82" s="423"/>
      <c r="B82" s="433"/>
      <c r="C82" s="433"/>
      <c r="D82" s="434" t="s">
        <v>500</v>
      </c>
      <c r="E82" s="439">
        <v>511</v>
      </c>
      <c r="F82" s="422"/>
      <c r="G82" s="422"/>
      <c r="H82" s="422"/>
      <c r="I82" s="422"/>
      <c r="J82" s="422"/>
      <c r="K82" s="422"/>
      <c r="L82" s="422"/>
      <c r="M82" s="422"/>
      <c r="N82" s="422"/>
      <c r="O82" s="422"/>
      <c r="P82" s="422"/>
      <c r="Q82" s="422"/>
      <c r="R82" s="404"/>
      <c r="S82" s="422"/>
      <c r="T82" s="422"/>
      <c r="U82" s="422"/>
      <c r="V82" s="422"/>
      <c r="W82" s="422"/>
      <c r="X82" s="422"/>
      <c r="Y82" s="422"/>
      <c r="Z82" s="422"/>
      <c r="AA82" s="422"/>
      <c r="AB82" s="422"/>
      <c r="AC82" s="422"/>
      <c r="AD82" s="422"/>
      <c r="AE82" s="404">
        <f t="shared" si="0"/>
        <v>0</v>
      </c>
    </row>
    <row r="83" spans="1:32">
      <c r="A83" s="423"/>
      <c r="B83" s="433"/>
      <c r="C83" s="433"/>
      <c r="D83" s="434" t="s">
        <v>511</v>
      </c>
      <c r="E83" s="439">
        <v>511</v>
      </c>
      <c r="F83" s="422"/>
      <c r="G83" s="422"/>
      <c r="H83" s="422"/>
      <c r="I83" s="422"/>
      <c r="J83" s="422"/>
      <c r="K83" s="422"/>
      <c r="L83" s="422"/>
      <c r="M83" s="422"/>
      <c r="N83" s="422"/>
      <c r="O83" s="422"/>
      <c r="P83" s="422"/>
      <c r="Q83" s="422"/>
      <c r="R83" s="404"/>
      <c r="S83" s="422"/>
      <c r="T83" s="422"/>
      <c r="U83" s="422">
        <v>16155000</v>
      </c>
      <c r="V83" s="422"/>
      <c r="W83" s="422"/>
      <c r="X83" s="422"/>
      <c r="Y83" s="422"/>
      <c r="Z83" s="422"/>
      <c r="AA83" s="422"/>
      <c r="AB83" s="422"/>
      <c r="AC83" s="422"/>
      <c r="AD83" s="422"/>
      <c r="AE83" s="404">
        <f t="shared" si="0"/>
        <v>16155000</v>
      </c>
    </row>
    <row r="84" spans="1:32">
      <c r="A84" s="423"/>
      <c r="B84" s="433"/>
      <c r="C84" s="433"/>
      <c r="D84" s="434" t="s">
        <v>502</v>
      </c>
      <c r="E84" s="439">
        <v>711</v>
      </c>
      <c r="F84" s="422"/>
      <c r="G84" s="422"/>
      <c r="H84" s="422"/>
      <c r="I84" s="422"/>
      <c r="J84" s="422"/>
      <c r="K84" s="422"/>
      <c r="L84" s="422"/>
      <c r="M84" s="422"/>
      <c r="N84" s="422"/>
      <c r="O84" s="422"/>
      <c r="P84" s="422"/>
      <c r="Q84" s="422"/>
      <c r="R84" s="404"/>
      <c r="S84" s="422"/>
      <c r="T84" s="422"/>
      <c r="U84" s="422"/>
      <c r="V84" s="422"/>
      <c r="W84" s="422"/>
      <c r="X84" s="422"/>
      <c r="Y84" s="422"/>
      <c r="Z84" s="422"/>
      <c r="AA84" s="422"/>
      <c r="AB84" s="422"/>
      <c r="AC84" s="422"/>
      <c r="AD84" s="422"/>
      <c r="AE84" s="404">
        <f t="shared" ref="AE84:AE129" si="1">SUM(S84:AD84)</f>
        <v>0</v>
      </c>
    </row>
    <row r="85" spans="1:32">
      <c r="A85" s="423"/>
      <c r="B85" s="433"/>
      <c r="C85" s="431"/>
      <c r="D85" s="412" t="s">
        <v>503</v>
      </c>
      <c r="E85" s="413">
        <v>515</v>
      </c>
      <c r="F85" s="422"/>
      <c r="G85" s="422"/>
      <c r="H85" s="422"/>
      <c r="I85" s="422"/>
      <c r="J85" s="422"/>
      <c r="K85" s="422"/>
      <c r="L85" s="422"/>
      <c r="M85" s="422"/>
      <c r="N85" s="422"/>
      <c r="O85" s="422"/>
      <c r="P85" s="422"/>
      <c r="Q85" s="422"/>
      <c r="R85" s="404"/>
      <c r="S85" s="422"/>
      <c r="T85" s="422"/>
      <c r="U85" s="422"/>
      <c r="V85" s="422"/>
      <c r="W85" s="422"/>
      <c r="X85" s="422"/>
      <c r="Y85" s="422"/>
      <c r="Z85" s="422"/>
      <c r="AA85" s="422"/>
      <c r="AB85" s="422"/>
      <c r="AC85" s="422"/>
      <c r="AD85" s="422"/>
      <c r="AE85" s="404">
        <f t="shared" si="1"/>
        <v>0</v>
      </c>
    </row>
    <row r="86" spans="1:32">
      <c r="A86" s="414"/>
      <c r="B86" s="433"/>
      <c r="C86" s="515"/>
      <c r="D86" s="426" t="s">
        <v>507</v>
      </c>
      <c r="E86" s="442">
        <v>7118</v>
      </c>
      <c r="F86" s="427"/>
      <c r="G86" s="427"/>
      <c r="H86" s="427"/>
      <c r="I86" s="427"/>
      <c r="J86" s="427"/>
      <c r="K86" s="427"/>
      <c r="L86" s="427"/>
      <c r="M86" s="427">
        <v>12623893</v>
      </c>
      <c r="N86" s="427"/>
      <c r="O86" s="427"/>
      <c r="P86" s="427"/>
      <c r="Q86" s="427"/>
      <c r="R86" s="428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8">
        <f t="shared" si="1"/>
        <v>0</v>
      </c>
    </row>
    <row r="87" spans="1:32">
      <c r="A87" s="558">
        <v>12</v>
      </c>
      <c r="B87" s="560" t="s">
        <v>539</v>
      </c>
      <c r="C87" s="560" t="s">
        <v>540</v>
      </c>
      <c r="D87" s="559" t="s">
        <v>500</v>
      </c>
      <c r="E87" s="561">
        <v>511521</v>
      </c>
      <c r="F87" s="562"/>
      <c r="G87" s="562"/>
      <c r="H87" s="562">
        <v>1399346960</v>
      </c>
      <c r="I87" s="562">
        <v>1430034672</v>
      </c>
      <c r="J87" s="562">
        <v>2801898792</v>
      </c>
      <c r="K87" s="562">
        <v>1427250000</v>
      </c>
      <c r="L87" s="562">
        <v>2143446322</v>
      </c>
      <c r="M87" s="562">
        <v>2134746900</v>
      </c>
      <c r="N87" s="562"/>
      <c r="O87" s="562">
        <v>2530822800</v>
      </c>
      <c r="P87" s="562">
        <v>1901394000</v>
      </c>
      <c r="Q87" s="562"/>
      <c r="R87" s="563"/>
      <c r="S87" s="562"/>
      <c r="T87" s="562"/>
      <c r="U87" s="562">
        <v>2538918800</v>
      </c>
      <c r="V87" s="562">
        <v>1270790400</v>
      </c>
      <c r="W87" s="562">
        <v>1537613000</v>
      </c>
      <c r="X87" s="562"/>
      <c r="Y87" s="562"/>
      <c r="Z87" s="562"/>
      <c r="AA87" s="562"/>
      <c r="AB87" s="562"/>
      <c r="AC87" s="562"/>
      <c r="AD87" s="562"/>
      <c r="AE87" s="563">
        <f t="shared" si="1"/>
        <v>5347322200</v>
      </c>
    </row>
    <row r="88" spans="1:32">
      <c r="A88" s="423"/>
      <c r="B88" s="431"/>
      <c r="C88" s="431"/>
      <c r="D88" s="412" t="s">
        <v>511</v>
      </c>
      <c r="E88" s="408">
        <v>511</v>
      </c>
      <c r="F88" s="422"/>
      <c r="G88" s="422"/>
      <c r="H88" s="422"/>
      <c r="I88" s="422"/>
      <c r="J88" s="422"/>
      <c r="K88" s="422"/>
      <c r="L88" s="422"/>
      <c r="M88" s="422"/>
      <c r="N88" s="422"/>
      <c r="O88" s="422"/>
      <c r="P88" s="422"/>
      <c r="Q88" s="422"/>
      <c r="R88" s="404"/>
      <c r="S88" s="422"/>
      <c r="T88" s="422"/>
      <c r="U88" s="422"/>
      <c r="V88" s="422"/>
      <c r="W88" s="422"/>
      <c r="X88" s="422"/>
      <c r="Y88" s="422"/>
      <c r="Z88" s="422"/>
      <c r="AA88" s="422"/>
      <c r="AB88" s="422"/>
      <c r="AC88" s="422"/>
      <c r="AD88" s="422"/>
      <c r="AE88" s="404">
        <f t="shared" si="1"/>
        <v>0</v>
      </c>
    </row>
    <row r="89" spans="1:32">
      <c r="A89" s="423"/>
      <c r="B89" s="431"/>
      <c r="C89" s="431"/>
      <c r="D89" s="412" t="s">
        <v>501</v>
      </c>
      <c r="E89" s="408">
        <v>511</v>
      </c>
      <c r="F89" s="422"/>
      <c r="G89" s="422"/>
      <c r="H89" s="422"/>
      <c r="I89" s="422"/>
      <c r="J89" s="422"/>
      <c r="K89" s="422"/>
      <c r="L89" s="422"/>
      <c r="M89" s="422"/>
      <c r="N89" s="422"/>
      <c r="O89" s="422"/>
      <c r="P89" s="422"/>
      <c r="Q89" s="422"/>
      <c r="R89" s="404"/>
      <c r="S89" s="422"/>
      <c r="T89" s="422"/>
      <c r="U89" s="422"/>
      <c r="V89" s="422"/>
      <c r="W89" s="422"/>
      <c r="X89" s="422"/>
      <c r="Y89" s="422"/>
      <c r="Z89" s="422"/>
      <c r="AA89" s="422"/>
      <c r="AB89" s="422"/>
      <c r="AC89" s="422"/>
      <c r="AD89" s="422"/>
      <c r="AE89" s="404">
        <f t="shared" si="1"/>
        <v>0</v>
      </c>
    </row>
    <row r="90" spans="1:32">
      <c r="A90" s="423"/>
      <c r="B90" s="431"/>
      <c r="C90" s="431"/>
      <c r="D90" s="412" t="s">
        <v>527</v>
      </c>
      <c r="E90" s="413">
        <v>511</v>
      </c>
      <c r="F90" s="422"/>
      <c r="G90" s="422"/>
      <c r="H90" s="422"/>
      <c r="I90" s="422"/>
      <c r="J90" s="422"/>
      <c r="K90" s="422"/>
      <c r="L90" s="422"/>
      <c r="M90" s="422"/>
      <c r="N90" s="422"/>
      <c r="O90" s="422"/>
      <c r="P90" s="422"/>
      <c r="Q90" s="422"/>
      <c r="R90" s="404"/>
      <c r="S90" s="422"/>
      <c r="T90" s="422"/>
      <c r="U90" s="422"/>
      <c r="V90" s="422"/>
      <c r="W90" s="422"/>
      <c r="X90" s="422"/>
      <c r="Y90" s="422"/>
      <c r="Z90" s="422"/>
      <c r="AA90" s="422"/>
      <c r="AB90" s="422"/>
      <c r="AC90" s="422"/>
      <c r="AD90" s="422"/>
      <c r="AE90" s="404">
        <f t="shared" si="1"/>
        <v>0</v>
      </c>
    </row>
    <row r="91" spans="1:32">
      <c r="A91" s="423"/>
      <c r="B91" s="431"/>
      <c r="C91" s="431"/>
      <c r="D91" s="412" t="s">
        <v>502</v>
      </c>
      <c r="E91" s="413">
        <v>711</v>
      </c>
      <c r="F91" s="422"/>
      <c r="G91" s="422"/>
      <c r="H91" s="422"/>
      <c r="I91" s="422"/>
      <c r="J91" s="422"/>
      <c r="K91" s="422"/>
      <c r="L91" s="422"/>
      <c r="M91" s="422"/>
      <c r="N91" s="422"/>
      <c r="O91" s="422"/>
      <c r="P91" s="422"/>
      <c r="Q91" s="422"/>
      <c r="R91" s="404"/>
      <c r="S91" s="422"/>
      <c r="T91" s="422"/>
      <c r="U91" s="422"/>
      <c r="V91" s="422"/>
      <c r="W91" s="422"/>
      <c r="X91" s="422"/>
      <c r="Y91" s="422"/>
      <c r="Z91" s="422"/>
      <c r="AA91" s="422"/>
      <c r="AB91" s="422"/>
      <c r="AC91" s="422"/>
      <c r="AD91" s="422"/>
      <c r="AE91" s="404">
        <f t="shared" si="1"/>
        <v>0</v>
      </c>
    </row>
    <row r="92" spans="1:32">
      <c r="A92" s="423"/>
      <c r="B92" s="431"/>
      <c r="C92" s="431"/>
      <c r="D92" s="412" t="s">
        <v>503</v>
      </c>
      <c r="E92" s="413">
        <v>515</v>
      </c>
      <c r="F92" s="422"/>
      <c r="G92" s="422"/>
      <c r="H92" s="422"/>
      <c r="I92" s="422"/>
      <c r="J92" s="422"/>
      <c r="K92" s="422"/>
      <c r="L92" s="422"/>
      <c r="M92" s="422"/>
      <c r="N92" s="422"/>
      <c r="O92" s="422"/>
      <c r="P92" s="422"/>
      <c r="Q92" s="422"/>
      <c r="R92" s="404"/>
      <c r="S92" s="422"/>
      <c r="T92" s="422"/>
      <c r="U92" s="422"/>
      <c r="V92" s="422"/>
      <c r="W92" s="422"/>
      <c r="X92" s="422"/>
      <c r="Y92" s="422"/>
      <c r="Z92" s="422"/>
      <c r="AA92" s="422"/>
      <c r="AB92" s="422"/>
      <c r="AC92" s="422"/>
      <c r="AD92" s="422"/>
      <c r="AE92" s="404">
        <f t="shared" si="1"/>
        <v>0</v>
      </c>
    </row>
    <row r="93" spans="1:32">
      <c r="A93" s="425"/>
      <c r="B93" s="433"/>
      <c r="C93" s="433"/>
      <c r="D93" s="434" t="s">
        <v>507</v>
      </c>
      <c r="E93" s="442">
        <v>7118</v>
      </c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8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8">
        <f t="shared" si="1"/>
        <v>0</v>
      </c>
    </row>
    <row r="94" spans="1:32">
      <c r="A94" s="443">
        <v>13</v>
      </c>
      <c r="B94" s="560" t="s">
        <v>541</v>
      </c>
      <c r="C94" s="560" t="s">
        <v>542</v>
      </c>
      <c r="D94" s="559" t="s">
        <v>501</v>
      </c>
      <c r="E94" s="441">
        <v>511</v>
      </c>
      <c r="F94" s="562"/>
      <c r="G94" s="562"/>
      <c r="H94" s="562"/>
      <c r="I94" s="562"/>
      <c r="J94" s="562"/>
      <c r="K94" s="562"/>
      <c r="L94" s="562"/>
      <c r="M94" s="562"/>
      <c r="N94" s="562"/>
      <c r="O94" s="562"/>
      <c r="P94" s="562"/>
      <c r="Q94" s="562"/>
      <c r="R94" s="563"/>
      <c r="S94" s="562"/>
      <c r="T94" s="562"/>
      <c r="U94" s="562"/>
      <c r="V94" s="562"/>
      <c r="W94" s="562"/>
      <c r="X94" s="562"/>
      <c r="Y94" s="562"/>
      <c r="Z94" s="562"/>
      <c r="AA94" s="562"/>
      <c r="AB94" s="562"/>
      <c r="AC94" s="562"/>
      <c r="AD94" s="562"/>
      <c r="AE94" s="563">
        <f t="shared" si="1"/>
        <v>0</v>
      </c>
      <c r="AF94" s="430"/>
    </row>
    <row r="95" spans="1:32">
      <c r="A95" s="425"/>
      <c r="B95" s="433"/>
      <c r="C95" s="433"/>
      <c r="D95" s="412" t="s">
        <v>500</v>
      </c>
      <c r="E95" s="439">
        <v>511</v>
      </c>
      <c r="F95" s="422"/>
      <c r="G95" s="422"/>
      <c r="H95" s="422"/>
      <c r="I95" s="422"/>
      <c r="J95" s="422"/>
      <c r="K95" s="422"/>
      <c r="L95" s="422"/>
      <c r="M95" s="422"/>
      <c r="N95" s="422"/>
      <c r="O95" s="422"/>
      <c r="P95" s="422"/>
      <c r="Q95" s="422"/>
      <c r="R95" s="404"/>
      <c r="S95" s="422"/>
      <c r="T95" s="422"/>
      <c r="U95" s="422"/>
      <c r="V95" s="422"/>
      <c r="W95" s="422"/>
      <c r="X95" s="422"/>
      <c r="Y95" s="422"/>
      <c r="Z95" s="422"/>
      <c r="AA95" s="422"/>
      <c r="AB95" s="422"/>
      <c r="AC95" s="422"/>
      <c r="AD95" s="422"/>
      <c r="AE95" s="404">
        <f t="shared" si="1"/>
        <v>0</v>
      </c>
    </row>
    <row r="96" spans="1:32">
      <c r="A96" s="425"/>
      <c r="B96" s="433"/>
      <c r="C96" s="433"/>
      <c r="D96" s="434" t="s">
        <v>511</v>
      </c>
      <c r="E96" s="439">
        <v>511</v>
      </c>
      <c r="F96" s="422"/>
      <c r="G96" s="422"/>
      <c r="H96" s="422"/>
      <c r="I96" s="422"/>
      <c r="J96" s="422"/>
      <c r="K96" s="422"/>
      <c r="L96" s="422"/>
      <c r="M96" s="422"/>
      <c r="N96" s="422"/>
      <c r="O96" s="422"/>
      <c r="P96" s="422"/>
      <c r="Q96" s="422"/>
      <c r="R96" s="404"/>
      <c r="S96" s="422"/>
      <c r="T96" s="422"/>
      <c r="U96" s="422"/>
      <c r="V96" s="422"/>
      <c r="W96" s="422"/>
      <c r="X96" s="422"/>
      <c r="Y96" s="422"/>
      <c r="Z96" s="422"/>
      <c r="AA96" s="422"/>
      <c r="AB96" s="422"/>
      <c r="AC96" s="422"/>
      <c r="AD96" s="422"/>
      <c r="AE96" s="404">
        <f t="shared" si="1"/>
        <v>0</v>
      </c>
    </row>
    <row r="97" spans="1:33">
      <c r="A97" s="425"/>
      <c r="B97" s="433"/>
      <c r="C97" s="433"/>
      <c r="D97" s="434" t="s">
        <v>502</v>
      </c>
      <c r="E97" s="439">
        <v>711</v>
      </c>
      <c r="F97" s="422"/>
      <c r="G97" s="422"/>
      <c r="H97" s="422"/>
      <c r="I97" s="422"/>
      <c r="J97" s="422"/>
      <c r="K97" s="422"/>
      <c r="L97" s="422"/>
      <c r="M97" s="422"/>
      <c r="N97" s="422"/>
      <c r="O97" s="422"/>
      <c r="P97" s="422"/>
      <c r="Q97" s="422"/>
      <c r="R97" s="404"/>
      <c r="S97" s="422"/>
      <c r="T97" s="422"/>
      <c r="U97" s="422"/>
      <c r="V97" s="422"/>
      <c r="W97" s="422"/>
      <c r="X97" s="422"/>
      <c r="Y97" s="422"/>
      <c r="Z97" s="422"/>
      <c r="AA97" s="422"/>
      <c r="AB97" s="422"/>
      <c r="AC97" s="422"/>
      <c r="AD97" s="422"/>
      <c r="AE97" s="404">
        <f t="shared" si="1"/>
        <v>0</v>
      </c>
    </row>
    <row r="98" spans="1:33">
      <c r="A98" s="425"/>
      <c r="B98" s="431"/>
      <c r="C98" s="431"/>
      <c r="D98" s="412" t="s">
        <v>503</v>
      </c>
      <c r="E98" s="413">
        <v>515</v>
      </c>
      <c r="F98" s="422"/>
      <c r="G98" s="422"/>
      <c r="H98" s="422"/>
      <c r="I98" s="422"/>
      <c r="J98" s="422"/>
      <c r="K98" s="422"/>
      <c r="L98" s="422"/>
      <c r="M98" s="422"/>
      <c r="N98" s="422"/>
      <c r="O98" s="422"/>
      <c r="P98" s="422"/>
      <c r="Q98" s="422"/>
      <c r="R98" s="404"/>
      <c r="S98" s="422"/>
      <c r="T98" s="422"/>
      <c r="U98" s="422"/>
      <c r="V98" s="422"/>
      <c r="W98" s="422"/>
      <c r="X98" s="422"/>
      <c r="Y98" s="422"/>
      <c r="Z98" s="422"/>
      <c r="AA98" s="422"/>
      <c r="AB98" s="422"/>
      <c r="AC98" s="422"/>
      <c r="AD98" s="422"/>
      <c r="AE98" s="404">
        <f t="shared" si="1"/>
        <v>0</v>
      </c>
    </row>
    <row r="99" spans="1:33">
      <c r="A99" s="425"/>
      <c r="B99" s="444"/>
      <c r="C99" s="446"/>
      <c r="D99" s="426" t="s">
        <v>507</v>
      </c>
      <c r="E99" s="442">
        <v>7118</v>
      </c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8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8">
        <f t="shared" si="1"/>
        <v>0</v>
      </c>
    </row>
    <row r="100" spans="1:33">
      <c r="A100" s="558">
        <v>14</v>
      </c>
      <c r="B100" s="560" t="s">
        <v>543</v>
      </c>
      <c r="C100" s="560" t="s">
        <v>544</v>
      </c>
      <c r="D100" s="559" t="s">
        <v>500</v>
      </c>
      <c r="E100" s="561">
        <v>511</v>
      </c>
      <c r="F100" s="562"/>
      <c r="G100" s="562"/>
      <c r="H100" s="562"/>
      <c r="I100" s="562"/>
      <c r="J100" s="562"/>
      <c r="K100" s="562"/>
      <c r="L100" s="562"/>
      <c r="M100" s="562"/>
      <c r="N100" s="562"/>
      <c r="O100" s="562"/>
      <c r="P100" s="562"/>
      <c r="Q100" s="562"/>
      <c r="R100" s="563"/>
      <c r="S100" s="562"/>
      <c r="T100" s="562"/>
      <c r="U100" s="562"/>
      <c r="V100" s="562"/>
      <c r="W100" s="562"/>
      <c r="X100" s="562"/>
      <c r="Y100" s="562"/>
      <c r="Z100" s="562"/>
      <c r="AA100" s="562"/>
      <c r="AB100" s="562"/>
      <c r="AC100" s="562"/>
      <c r="AD100" s="562"/>
      <c r="AE100" s="563">
        <f t="shared" si="1"/>
        <v>0</v>
      </c>
      <c r="AF100" s="445"/>
      <c r="AG100" s="445"/>
    </row>
    <row r="101" spans="1:33">
      <c r="A101" s="425"/>
      <c r="B101" s="433"/>
      <c r="C101" s="433"/>
      <c r="D101" s="434" t="s">
        <v>511</v>
      </c>
      <c r="E101" s="439">
        <v>511</v>
      </c>
      <c r="F101" s="422"/>
      <c r="G101" s="422"/>
      <c r="H101" s="422"/>
      <c r="I101" s="422"/>
      <c r="J101" s="422"/>
      <c r="K101" s="422"/>
      <c r="L101" s="422"/>
      <c r="M101" s="422"/>
      <c r="N101" s="422"/>
      <c r="O101" s="422"/>
      <c r="P101" s="422"/>
      <c r="Q101" s="422"/>
      <c r="R101" s="404"/>
      <c r="S101" s="422"/>
      <c r="T101" s="422"/>
      <c r="U101" s="422"/>
      <c r="V101" s="422"/>
      <c r="W101" s="422"/>
      <c r="X101" s="422"/>
      <c r="Y101" s="422"/>
      <c r="Z101" s="422"/>
      <c r="AA101" s="422"/>
      <c r="AB101" s="422"/>
      <c r="AC101" s="422"/>
      <c r="AD101" s="422"/>
      <c r="AE101" s="404">
        <f t="shared" si="1"/>
        <v>0</v>
      </c>
    </row>
    <row r="102" spans="1:33">
      <c r="A102" s="425"/>
      <c r="B102" s="433"/>
      <c r="C102" s="433"/>
      <c r="D102" s="412" t="s">
        <v>501</v>
      </c>
      <c r="E102" s="439">
        <v>511</v>
      </c>
      <c r="F102" s="422"/>
      <c r="G102" s="422"/>
      <c r="H102" s="422"/>
      <c r="I102" s="422"/>
      <c r="J102" s="422"/>
      <c r="K102" s="422"/>
      <c r="L102" s="422"/>
      <c r="M102" s="422"/>
      <c r="N102" s="422"/>
      <c r="O102" s="422"/>
      <c r="P102" s="422"/>
      <c r="Q102" s="422"/>
      <c r="R102" s="404"/>
      <c r="S102" s="422"/>
      <c r="T102" s="422"/>
      <c r="U102" s="422"/>
      <c r="V102" s="422"/>
      <c r="W102" s="422"/>
      <c r="X102" s="422"/>
      <c r="Y102" s="422"/>
      <c r="Z102" s="422"/>
      <c r="AA102" s="422"/>
      <c r="AB102" s="422"/>
      <c r="AC102" s="422"/>
      <c r="AD102" s="422"/>
      <c r="AE102" s="404">
        <f t="shared" si="1"/>
        <v>0</v>
      </c>
    </row>
    <row r="103" spans="1:33">
      <c r="A103" s="425"/>
      <c r="B103" s="433"/>
      <c r="C103" s="433"/>
      <c r="D103" s="434" t="s">
        <v>507</v>
      </c>
      <c r="E103" s="442">
        <v>7118</v>
      </c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8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8">
        <f t="shared" si="1"/>
        <v>0</v>
      </c>
    </row>
    <row r="104" spans="1:33">
      <c r="A104" s="558">
        <v>15</v>
      </c>
      <c r="B104" s="560" t="s">
        <v>545</v>
      </c>
      <c r="C104" s="560" t="s">
        <v>546</v>
      </c>
      <c r="D104" s="559" t="s">
        <v>500</v>
      </c>
      <c r="E104" s="561">
        <v>511</v>
      </c>
      <c r="F104" s="562"/>
      <c r="G104" s="562"/>
      <c r="H104" s="562"/>
      <c r="I104" s="562"/>
      <c r="J104" s="562"/>
      <c r="K104" s="562"/>
      <c r="L104" s="562"/>
      <c r="M104" s="562"/>
      <c r="N104" s="562"/>
      <c r="O104" s="562"/>
      <c r="P104" s="562"/>
      <c r="Q104" s="562"/>
      <c r="R104" s="563"/>
      <c r="S104" s="562"/>
      <c r="T104" s="562"/>
      <c r="U104" s="562"/>
      <c r="V104" s="562"/>
      <c r="W104" s="562"/>
      <c r="X104" s="562"/>
      <c r="Y104" s="562"/>
      <c r="Z104" s="562"/>
      <c r="AA104" s="562"/>
      <c r="AB104" s="562"/>
      <c r="AC104" s="562"/>
      <c r="AD104" s="562"/>
      <c r="AE104" s="563">
        <f t="shared" si="1"/>
        <v>0</v>
      </c>
    </row>
    <row r="105" spans="1:33">
      <c r="A105" s="425"/>
      <c r="B105" s="433"/>
      <c r="C105" s="433"/>
      <c r="D105" s="434" t="s">
        <v>511</v>
      </c>
      <c r="E105" s="439">
        <v>511</v>
      </c>
      <c r="F105" s="422"/>
      <c r="G105" s="422"/>
      <c r="H105" s="422"/>
      <c r="I105" s="422"/>
      <c r="J105" s="422"/>
      <c r="K105" s="422"/>
      <c r="L105" s="422"/>
      <c r="M105" s="422"/>
      <c r="N105" s="422"/>
      <c r="O105" s="422"/>
      <c r="P105" s="422"/>
      <c r="Q105" s="422"/>
      <c r="R105" s="404"/>
      <c r="S105" s="422"/>
      <c r="T105" s="422"/>
      <c r="U105" s="422"/>
      <c r="V105" s="422"/>
      <c r="W105" s="422"/>
      <c r="X105" s="422"/>
      <c r="Y105" s="422"/>
      <c r="Z105" s="422"/>
      <c r="AA105" s="422"/>
      <c r="AB105" s="422"/>
      <c r="AC105" s="422"/>
      <c r="AD105" s="422"/>
      <c r="AE105" s="404">
        <f t="shared" si="1"/>
        <v>0</v>
      </c>
    </row>
    <row r="106" spans="1:33">
      <c r="A106" s="425"/>
      <c r="B106" s="433"/>
      <c r="C106" s="433"/>
      <c r="D106" s="434" t="s">
        <v>507</v>
      </c>
      <c r="E106" s="439">
        <v>511</v>
      </c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8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8">
        <f t="shared" si="1"/>
        <v>0</v>
      </c>
    </row>
    <row r="107" spans="1:33">
      <c r="A107" s="443">
        <v>16</v>
      </c>
      <c r="B107" s="560" t="s">
        <v>547</v>
      </c>
      <c r="C107" s="560" t="s">
        <v>548</v>
      </c>
      <c r="D107" s="559" t="s">
        <v>500</v>
      </c>
      <c r="E107" s="441">
        <v>511</v>
      </c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3"/>
      <c r="S107" s="562"/>
      <c r="T107" s="562"/>
      <c r="U107" s="562"/>
      <c r="V107" s="562"/>
      <c r="W107" s="562"/>
      <c r="X107" s="562"/>
      <c r="Y107" s="562"/>
      <c r="Z107" s="562"/>
      <c r="AA107" s="562"/>
      <c r="AB107" s="562"/>
      <c r="AC107" s="562"/>
      <c r="AD107" s="562"/>
      <c r="AE107" s="563">
        <f t="shared" si="1"/>
        <v>0</v>
      </c>
    </row>
    <row r="108" spans="1:33">
      <c r="A108" s="425"/>
      <c r="B108" s="431"/>
      <c r="C108" s="435"/>
      <c r="D108" s="424" t="s">
        <v>511</v>
      </c>
      <c r="E108" s="439">
        <v>511</v>
      </c>
      <c r="F108" s="422"/>
      <c r="G108" s="422"/>
      <c r="H108" s="422"/>
      <c r="I108" s="422"/>
      <c r="J108" s="422"/>
      <c r="K108" s="422"/>
      <c r="L108" s="422"/>
      <c r="M108" s="422"/>
      <c r="N108" s="422"/>
      <c r="O108" s="422"/>
      <c r="P108" s="422"/>
      <c r="Q108" s="422"/>
      <c r="R108" s="404"/>
      <c r="S108" s="422"/>
      <c r="T108" s="422"/>
      <c r="U108" s="422"/>
      <c r="V108" s="422"/>
      <c r="W108" s="422"/>
      <c r="X108" s="422"/>
      <c r="Y108" s="422"/>
      <c r="Z108" s="422"/>
      <c r="AA108" s="422"/>
      <c r="AB108" s="422"/>
      <c r="AC108" s="422"/>
      <c r="AD108" s="422"/>
      <c r="AE108" s="404">
        <f t="shared" si="1"/>
        <v>0</v>
      </c>
    </row>
    <row r="109" spans="1:33">
      <c r="A109" s="425"/>
      <c r="B109" s="446"/>
      <c r="C109" s="515"/>
      <c r="D109" s="426" t="s">
        <v>507</v>
      </c>
      <c r="E109" s="447">
        <v>7118</v>
      </c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8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8">
        <f t="shared" si="1"/>
        <v>0</v>
      </c>
    </row>
    <row r="110" spans="1:33">
      <c r="A110" s="558">
        <v>17</v>
      </c>
      <c r="B110" s="560" t="s">
        <v>549</v>
      </c>
      <c r="C110" s="560" t="s">
        <v>550</v>
      </c>
      <c r="D110" s="559" t="s">
        <v>500</v>
      </c>
      <c r="E110" s="561">
        <v>511</v>
      </c>
      <c r="F110" s="562"/>
      <c r="G110" s="562"/>
      <c r="H110" s="562"/>
      <c r="I110" s="562"/>
      <c r="J110" s="562"/>
      <c r="K110" s="562"/>
      <c r="L110" s="562"/>
      <c r="M110" s="562"/>
      <c r="N110" s="562"/>
      <c r="O110" s="562"/>
      <c r="P110" s="562"/>
      <c r="Q110" s="562"/>
      <c r="R110" s="563"/>
      <c r="S110" s="562"/>
      <c r="T110" s="562"/>
      <c r="U110" s="562"/>
      <c r="V110" s="562"/>
      <c r="W110" s="562"/>
      <c r="X110" s="562"/>
      <c r="Y110" s="562"/>
      <c r="Z110" s="562"/>
      <c r="AA110" s="562"/>
      <c r="AB110" s="562"/>
      <c r="AC110" s="562"/>
      <c r="AD110" s="562"/>
      <c r="AE110" s="563">
        <f t="shared" si="1"/>
        <v>0</v>
      </c>
    </row>
    <row r="111" spans="1:33">
      <c r="A111" s="425"/>
      <c r="B111" s="433"/>
      <c r="C111" s="433"/>
      <c r="D111" s="434" t="s">
        <v>511</v>
      </c>
      <c r="E111" s="439">
        <v>511</v>
      </c>
      <c r="F111" s="422"/>
      <c r="G111" s="422"/>
      <c r="H111" s="422"/>
      <c r="I111" s="422"/>
      <c r="J111" s="422"/>
      <c r="K111" s="422"/>
      <c r="L111" s="422"/>
      <c r="M111" s="422"/>
      <c r="N111" s="422"/>
      <c r="O111" s="422"/>
      <c r="P111" s="422"/>
      <c r="Q111" s="422"/>
      <c r="R111" s="404"/>
      <c r="S111" s="422"/>
      <c r="T111" s="422"/>
      <c r="U111" s="422"/>
      <c r="V111" s="422"/>
      <c r="W111" s="422"/>
      <c r="X111" s="422"/>
      <c r="Y111" s="422"/>
      <c r="Z111" s="422"/>
      <c r="AA111" s="422"/>
      <c r="AB111" s="422"/>
      <c r="AC111" s="422"/>
      <c r="AD111" s="422"/>
      <c r="AE111" s="404">
        <f t="shared" si="1"/>
        <v>0</v>
      </c>
    </row>
    <row r="112" spans="1:33">
      <c r="A112" s="425"/>
      <c r="B112" s="433"/>
      <c r="C112" s="433"/>
      <c r="D112" s="412" t="s">
        <v>501</v>
      </c>
      <c r="E112" s="439">
        <v>511</v>
      </c>
      <c r="F112" s="422"/>
      <c r="G112" s="422"/>
      <c r="H112" s="422"/>
      <c r="I112" s="422"/>
      <c r="J112" s="422"/>
      <c r="K112" s="422"/>
      <c r="L112" s="422"/>
      <c r="M112" s="422"/>
      <c r="N112" s="422"/>
      <c r="O112" s="422"/>
      <c r="P112" s="422"/>
      <c r="Q112" s="422"/>
      <c r="R112" s="404"/>
      <c r="S112" s="422"/>
      <c r="T112" s="422"/>
      <c r="U112" s="422"/>
      <c r="V112" s="422"/>
      <c r="W112" s="422"/>
      <c r="X112" s="422"/>
      <c r="Y112" s="422"/>
      <c r="Z112" s="422"/>
      <c r="AA112" s="422"/>
      <c r="AB112" s="422"/>
      <c r="AC112" s="422"/>
      <c r="AD112" s="422"/>
      <c r="AE112" s="404">
        <f t="shared" si="1"/>
        <v>0</v>
      </c>
    </row>
    <row r="113" spans="1:32">
      <c r="A113" s="425"/>
      <c r="B113" s="433"/>
      <c r="C113" s="433"/>
      <c r="D113" s="434" t="s">
        <v>507</v>
      </c>
      <c r="E113" s="447">
        <v>7118</v>
      </c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8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8">
        <f t="shared" si="1"/>
        <v>0</v>
      </c>
    </row>
    <row r="114" spans="1:32">
      <c r="A114" s="558">
        <v>18</v>
      </c>
      <c r="B114" s="560" t="s">
        <v>551</v>
      </c>
      <c r="C114" s="560" t="s">
        <v>552</v>
      </c>
      <c r="D114" s="559" t="s">
        <v>500</v>
      </c>
      <c r="E114" s="561">
        <v>511</v>
      </c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3"/>
      <c r="S114" s="562"/>
      <c r="T114" s="562"/>
      <c r="U114" s="562"/>
      <c r="V114" s="562"/>
      <c r="W114" s="562"/>
      <c r="X114" s="562"/>
      <c r="Y114" s="562"/>
      <c r="Z114" s="562"/>
      <c r="AA114" s="562"/>
      <c r="AB114" s="562"/>
      <c r="AC114" s="562"/>
      <c r="AD114" s="562"/>
      <c r="AE114" s="563">
        <f t="shared" si="1"/>
        <v>0</v>
      </c>
    </row>
    <row r="115" spans="1:32">
      <c r="A115" s="425"/>
      <c r="B115" s="433"/>
      <c r="C115" s="433"/>
      <c r="D115" s="434" t="s">
        <v>511</v>
      </c>
      <c r="E115" s="439">
        <v>511</v>
      </c>
      <c r="F115" s="422"/>
      <c r="G115" s="422"/>
      <c r="H115" s="422"/>
      <c r="I115" s="422"/>
      <c r="J115" s="422"/>
      <c r="K115" s="422"/>
      <c r="L115" s="422"/>
      <c r="M115" s="422"/>
      <c r="N115" s="422"/>
      <c r="O115" s="422"/>
      <c r="P115" s="422"/>
      <c r="Q115" s="422"/>
      <c r="R115" s="404"/>
      <c r="S115" s="422"/>
      <c r="T115" s="422"/>
      <c r="U115" s="422"/>
      <c r="V115" s="422"/>
      <c r="W115" s="422"/>
      <c r="X115" s="422"/>
      <c r="Y115" s="422"/>
      <c r="Z115" s="422"/>
      <c r="AA115" s="422"/>
      <c r="AB115" s="422"/>
      <c r="AC115" s="422"/>
      <c r="AD115" s="422"/>
      <c r="AE115" s="404">
        <f t="shared" si="1"/>
        <v>0</v>
      </c>
    </row>
    <row r="116" spans="1:32">
      <c r="A116" s="425"/>
      <c r="B116" s="433"/>
      <c r="C116" s="433"/>
      <c r="D116" s="412" t="s">
        <v>501</v>
      </c>
      <c r="E116" s="439">
        <v>511</v>
      </c>
      <c r="F116" s="422"/>
      <c r="G116" s="422"/>
      <c r="H116" s="422"/>
      <c r="I116" s="422"/>
      <c r="J116" s="422"/>
      <c r="K116" s="422"/>
      <c r="L116" s="422"/>
      <c r="M116" s="422"/>
      <c r="N116" s="422"/>
      <c r="O116" s="422"/>
      <c r="P116" s="422"/>
      <c r="Q116" s="422"/>
      <c r="R116" s="404"/>
      <c r="S116" s="422"/>
      <c r="T116" s="422"/>
      <c r="U116" s="422"/>
      <c r="V116" s="422"/>
      <c r="W116" s="422"/>
      <c r="X116" s="422"/>
      <c r="Y116" s="422"/>
      <c r="Z116" s="422"/>
      <c r="AA116" s="422"/>
      <c r="AB116" s="422"/>
      <c r="AC116" s="422"/>
      <c r="AD116" s="422"/>
      <c r="AE116" s="404">
        <f t="shared" si="1"/>
        <v>0</v>
      </c>
    </row>
    <row r="117" spans="1:32">
      <c r="A117" s="425"/>
      <c r="B117" s="433"/>
      <c r="C117" s="433"/>
      <c r="D117" s="434" t="s">
        <v>507</v>
      </c>
      <c r="E117" s="448">
        <v>7118</v>
      </c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8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8">
        <f t="shared" si="1"/>
        <v>0</v>
      </c>
    </row>
    <row r="118" spans="1:32">
      <c r="A118" s="558">
        <v>19</v>
      </c>
      <c r="B118" s="560" t="s">
        <v>553</v>
      </c>
      <c r="C118" s="560" t="s">
        <v>554</v>
      </c>
      <c r="D118" s="559" t="s">
        <v>500</v>
      </c>
      <c r="E118" s="561">
        <v>511</v>
      </c>
      <c r="F118" s="562"/>
      <c r="G118" s="562"/>
      <c r="H118" s="562"/>
      <c r="I118" s="562"/>
      <c r="J118" s="562"/>
      <c r="K118" s="562"/>
      <c r="L118" s="562"/>
      <c r="M118" s="562"/>
      <c r="N118" s="562"/>
      <c r="O118" s="562"/>
      <c r="P118" s="562"/>
      <c r="Q118" s="562"/>
      <c r="R118" s="563"/>
      <c r="S118" s="562"/>
      <c r="T118" s="562"/>
      <c r="U118" s="562"/>
      <c r="V118" s="562"/>
      <c r="W118" s="562"/>
      <c r="X118" s="562"/>
      <c r="Y118" s="562"/>
      <c r="Z118" s="562"/>
      <c r="AA118" s="562"/>
      <c r="AB118" s="562"/>
      <c r="AC118" s="562"/>
      <c r="AD118" s="562"/>
      <c r="AE118" s="563">
        <f t="shared" si="1"/>
        <v>0</v>
      </c>
      <c r="AF118" s="430"/>
    </row>
    <row r="119" spans="1:32">
      <c r="A119" s="425"/>
      <c r="B119" s="431"/>
      <c r="C119" s="431"/>
      <c r="D119" s="412" t="s">
        <v>511</v>
      </c>
      <c r="E119" s="439">
        <v>511</v>
      </c>
      <c r="F119" s="422"/>
      <c r="G119" s="422"/>
      <c r="H119" s="422"/>
      <c r="I119" s="422"/>
      <c r="J119" s="422"/>
      <c r="K119" s="422"/>
      <c r="L119" s="422"/>
      <c r="M119" s="422"/>
      <c r="N119" s="422"/>
      <c r="O119" s="422"/>
      <c r="P119" s="422"/>
      <c r="Q119" s="422"/>
      <c r="R119" s="404"/>
      <c r="S119" s="422"/>
      <c r="T119" s="422"/>
      <c r="U119" s="422"/>
      <c r="V119" s="422"/>
      <c r="W119" s="422"/>
      <c r="X119" s="422"/>
      <c r="Y119" s="422"/>
      <c r="Z119" s="422"/>
      <c r="AA119" s="422"/>
      <c r="AB119" s="422"/>
      <c r="AC119" s="422"/>
      <c r="AD119" s="422"/>
      <c r="AE119" s="404">
        <f t="shared" si="1"/>
        <v>0</v>
      </c>
    </row>
    <row r="120" spans="1:32">
      <c r="A120" s="425"/>
      <c r="B120" s="446"/>
      <c r="C120" s="446"/>
      <c r="D120" s="449" t="s">
        <v>507</v>
      </c>
      <c r="E120" s="439">
        <v>511</v>
      </c>
      <c r="F120" s="450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8"/>
      <c r="S120" s="450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8">
        <f t="shared" si="1"/>
        <v>0</v>
      </c>
    </row>
    <row r="121" spans="1:32">
      <c r="A121" s="443">
        <v>20</v>
      </c>
      <c r="B121" s="560" t="s">
        <v>555</v>
      </c>
      <c r="C121" s="560" t="s">
        <v>556</v>
      </c>
      <c r="D121" s="559" t="s">
        <v>500</v>
      </c>
      <c r="E121" s="451">
        <v>511</v>
      </c>
      <c r="F121" s="564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3"/>
      <c r="S121" s="564"/>
      <c r="T121" s="562"/>
      <c r="U121" s="562"/>
      <c r="V121" s="562"/>
      <c r="W121" s="562"/>
      <c r="X121" s="562"/>
      <c r="Y121" s="562"/>
      <c r="Z121" s="562"/>
      <c r="AA121" s="562"/>
      <c r="AB121" s="562"/>
      <c r="AC121" s="562"/>
      <c r="AD121" s="562"/>
      <c r="AE121" s="563">
        <f t="shared" si="1"/>
        <v>0</v>
      </c>
    </row>
    <row r="122" spans="1:32">
      <c r="A122" s="425"/>
      <c r="B122" s="431"/>
      <c r="C122" s="431"/>
      <c r="D122" s="412" t="s">
        <v>511</v>
      </c>
      <c r="E122" s="448">
        <v>511</v>
      </c>
      <c r="F122" s="421"/>
      <c r="G122" s="422"/>
      <c r="H122" s="422"/>
      <c r="I122" s="422"/>
      <c r="J122" s="422"/>
      <c r="K122" s="422"/>
      <c r="L122" s="422"/>
      <c r="M122" s="422"/>
      <c r="N122" s="422"/>
      <c r="O122" s="422"/>
      <c r="P122" s="422"/>
      <c r="Q122" s="422"/>
      <c r="R122" s="404"/>
      <c r="S122" s="421"/>
      <c r="T122" s="422"/>
      <c r="U122" s="422"/>
      <c r="V122" s="422"/>
      <c r="W122" s="422"/>
      <c r="X122" s="422"/>
      <c r="Y122" s="422"/>
      <c r="Z122" s="422"/>
      <c r="AA122" s="422"/>
      <c r="AB122" s="422"/>
      <c r="AC122" s="422"/>
      <c r="AD122" s="422"/>
      <c r="AE122" s="404">
        <f t="shared" si="1"/>
        <v>0</v>
      </c>
    </row>
    <row r="123" spans="1:32">
      <c r="A123" s="425"/>
      <c r="B123" s="446"/>
      <c r="C123" s="446"/>
      <c r="D123" s="449" t="s">
        <v>507</v>
      </c>
      <c r="E123" s="448">
        <v>7118</v>
      </c>
      <c r="F123" s="450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8"/>
      <c r="S123" s="450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8">
        <f t="shared" si="1"/>
        <v>0</v>
      </c>
    </row>
    <row r="124" spans="1:32">
      <c r="A124" s="443">
        <v>21</v>
      </c>
      <c r="B124" s="560" t="s">
        <v>557</v>
      </c>
      <c r="C124" s="560" t="s">
        <v>558</v>
      </c>
      <c r="D124" s="559" t="s">
        <v>500</v>
      </c>
      <c r="E124" s="441">
        <v>511</v>
      </c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3"/>
      <c r="S124" s="562"/>
      <c r="T124" s="562"/>
      <c r="U124" s="562"/>
      <c r="V124" s="562"/>
      <c r="W124" s="562"/>
      <c r="X124" s="562"/>
      <c r="Y124" s="562"/>
      <c r="Z124" s="562"/>
      <c r="AA124" s="562"/>
      <c r="AB124" s="562"/>
      <c r="AC124" s="562"/>
      <c r="AD124" s="562"/>
      <c r="AE124" s="563">
        <f t="shared" si="1"/>
        <v>0</v>
      </c>
    </row>
    <row r="125" spans="1:32">
      <c r="A125" s="423"/>
      <c r="B125" s="431"/>
      <c r="C125" s="431"/>
      <c r="D125" s="412" t="s">
        <v>511</v>
      </c>
      <c r="E125" s="413">
        <v>511</v>
      </c>
      <c r="F125" s="422"/>
      <c r="G125" s="422"/>
      <c r="H125" s="422"/>
      <c r="I125" s="422"/>
      <c r="J125" s="422"/>
      <c r="K125" s="422"/>
      <c r="L125" s="422"/>
      <c r="M125" s="422"/>
      <c r="N125" s="422"/>
      <c r="O125" s="422"/>
      <c r="P125" s="422"/>
      <c r="Q125" s="422"/>
      <c r="R125" s="438"/>
      <c r="S125" s="422"/>
      <c r="T125" s="422"/>
      <c r="U125" s="422"/>
      <c r="V125" s="422"/>
      <c r="W125" s="422"/>
      <c r="X125" s="422"/>
      <c r="Y125" s="422"/>
      <c r="Z125" s="422"/>
      <c r="AA125" s="422"/>
      <c r="AB125" s="422"/>
      <c r="AC125" s="422"/>
      <c r="AD125" s="422"/>
      <c r="AE125" s="438">
        <f t="shared" si="1"/>
        <v>0</v>
      </c>
    </row>
    <row r="126" spans="1:32">
      <c r="A126" s="414"/>
      <c r="B126" s="446"/>
      <c r="C126" s="446"/>
      <c r="D126" s="449" t="s">
        <v>507</v>
      </c>
      <c r="E126" s="447">
        <v>7118</v>
      </c>
      <c r="F126" s="418"/>
      <c r="G126" s="418"/>
      <c r="H126" s="418"/>
      <c r="I126" s="418"/>
      <c r="J126" s="418"/>
      <c r="K126" s="418"/>
      <c r="L126" s="418"/>
      <c r="M126" s="418"/>
      <c r="N126" s="418"/>
      <c r="O126" s="418"/>
      <c r="P126" s="418"/>
      <c r="Q126" s="418"/>
      <c r="R126" s="419"/>
      <c r="S126" s="418"/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419">
        <f t="shared" si="1"/>
        <v>0</v>
      </c>
    </row>
    <row r="127" spans="1:32">
      <c r="A127" s="558">
        <v>22</v>
      </c>
      <c r="B127" s="560" t="s">
        <v>559</v>
      </c>
      <c r="C127" s="560" t="s">
        <v>560</v>
      </c>
      <c r="D127" s="559" t="s">
        <v>500</v>
      </c>
      <c r="E127" s="561">
        <v>511</v>
      </c>
      <c r="F127" s="562"/>
      <c r="G127" s="562"/>
      <c r="H127" s="562"/>
      <c r="I127" s="562"/>
      <c r="J127" s="562"/>
      <c r="K127" s="562"/>
      <c r="L127" s="562"/>
      <c r="M127" s="562"/>
      <c r="N127" s="562"/>
      <c r="O127" s="562"/>
      <c r="P127" s="562"/>
      <c r="Q127" s="562"/>
      <c r="R127" s="563"/>
      <c r="S127" s="562"/>
      <c r="T127" s="562"/>
      <c r="U127" s="562"/>
      <c r="V127" s="562"/>
      <c r="W127" s="562"/>
      <c r="X127" s="562"/>
      <c r="Y127" s="562"/>
      <c r="Z127" s="562"/>
      <c r="AA127" s="562"/>
      <c r="AB127" s="562"/>
      <c r="AC127" s="562"/>
      <c r="AD127" s="562"/>
      <c r="AE127" s="563">
        <f t="shared" si="1"/>
        <v>0</v>
      </c>
    </row>
    <row r="128" spans="1:32">
      <c r="A128" s="423"/>
      <c r="B128" s="431"/>
      <c r="C128" s="431"/>
      <c r="D128" s="412" t="s">
        <v>511</v>
      </c>
      <c r="E128" s="439">
        <v>511</v>
      </c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38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38">
        <f t="shared" si="1"/>
        <v>0</v>
      </c>
    </row>
    <row r="129" spans="1:32">
      <c r="A129" s="452"/>
      <c r="B129" s="453"/>
      <c r="C129" s="453"/>
      <c r="D129" s="453" t="s">
        <v>507</v>
      </c>
      <c r="E129" s="448">
        <v>7118</v>
      </c>
      <c r="F129" s="422"/>
      <c r="G129" s="422"/>
      <c r="H129" s="422"/>
      <c r="I129" s="422"/>
      <c r="J129" s="422"/>
      <c r="K129" s="422"/>
      <c r="L129" s="422"/>
      <c r="M129" s="422"/>
      <c r="N129" s="422"/>
      <c r="O129" s="422"/>
      <c r="P129" s="422"/>
      <c r="Q129" s="422"/>
      <c r="R129" s="419"/>
      <c r="S129" s="422"/>
      <c r="T129" s="422"/>
      <c r="U129" s="422"/>
      <c r="V129" s="422"/>
      <c r="W129" s="422"/>
      <c r="X129" s="422"/>
      <c r="Y129" s="422"/>
      <c r="Z129" s="422"/>
      <c r="AA129" s="422"/>
      <c r="AB129" s="422"/>
      <c r="AC129" s="422"/>
      <c r="AD129" s="422"/>
      <c r="AE129" s="419">
        <f t="shared" si="1"/>
        <v>0</v>
      </c>
    </row>
    <row r="130" spans="1:32">
      <c r="A130" s="454" t="s">
        <v>561</v>
      </c>
      <c r="B130" s="394" t="s">
        <v>562</v>
      </c>
      <c r="C130" s="394"/>
      <c r="D130" s="394"/>
      <c r="E130" s="394"/>
      <c r="F130" s="455"/>
      <c r="G130" s="456"/>
      <c r="H130" s="456"/>
      <c r="I130" s="456"/>
      <c r="J130" s="456"/>
      <c r="K130" s="456"/>
      <c r="L130" s="456"/>
      <c r="M130" s="456"/>
      <c r="N130" s="456"/>
      <c r="O130" s="456"/>
      <c r="P130" s="456"/>
      <c r="Q130" s="456"/>
      <c r="R130" s="456"/>
      <c r="S130" s="455"/>
      <c r="T130" s="456"/>
      <c r="U130" s="456"/>
      <c r="V130" s="456"/>
      <c r="W130" s="456"/>
      <c r="X130" s="456"/>
      <c r="Y130" s="456"/>
      <c r="Z130" s="456"/>
      <c r="AA130" s="456"/>
      <c r="AB130" s="456"/>
      <c r="AC130" s="456"/>
      <c r="AD130" s="456"/>
      <c r="AE130" s="456"/>
    </row>
    <row r="131" spans="1:32">
      <c r="A131" s="398">
        <v>1</v>
      </c>
      <c r="B131" s="399" t="s">
        <v>498</v>
      </c>
      <c r="C131" s="399" t="s">
        <v>499</v>
      </c>
      <c r="D131" s="406" t="s">
        <v>563</v>
      </c>
      <c r="E131" s="401">
        <v>641</v>
      </c>
      <c r="F131" s="422"/>
      <c r="G131" s="422"/>
      <c r="H131" s="422"/>
      <c r="I131" s="422"/>
      <c r="J131" s="422"/>
      <c r="K131" s="422"/>
      <c r="L131" s="422"/>
      <c r="M131" s="422"/>
      <c r="N131" s="422"/>
      <c r="O131" s="422"/>
      <c r="P131" s="422"/>
      <c r="Q131" s="422"/>
      <c r="R131" s="404"/>
      <c r="S131" s="422"/>
      <c r="T131" s="422"/>
      <c r="U131" s="422"/>
      <c r="V131" s="422"/>
      <c r="W131" s="422"/>
      <c r="X131" s="422"/>
      <c r="Y131" s="422"/>
      <c r="Z131" s="422"/>
      <c r="AA131" s="422"/>
      <c r="AB131" s="422"/>
      <c r="AC131" s="422"/>
      <c r="AD131" s="422"/>
      <c r="AE131" s="404">
        <f t="shared" ref="AE131:AE202" si="2">SUM(S131:AD131)</f>
        <v>0</v>
      </c>
      <c r="AF131" s="430"/>
    </row>
    <row r="132" spans="1:32">
      <c r="A132" s="423"/>
      <c r="B132" s="499"/>
      <c r="C132" s="518"/>
      <c r="D132" s="409" t="s">
        <v>564</v>
      </c>
      <c r="E132" s="401">
        <v>642</v>
      </c>
      <c r="F132" s="422">
        <v>555931291</v>
      </c>
      <c r="G132" s="422"/>
      <c r="H132" s="422"/>
      <c r="I132" s="422"/>
      <c r="J132" s="422"/>
      <c r="K132" s="422">
        <v>737571033</v>
      </c>
      <c r="L132" s="422">
        <v>1390843083</v>
      </c>
      <c r="M132" s="422">
        <v>143534483</v>
      </c>
      <c r="N132" s="422">
        <v>143534483</v>
      </c>
      <c r="O132" s="422">
        <v>143534483</v>
      </c>
      <c r="P132" s="422">
        <v>143534483</v>
      </c>
      <c r="Q132" s="422">
        <v>1492584402</v>
      </c>
      <c r="R132" s="404"/>
      <c r="S132" s="422">
        <v>143534483</v>
      </c>
      <c r="T132" s="422">
        <v>143534483</v>
      </c>
      <c r="U132" s="422">
        <v>684542670</v>
      </c>
      <c r="V132" s="422">
        <v>143534483</v>
      </c>
      <c r="W132" s="422">
        <v>143534483</v>
      </c>
      <c r="X132" s="422">
        <v>143534483</v>
      </c>
      <c r="Y132" s="422"/>
      <c r="Z132" s="422"/>
      <c r="AA132" s="422"/>
      <c r="AB132" s="422"/>
      <c r="AC132" s="422"/>
      <c r="AD132" s="422"/>
      <c r="AE132" s="404">
        <f t="shared" si="2"/>
        <v>1402215085</v>
      </c>
    </row>
    <row r="133" spans="1:32">
      <c r="A133" s="423"/>
      <c r="B133" s="499"/>
      <c r="C133" s="518"/>
      <c r="D133" s="406" t="s">
        <v>565</v>
      </c>
      <c r="E133" s="401">
        <v>627</v>
      </c>
      <c r="F133" s="422"/>
      <c r="G133" s="422"/>
      <c r="H133" s="422">
        <v>12750000000</v>
      </c>
      <c r="I133" s="422"/>
      <c r="J133" s="422"/>
      <c r="K133" s="422">
        <v>8350000000</v>
      </c>
      <c r="L133" s="422"/>
      <c r="M133" s="422"/>
      <c r="N133" s="422">
        <v>10550000000</v>
      </c>
      <c r="O133" s="422"/>
      <c r="P133" s="422"/>
      <c r="Q133" s="422">
        <v>10550000000</v>
      </c>
      <c r="R133" s="404"/>
      <c r="S133" s="422"/>
      <c r="T133" s="422"/>
      <c r="U133" s="422">
        <v>10550000000</v>
      </c>
      <c r="V133" s="422"/>
      <c r="W133" s="422">
        <v>7033333333</v>
      </c>
      <c r="X133" s="422">
        <v>3354166667</v>
      </c>
      <c r="Y133" s="422"/>
      <c r="Z133" s="422"/>
      <c r="AA133" s="422"/>
      <c r="AB133" s="422"/>
      <c r="AC133" s="422"/>
      <c r="AD133" s="422"/>
      <c r="AE133" s="404">
        <f t="shared" si="2"/>
        <v>20937500000</v>
      </c>
    </row>
    <row r="134" spans="1:32">
      <c r="A134" s="423"/>
      <c r="B134" s="499"/>
      <c r="C134" s="518"/>
      <c r="D134" s="409" t="s">
        <v>566</v>
      </c>
      <c r="E134" s="401">
        <v>211</v>
      </c>
      <c r="F134" s="422"/>
      <c r="G134" s="422"/>
      <c r="H134" s="422"/>
      <c r="I134" s="422"/>
      <c r="J134" s="422"/>
      <c r="K134" s="422"/>
      <c r="L134" s="422"/>
      <c r="M134" s="422"/>
      <c r="N134" s="422"/>
      <c r="O134" s="422"/>
      <c r="P134" s="422"/>
      <c r="Q134" s="422"/>
      <c r="R134" s="404"/>
      <c r="S134" s="422"/>
      <c r="T134" s="422"/>
      <c r="U134" s="422"/>
      <c r="V134" s="422"/>
      <c r="W134" s="422"/>
      <c r="X134" s="422"/>
      <c r="Y134" s="422"/>
      <c r="Z134" s="422"/>
      <c r="AA134" s="422"/>
      <c r="AB134" s="422"/>
      <c r="AC134" s="422"/>
      <c r="AD134" s="422"/>
      <c r="AE134" s="404">
        <f>SUM(S134:AD134)</f>
        <v>0</v>
      </c>
    </row>
    <row r="135" spans="1:32">
      <c r="A135" s="423"/>
      <c r="B135" s="499"/>
      <c r="C135" s="518"/>
      <c r="D135" s="409" t="s">
        <v>567</v>
      </c>
      <c r="E135" s="401">
        <v>153</v>
      </c>
      <c r="F135" s="422"/>
      <c r="G135" s="422"/>
      <c r="H135" s="422"/>
      <c r="I135" s="422"/>
      <c r="J135" s="422"/>
      <c r="K135" s="422"/>
      <c r="L135" s="422"/>
      <c r="M135" s="422"/>
      <c r="N135" s="422"/>
      <c r="O135" s="422"/>
      <c r="P135" s="422"/>
      <c r="Q135" s="422"/>
      <c r="R135" s="404"/>
      <c r="S135" s="422"/>
      <c r="T135" s="422"/>
      <c r="U135" s="422"/>
      <c r="V135" s="422"/>
      <c r="W135" s="422"/>
      <c r="X135" s="422"/>
      <c r="Y135" s="422"/>
      <c r="Z135" s="422"/>
      <c r="AA135" s="422"/>
      <c r="AB135" s="422"/>
      <c r="AC135" s="422"/>
      <c r="AD135" s="422"/>
      <c r="AE135" s="404">
        <f t="shared" si="2"/>
        <v>0</v>
      </c>
    </row>
    <row r="136" spans="1:32">
      <c r="A136" s="423"/>
      <c r="B136" s="499"/>
      <c r="C136" s="518"/>
      <c r="D136" s="409" t="s">
        <v>568</v>
      </c>
      <c r="E136" s="401">
        <v>642</v>
      </c>
      <c r="F136" s="422"/>
      <c r="G136" s="422"/>
      <c r="H136" s="422"/>
      <c r="I136" s="422"/>
      <c r="J136" s="422"/>
      <c r="K136" s="422"/>
      <c r="L136" s="422"/>
      <c r="M136" s="422"/>
      <c r="N136" s="422"/>
      <c r="O136" s="422"/>
      <c r="P136" s="422"/>
      <c r="Q136" s="422"/>
      <c r="R136" s="457"/>
      <c r="S136" s="422"/>
      <c r="T136" s="422"/>
      <c r="U136" s="422"/>
      <c r="V136" s="422"/>
      <c r="W136" s="422"/>
      <c r="X136" s="422"/>
      <c r="Y136" s="422"/>
      <c r="Z136" s="422"/>
      <c r="AA136" s="422"/>
      <c r="AB136" s="422"/>
      <c r="AC136" s="422"/>
      <c r="AD136" s="422"/>
      <c r="AE136" s="457">
        <f t="shared" si="2"/>
        <v>0</v>
      </c>
    </row>
    <row r="137" spans="1:32">
      <c r="A137" s="414"/>
      <c r="B137" s="495"/>
      <c r="C137" s="495"/>
      <c r="D137" s="415" t="s">
        <v>569</v>
      </c>
      <c r="E137" s="448">
        <v>641</v>
      </c>
      <c r="F137" s="419"/>
      <c r="G137" s="419">
        <v>4914619</v>
      </c>
      <c r="H137" s="556">
        <v>5348120</v>
      </c>
      <c r="I137" s="556">
        <v>5859296</v>
      </c>
      <c r="J137" s="556">
        <v>5085890</v>
      </c>
      <c r="K137" s="556">
        <v>4899048</v>
      </c>
      <c r="L137" s="415"/>
      <c r="M137" s="415"/>
      <c r="N137" s="415"/>
      <c r="O137" s="415"/>
      <c r="P137" s="415"/>
      <c r="Q137" s="415"/>
      <c r="R137" s="459"/>
      <c r="S137" s="419"/>
      <c r="T137" s="415"/>
      <c r="U137" s="415"/>
      <c r="V137" s="415"/>
      <c r="W137" s="415"/>
      <c r="X137" s="415"/>
      <c r="Y137" s="415"/>
      <c r="Z137" s="415"/>
      <c r="AA137" s="415"/>
      <c r="AB137" s="415"/>
      <c r="AC137" s="415"/>
      <c r="AD137" s="415"/>
      <c r="AE137" s="459">
        <f t="shared" si="2"/>
        <v>0</v>
      </c>
    </row>
    <row r="138" spans="1:32">
      <c r="A138" s="558">
        <v>2</v>
      </c>
      <c r="B138" s="560" t="s">
        <v>509</v>
      </c>
      <c r="C138" s="560" t="s">
        <v>510</v>
      </c>
      <c r="D138" s="559" t="s">
        <v>570</v>
      </c>
      <c r="E138" s="460">
        <v>1548</v>
      </c>
      <c r="F138" s="403"/>
      <c r="G138" s="403"/>
      <c r="H138" s="403"/>
      <c r="I138" s="403"/>
      <c r="J138" s="403"/>
      <c r="K138" s="403"/>
      <c r="L138" s="403"/>
      <c r="M138" s="403"/>
      <c r="N138" s="403"/>
      <c r="O138" s="403"/>
      <c r="P138" s="403"/>
      <c r="Q138" s="403"/>
      <c r="R138" s="404"/>
      <c r="S138" s="403"/>
      <c r="T138" s="403"/>
      <c r="U138" s="403"/>
      <c r="V138" s="403"/>
      <c r="W138" s="403"/>
      <c r="X138" s="403"/>
      <c r="Y138" s="403"/>
      <c r="Z138" s="403"/>
      <c r="AA138" s="403"/>
      <c r="AB138" s="403"/>
      <c r="AC138" s="403"/>
      <c r="AD138" s="403"/>
      <c r="AE138" s="404">
        <f t="shared" si="2"/>
        <v>0</v>
      </c>
    </row>
    <row r="139" spans="1:32">
      <c r="A139" s="398"/>
      <c r="B139" s="431"/>
      <c r="C139" s="431"/>
      <c r="D139" s="412" t="s">
        <v>571</v>
      </c>
      <c r="E139" s="460">
        <v>152</v>
      </c>
      <c r="F139" s="403"/>
      <c r="G139" s="403"/>
      <c r="H139" s="403"/>
      <c r="I139" s="403"/>
      <c r="J139" s="403"/>
      <c r="K139" s="403"/>
      <c r="L139" s="403"/>
      <c r="M139" s="403"/>
      <c r="N139" s="403"/>
      <c r="O139" s="403"/>
      <c r="P139" s="403"/>
      <c r="Q139" s="403"/>
      <c r="R139" s="404"/>
      <c r="S139" s="403"/>
      <c r="T139" s="403"/>
      <c r="U139" s="403"/>
      <c r="V139" s="403"/>
      <c r="W139" s="403"/>
      <c r="X139" s="403"/>
      <c r="Y139" s="403"/>
      <c r="Z139" s="403"/>
      <c r="AA139" s="403"/>
      <c r="AB139" s="403"/>
      <c r="AC139" s="403"/>
      <c r="AD139" s="403"/>
      <c r="AE139" s="404">
        <f t="shared" si="2"/>
        <v>0</v>
      </c>
    </row>
    <row r="140" spans="1:32">
      <c r="A140" s="398"/>
      <c r="B140" s="431"/>
      <c r="C140" s="431"/>
      <c r="D140" s="412" t="s">
        <v>572</v>
      </c>
      <c r="E140" s="460" t="s">
        <v>573</v>
      </c>
      <c r="F140" s="403"/>
      <c r="G140" s="403"/>
      <c r="H140" s="403"/>
      <c r="I140" s="403"/>
      <c r="J140" s="403"/>
      <c r="K140" s="403"/>
      <c r="L140" s="403"/>
      <c r="M140" s="403"/>
      <c r="N140" s="403"/>
      <c r="O140" s="403"/>
      <c r="P140" s="403"/>
      <c r="Q140" s="403"/>
      <c r="R140" s="404"/>
      <c r="S140" s="403"/>
      <c r="T140" s="403"/>
      <c r="U140" s="403"/>
      <c r="V140" s="403"/>
      <c r="W140" s="403"/>
      <c r="X140" s="403"/>
      <c r="Y140" s="403"/>
      <c r="Z140" s="403"/>
      <c r="AA140" s="403"/>
      <c r="AB140" s="403"/>
      <c r="AC140" s="403"/>
      <c r="AD140" s="403"/>
      <c r="AE140" s="404">
        <f t="shared" si="2"/>
        <v>0</v>
      </c>
    </row>
    <row r="141" spans="1:32">
      <c r="A141" s="423"/>
      <c r="B141" s="431"/>
      <c r="C141" s="431"/>
      <c r="D141" s="412" t="s">
        <v>574</v>
      </c>
      <c r="E141" s="461">
        <v>641</v>
      </c>
      <c r="F141" s="403"/>
      <c r="G141" s="403"/>
      <c r="H141" s="403"/>
      <c r="I141" s="403"/>
      <c r="J141" s="403"/>
      <c r="K141" s="403"/>
      <c r="L141" s="403"/>
      <c r="M141" s="403"/>
      <c r="N141" s="403"/>
      <c r="O141" s="403"/>
      <c r="P141" s="403"/>
      <c r="Q141" s="403"/>
      <c r="R141" s="404"/>
      <c r="S141" s="403"/>
      <c r="T141" s="403"/>
      <c r="U141" s="403"/>
      <c r="V141" s="403"/>
      <c r="W141" s="403"/>
      <c r="X141" s="403"/>
      <c r="Y141" s="403"/>
      <c r="Z141" s="403"/>
      <c r="AA141" s="403"/>
      <c r="AB141" s="403"/>
      <c r="AC141" s="403"/>
      <c r="AD141" s="403"/>
      <c r="AE141" s="404">
        <f t="shared" si="2"/>
        <v>0</v>
      </c>
    </row>
    <row r="142" spans="1:32">
      <c r="A142" s="423"/>
      <c r="B142" s="431"/>
      <c r="C142" s="431"/>
      <c r="D142" s="412" t="s">
        <v>566</v>
      </c>
      <c r="E142" s="461">
        <v>211</v>
      </c>
      <c r="F142" s="403"/>
      <c r="G142" s="403"/>
      <c r="H142" s="403"/>
      <c r="I142" s="403"/>
      <c r="J142" s="403"/>
      <c r="K142" s="403"/>
      <c r="L142" s="403"/>
      <c r="M142" s="403"/>
      <c r="N142" s="403"/>
      <c r="O142" s="403"/>
      <c r="P142" s="403"/>
      <c r="Q142" s="403"/>
      <c r="R142" s="404"/>
      <c r="S142" s="403"/>
      <c r="T142" s="403"/>
      <c r="U142" s="403"/>
      <c r="V142" s="403"/>
      <c r="W142" s="403"/>
      <c r="X142" s="403"/>
      <c r="Y142" s="403"/>
      <c r="Z142" s="403"/>
      <c r="AA142" s="403"/>
      <c r="AB142" s="403"/>
      <c r="AC142" s="403"/>
      <c r="AD142" s="403"/>
      <c r="AE142" s="404">
        <f t="shared" si="2"/>
        <v>0</v>
      </c>
    </row>
    <row r="143" spans="1:32">
      <c r="A143" s="425"/>
      <c r="B143" s="433"/>
      <c r="C143" s="433"/>
      <c r="D143" s="434" t="s">
        <v>569</v>
      </c>
      <c r="E143" s="448"/>
      <c r="F143" s="462"/>
      <c r="G143" s="462"/>
      <c r="H143" s="462"/>
      <c r="I143" s="462"/>
      <c r="J143" s="462"/>
      <c r="K143" s="462"/>
      <c r="L143" s="462"/>
      <c r="M143" s="462"/>
      <c r="N143" s="462"/>
      <c r="O143" s="462"/>
      <c r="P143" s="462"/>
      <c r="Q143" s="462"/>
      <c r="R143" s="428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28">
        <f t="shared" si="2"/>
        <v>0</v>
      </c>
    </row>
    <row r="144" spans="1:32">
      <c r="A144" s="558">
        <v>3</v>
      </c>
      <c r="B144" s="560" t="s">
        <v>515</v>
      </c>
      <c r="C144" s="566" t="s">
        <v>516</v>
      </c>
      <c r="D144" s="559" t="s">
        <v>575</v>
      </c>
      <c r="E144" s="567" t="s">
        <v>573</v>
      </c>
      <c r="F144" s="564"/>
      <c r="G144" s="564"/>
      <c r="H144" s="564"/>
      <c r="I144" s="564"/>
      <c r="J144" s="564"/>
      <c r="K144" s="564"/>
      <c r="L144" s="564"/>
      <c r="M144" s="564"/>
      <c r="N144" s="564"/>
      <c r="O144" s="564"/>
      <c r="P144" s="564"/>
      <c r="Q144" s="564"/>
      <c r="R144" s="563"/>
      <c r="S144" s="564"/>
      <c r="T144" s="564"/>
      <c r="U144" s="564"/>
      <c r="V144" s="564"/>
      <c r="W144" s="564"/>
      <c r="X144" s="564"/>
      <c r="Y144" s="564"/>
      <c r="Z144" s="564"/>
      <c r="AA144" s="564"/>
      <c r="AB144" s="564"/>
      <c r="AC144" s="564"/>
      <c r="AD144" s="564"/>
      <c r="AE144" s="563">
        <f t="shared" si="2"/>
        <v>0</v>
      </c>
    </row>
    <row r="145" spans="1:31">
      <c r="A145" s="423"/>
      <c r="B145" s="431"/>
      <c r="C145" s="431"/>
      <c r="D145" s="412" t="s">
        <v>571</v>
      </c>
      <c r="E145" s="460">
        <v>152</v>
      </c>
      <c r="F145" s="403">
        <v>5415513442</v>
      </c>
      <c r="G145" s="403">
        <v>8720676927</v>
      </c>
      <c r="H145" s="403">
        <v>16389176362</v>
      </c>
      <c r="I145" s="403">
        <v>14713384685</v>
      </c>
      <c r="J145" s="403">
        <v>17545728408</v>
      </c>
      <c r="K145" s="403">
        <v>19113229587</v>
      </c>
      <c r="L145" s="403">
        <v>21362429955</v>
      </c>
      <c r="M145" s="403">
        <v>21171915198</v>
      </c>
      <c r="N145" s="403">
        <v>16605273560</v>
      </c>
      <c r="O145" s="403">
        <v>14447843500</v>
      </c>
      <c r="P145" s="403">
        <v>7332618600</v>
      </c>
      <c r="Q145" s="403">
        <v>10274722190</v>
      </c>
      <c r="R145" s="404"/>
      <c r="S145" s="403">
        <v>11764343250</v>
      </c>
      <c r="T145" s="403">
        <v>8254028030</v>
      </c>
      <c r="U145" s="403">
        <v>14624156060</v>
      </c>
      <c r="V145" s="403">
        <v>14376519350</v>
      </c>
      <c r="W145" s="403">
        <v>13118451780</v>
      </c>
      <c r="X145" s="403">
        <v>13206450750</v>
      </c>
      <c r="Y145" s="403"/>
      <c r="Z145" s="403"/>
      <c r="AA145" s="403"/>
      <c r="AB145" s="403"/>
      <c r="AC145" s="403"/>
      <c r="AD145" s="403"/>
      <c r="AE145" s="404">
        <f t="shared" si="2"/>
        <v>75343949220</v>
      </c>
    </row>
    <row r="146" spans="1:31">
      <c r="A146" s="423"/>
      <c r="B146" s="431"/>
      <c r="C146" s="431"/>
      <c r="D146" s="412" t="s">
        <v>572</v>
      </c>
      <c r="E146" s="460" t="s">
        <v>573</v>
      </c>
      <c r="F146" s="403"/>
      <c r="G146" s="403"/>
      <c r="H146" s="403"/>
      <c r="I146" s="403"/>
      <c r="J146" s="403"/>
      <c r="K146" s="403"/>
      <c r="L146" s="403"/>
      <c r="M146" s="403"/>
      <c r="N146" s="403"/>
      <c r="O146" s="403"/>
      <c r="P146" s="403"/>
      <c r="Q146" s="403"/>
      <c r="R146" s="404"/>
      <c r="S146" s="403"/>
      <c r="T146" s="403"/>
      <c r="U146" s="403"/>
      <c r="V146" s="403"/>
      <c r="W146" s="403"/>
      <c r="X146" s="403"/>
      <c r="Y146" s="403"/>
      <c r="Z146" s="403"/>
      <c r="AA146" s="403"/>
      <c r="AB146" s="403"/>
      <c r="AC146" s="403"/>
      <c r="AD146" s="403"/>
      <c r="AE146" s="404">
        <f t="shared" si="2"/>
        <v>0</v>
      </c>
    </row>
    <row r="147" spans="1:31">
      <c r="A147" s="423"/>
      <c r="B147" s="431"/>
      <c r="C147" s="431"/>
      <c r="D147" s="412" t="s">
        <v>566</v>
      </c>
      <c r="E147" s="461">
        <v>211</v>
      </c>
      <c r="F147" s="403"/>
      <c r="G147" s="403"/>
      <c r="H147" s="403"/>
      <c r="I147" s="403"/>
      <c r="J147" s="403"/>
      <c r="K147" s="403">
        <v>719543620</v>
      </c>
      <c r="L147" s="403"/>
      <c r="M147" s="403"/>
      <c r="N147" s="403"/>
      <c r="O147" s="403"/>
      <c r="P147" s="403"/>
      <c r="Q147" s="403"/>
      <c r="R147" s="404"/>
      <c r="S147" s="403"/>
      <c r="T147" s="403"/>
      <c r="U147" s="403"/>
      <c r="V147" s="403"/>
      <c r="W147" s="403"/>
      <c r="X147" s="403"/>
      <c r="Y147" s="403"/>
      <c r="Z147" s="403"/>
      <c r="AA147" s="403"/>
      <c r="AB147" s="403"/>
      <c r="AC147" s="403"/>
      <c r="AD147" s="403"/>
      <c r="AE147" s="404">
        <f t="shared" si="2"/>
        <v>0</v>
      </c>
    </row>
    <row r="148" spans="1:31">
      <c r="A148" s="425"/>
      <c r="B148" s="433"/>
      <c r="C148" s="433"/>
      <c r="D148" s="434" t="s">
        <v>569</v>
      </c>
      <c r="E148" s="448"/>
      <c r="F148" s="462"/>
      <c r="G148" s="462"/>
      <c r="H148" s="462"/>
      <c r="I148" s="462"/>
      <c r="J148" s="462"/>
      <c r="K148" s="462"/>
      <c r="L148" s="462"/>
      <c r="M148" s="462"/>
      <c r="N148" s="462"/>
      <c r="O148" s="462"/>
      <c r="P148" s="462"/>
      <c r="Q148" s="462"/>
      <c r="R148" s="428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28">
        <f t="shared" si="2"/>
        <v>0</v>
      </c>
    </row>
    <row r="149" spans="1:31">
      <c r="A149" s="558">
        <v>4</v>
      </c>
      <c r="B149" s="560" t="s">
        <v>518</v>
      </c>
      <c r="C149" s="560" t="s">
        <v>519</v>
      </c>
      <c r="D149" s="559" t="s">
        <v>575</v>
      </c>
      <c r="E149" s="567" t="s">
        <v>573</v>
      </c>
      <c r="F149" s="564"/>
      <c r="G149" s="564"/>
      <c r="H149" s="564"/>
      <c r="I149" s="564"/>
      <c r="J149" s="564"/>
      <c r="K149" s="564"/>
      <c r="L149" s="564"/>
      <c r="M149" s="564"/>
      <c r="N149" s="564"/>
      <c r="O149" s="564"/>
      <c r="P149" s="564"/>
      <c r="Q149" s="564"/>
      <c r="R149" s="563"/>
      <c r="S149" s="564"/>
      <c r="T149" s="564"/>
      <c r="U149" s="564"/>
      <c r="V149" s="564"/>
      <c r="W149" s="564"/>
      <c r="X149" s="564"/>
      <c r="Y149" s="564"/>
      <c r="Z149" s="564"/>
      <c r="AA149" s="564"/>
      <c r="AB149" s="564"/>
      <c r="AC149" s="564"/>
      <c r="AD149" s="564"/>
      <c r="AE149" s="563">
        <f t="shared" si="2"/>
        <v>0</v>
      </c>
    </row>
    <row r="150" spans="1:31">
      <c r="A150" s="423"/>
      <c r="B150" s="431"/>
      <c r="C150" s="431"/>
      <c r="D150" s="412" t="s">
        <v>571</v>
      </c>
      <c r="E150" s="460">
        <v>152</v>
      </c>
      <c r="F150" s="403">
        <v>1855026270</v>
      </c>
      <c r="G150" s="403">
        <v>4906179697</v>
      </c>
      <c r="H150" s="403">
        <v>6333654605</v>
      </c>
      <c r="I150" s="403">
        <v>7807068170</v>
      </c>
      <c r="J150" s="403">
        <v>7380147015</v>
      </c>
      <c r="K150" s="403">
        <v>10556762951</v>
      </c>
      <c r="L150" s="403">
        <v>12875151030</v>
      </c>
      <c r="M150" s="403">
        <v>13763220740</v>
      </c>
      <c r="N150" s="403">
        <v>9904916640</v>
      </c>
      <c r="O150" s="403">
        <v>7003708500</v>
      </c>
      <c r="P150" s="403">
        <v>5985740000</v>
      </c>
      <c r="Q150" s="403">
        <v>7484127000</v>
      </c>
      <c r="R150" s="404"/>
      <c r="S150" s="403">
        <v>7318017770</v>
      </c>
      <c r="T150" s="403">
        <v>4594489350</v>
      </c>
      <c r="U150" s="403">
        <v>9615317135</v>
      </c>
      <c r="V150" s="403">
        <v>6932513020</v>
      </c>
      <c r="W150" s="403">
        <v>11022894520</v>
      </c>
      <c r="X150" s="403">
        <v>12755770390</v>
      </c>
      <c r="Y150" s="403"/>
      <c r="Z150" s="403"/>
      <c r="AA150" s="403"/>
      <c r="AB150" s="403"/>
      <c r="AC150" s="403"/>
      <c r="AD150" s="403"/>
      <c r="AE150" s="404">
        <f t="shared" si="2"/>
        <v>52239002185</v>
      </c>
    </row>
    <row r="151" spans="1:31">
      <c r="A151" s="423"/>
      <c r="B151" s="431"/>
      <c r="C151" s="431"/>
      <c r="D151" s="412" t="s">
        <v>572</v>
      </c>
      <c r="E151" s="460" t="s">
        <v>573</v>
      </c>
      <c r="F151" s="403"/>
      <c r="G151" s="403"/>
      <c r="H151" s="403"/>
      <c r="I151" s="403"/>
      <c r="J151" s="403"/>
      <c r="K151" s="403"/>
      <c r="L151" s="403"/>
      <c r="M151" s="403"/>
      <c r="N151" s="403"/>
      <c r="O151" s="403"/>
      <c r="P151" s="403"/>
      <c r="Q151" s="403"/>
      <c r="R151" s="404"/>
      <c r="S151" s="403"/>
      <c r="T151" s="403"/>
      <c r="U151" s="403"/>
      <c r="V151" s="403"/>
      <c r="W151" s="403"/>
      <c r="X151" s="403"/>
      <c r="Y151" s="403"/>
      <c r="Z151" s="403"/>
      <c r="AA151" s="403"/>
      <c r="AB151" s="403"/>
      <c r="AC151" s="403"/>
      <c r="AD151" s="403"/>
      <c r="AE151" s="404">
        <f t="shared" si="2"/>
        <v>0</v>
      </c>
    </row>
    <row r="152" spans="1:31">
      <c r="A152" s="423"/>
      <c r="B152" s="431"/>
      <c r="C152" s="431"/>
      <c r="D152" s="412" t="s">
        <v>566</v>
      </c>
      <c r="E152" s="461">
        <v>211</v>
      </c>
      <c r="F152" s="403"/>
      <c r="G152" s="403"/>
      <c r="H152" s="403"/>
      <c r="I152" s="403"/>
      <c r="J152" s="403"/>
      <c r="K152" s="403"/>
      <c r="L152" s="403"/>
      <c r="M152" s="403"/>
      <c r="N152" s="403"/>
      <c r="O152" s="403"/>
      <c r="P152" s="403"/>
      <c r="Q152" s="403"/>
      <c r="R152" s="404"/>
      <c r="S152" s="403"/>
      <c r="T152" s="403"/>
      <c r="U152" s="403"/>
      <c r="V152" s="403"/>
      <c r="W152" s="403"/>
      <c r="X152" s="403"/>
      <c r="Y152" s="403"/>
      <c r="Z152" s="403"/>
      <c r="AA152" s="403"/>
      <c r="AB152" s="403"/>
      <c r="AC152" s="403"/>
      <c r="AD152" s="403"/>
      <c r="AE152" s="404">
        <f t="shared" si="2"/>
        <v>0</v>
      </c>
    </row>
    <row r="153" spans="1:31">
      <c r="A153" s="423"/>
      <c r="B153" s="431"/>
      <c r="C153" s="431"/>
      <c r="D153" s="412" t="s">
        <v>569</v>
      </c>
      <c r="E153" s="461"/>
      <c r="F153" s="403"/>
      <c r="G153" s="403"/>
      <c r="H153" s="403"/>
      <c r="I153" s="403"/>
      <c r="J153" s="403"/>
      <c r="K153" s="403"/>
      <c r="L153" s="403"/>
      <c r="M153" s="403"/>
      <c r="N153" s="403"/>
      <c r="O153" s="403"/>
      <c r="P153" s="403"/>
      <c r="Q153" s="403"/>
      <c r="R153" s="404"/>
      <c r="S153" s="403"/>
      <c r="T153" s="403"/>
      <c r="U153" s="403"/>
      <c r="V153" s="403"/>
      <c r="W153" s="403"/>
      <c r="X153" s="403"/>
      <c r="Y153" s="403"/>
      <c r="Z153" s="403"/>
      <c r="AA153" s="403"/>
      <c r="AB153" s="403"/>
      <c r="AC153" s="403"/>
      <c r="AD153" s="403"/>
      <c r="AE153" s="404">
        <f t="shared" si="2"/>
        <v>0</v>
      </c>
    </row>
    <row r="154" spans="1:31">
      <c r="A154" s="558">
        <v>5</v>
      </c>
      <c r="B154" s="560" t="s">
        <v>521</v>
      </c>
      <c r="C154" s="560" t="s">
        <v>522</v>
      </c>
      <c r="D154" s="559" t="s">
        <v>570</v>
      </c>
      <c r="E154" s="567">
        <v>1548</v>
      </c>
      <c r="F154" s="564"/>
      <c r="G154" s="564"/>
      <c r="H154" s="564"/>
      <c r="I154" s="564"/>
      <c r="J154" s="564"/>
      <c r="K154" s="564"/>
      <c r="L154" s="564"/>
      <c r="M154" s="564"/>
      <c r="N154" s="564"/>
      <c r="O154" s="564"/>
      <c r="P154" s="564"/>
      <c r="Q154" s="564"/>
      <c r="R154" s="563"/>
      <c r="S154" s="564"/>
      <c r="T154" s="564"/>
      <c r="U154" s="564"/>
      <c r="V154" s="564"/>
      <c r="W154" s="564"/>
      <c r="X154" s="564"/>
      <c r="Y154" s="564"/>
      <c r="Z154" s="564"/>
      <c r="AA154" s="564"/>
      <c r="AB154" s="564"/>
      <c r="AC154" s="564"/>
      <c r="AD154" s="564"/>
      <c r="AE154" s="563">
        <f t="shared" si="2"/>
        <v>0</v>
      </c>
    </row>
    <row r="155" spans="1:31">
      <c r="A155" s="425"/>
      <c r="B155" s="433"/>
      <c r="C155" s="433"/>
      <c r="D155" s="434" t="s">
        <v>571</v>
      </c>
      <c r="E155" s="460">
        <v>152</v>
      </c>
      <c r="F155" s="403">
        <v>2841476480</v>
      </c>
      <c r="G155" s="403">
        <v>5012982676</v>
      </c>
      <c r="H155" s="403">
        <v>8070371029</v>
      </c>
      <c r="I155" s="403">
        <v>9694585314</v>
      </c>
      <c r="J155" s="403">
        <v>8388349104</v>
      </c>
      <c r="K155" s="403">
        <v>9517717000</v>
      </c>
      <c r="L155" s="403">
        <v>13592588554</v>
      </c>
      <c r="M155" s="403">
        <v>12419365581</v>
      </c>
      <c r="N155" s="403">
        <v>8808063400</v>
      </c>
      <c r="O155" s="403">
        <v>7719934000</v>
      </c>
      <c r="P155" s="403">
        <v>6532057500</v>
      </c>
      <c r="Q155" s="403">
        <v>8694231720</v>
      </c>
      <c r="R155" s="404"/>
      <c r="S155" s="403">
        <v>8331190500</v>
      </c>
      <c r="T155" s="403">
        <v>6640520862</v>
      </c>
      <c r="U155" s="403">
        <v>9363644480</v>
      </c>
      <c r="V155" s="403">
        <v>9143059160</v>
      </c>
      <c r="W155" s="403">
        <v>12252941450</v>
      </c>
      <c r="X155" s="403">
        <v>13757509770</v>
      </c>
      <c r="Y155" s="403"/>
      <c r="Z155" s="403"/>
      <c r="AA155" s="403"/>
      <c r="AB155" s="403"/>
      <c r="AC155" s="403"/>
      <c r="AD155" s="403"/>
      <c r="AE155" s="404">
        <f t="shared" si="2"/>
        <v>59488866222</v>
      </c>
    </row>
    <row r="156" spans="1:31">
      <c r="A156" s="425"/>
      <c r="B156" s="433"/>
      <c r="C156" s="433"/>
      <c r="D156" s="412" t="s">
        <v>576</v>
      </c>
      <c r="E156" s="461">
        <v>641</v>
      </c>
      <c r="F156" s="403"/>
      <c r="G156" s="403"/>
      <c r="H156" s="403"/>
      <c r="I156" s="403"/>
      <c r="J156" s="403"/>
      <c r="K156" s="403"/>
      <c r="L156" s="403"/>
      <c r="M156" s="403"/>
      <c r="N156" s="403"/>
      <c r="O156" s="403"/>
      <c r="P156" s="403"/>
      <c r="Q156" s="403"/>
      <c r="R156" s="404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404">
        <f t="shared" si="2"/>
        <v>0</v>
      </c>
    </row>
    <row r="157" spans="1:31">
      <c r="A157" s="425"/>
      <c r="B157" s="433"/>
      <c r="C157" s="433"/>
      <c r="D157" s="434" t="s">
        <v>565</v>
      </c>
      <c r="E157" s="461">
        <v>627</v>
      </c>
      <c r="F157" s="403"/>
      <c r="G157" s="403"/>
      <c r="H157" s="403"/>
      <c r="I157" s="403"/>
      <c r="J157" s="403"/>
      <c r="K157" s="403"/>
      <c r="L157" s="403"/>
      <c r="M157" s="403"/>
      <c r="N157" s="403"/>
      <c r="O157" s="403"/>
      <c r="P157" s="403"/>
      <c r="Q157" s="403"/>
      <c r="R157" s="404"/>
      <c r="S157" s="403"/>
      <c r="T157" s="403"/>
      <c r="U157" s="403"/>
      <c r="V157" s="403"/>
      <c r="W157" s="403"/>
      <c r="X157" s="403"/>
      <c r="Y157" s="403"/>
      <c r="Z157" s="403"/>
      <c r="AA157" s="403"/>
      <c r="AB157" s="403"/>
      <c r="AC157" s="403"/>
      <c r="AD157" s="403"/>
      <c r="AE157" s="404">
        <f t="shared" si="2"/>
        <v>0</v>
      </c>
    </row>
    <row r="158" spans="1:31">
      <c r="A158" s="425"/>
      <c r="B158" s="433"/>
      <c r="C158" s="433"/>
      <c r="D158" s="434" t="s">
        <v>569</v>
      </c>
      <c r="E158" s="448"/>
      <c r="F158" s="462"/>
      <c r="G158" s="462"/>
      <c r="H158" s="462"/>
      <c r="I158" s="462"/>
      <c r="J158" s="462"/>
      <c r="K158" s="462"/>
      <c r="L158" s="462"/>
      <c r="M158" s="462"/>
      <c r="N158" s="462"/>
      <c r="O158" s="462"/>
      <c r="P158" s="462"/>
      <c r="Q158" s="462"/>
      <c r="R158" s="428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28">
        <f t="shared" si="2"/>
        <v>0</v>
      </c>
    </row>
    <row r="159" spans="1:31">
      <c r="A159" s="558">
        <v>6</v>
      </c>
      <c r="B159" s="560" t="s">
        <v>524</v>
      </c>
      <c r="C159" s="560" t="s">
        <v>525</v>
      </c>
      <c r="D159" s="559" t="s">
        <v>570</v>
      </c>
      <c r="E159" s="567">
        <v>1548</v>
      </c>
      <c r="F159" s="564"/>
      <c r="G159" s="564"/>
      <c r="H159" s="564"/>
      <c r="I159" s="564"/>
      <c r="J159" s="564"/>
      <c r="K159" s="564"/>
      <c r="L159" s="564"/>
      <c r="M159" s="564"/>
      <c r="N159" s="564"/>
      <c r="O159" s="564"/>
      <c r="P159" s="564"/>
      <c r="Q159" s="564"/>
      <c r="R159" s="563"/>
      <c r="S159" s="564"/>
      <c r="T159" s="564"/>
      <c r="U159" s="564"/>
      <c r="V159" s="564"/>
      <c r="W159" s="564"/>
      <c r="X159" s="564"/>
      <c r="Y159" s="564"/>
      <c r="Z159" s="564"/>
      <c r="AA159" s="564"/>
      <c r="AB159" s="564"/>
      <c r="AC159" s="564"/>
      <c r="AD159" s="564"/>
      <c r="AE159" s="563">
        <f t="shared" si="2"/>
        <v>0</v>
      </c>
    </row>
    <row r="160" spans="1:31">
      <c r="A160" s="398"/>
      <c r="B160" s="431"/>
      <c r="C160" s="431"/>
      <c r="D160" s="412" t="s">
        <v>571</v>
      </c>
      <c r="E160" s="461">
        <v>152</v>
      </c>
      <c r="F160" s="403"/>
      <c r="G160" s="403"/>
      <c r="H160" s="403"/>
      <c r="I160" s="403"/>
      <c r="J160" s="403"/>
      <c r="K160" s="403"/>
      <c r="L160" s="403"/>
      <c r="M160" s="403"/>
      <c r="N160" s="403"/>
      <c r="O160" s="403"/>
      <c r="P160" s="403"/>
      <c r="Q160" s="403"/>
      <c r="R160" s="404"/>
      <c r="S160" s="403"/>
      <c r="T160" s="403"/>
      <c r="U160" s="403"/>
      <c r="V160" s="403"/>
      <c r="W160" s="403"/>
      <c r="X160" s="403"/>
      <c r="Y160" s="403"/>
      <c r="Z160" s="403"/>
      <c r="AA160" s="403"/>
      <c r="AB160" s="403"/>
      <c r="AC160" s="403"/>
      <c r="AD160" s="403"/>
      <c r="AE160" s="404">
        <f t="shared" si="2"/>
        <v>0</v>
      </c>
    </row>
    <row r="161" spans="1:31">
      <c r="A161" s="398"/>
      <c r="B161" s="431"/>
      <c r="C161" s="431"/>
      <c r="D161" s="412" t="s">
        <v>572</v>
      </c>
      <c r="E161" s="460" t="s">
        <v>573</v>
      </c>
      <c r="F161" s="403"/>
      <c r="G161" s="403"/>
      <c r="H161" s="403"/>
      <c r="I161" s="403"/>
      <c r="J161" s="403"/>
      <c r="K161" s="403"/>
      <c r="L161" s="403"/>
      <c r="M161" s="403"/>
      <c r="N161" s="403"/>
      <c r="O161" s="403"/>
      <c r="P161" s="403"/>
      <c r="Q161" s="403"/>
      <c r="R161" s="404"/>
      <c r="S161" s="403"/>
      <c r="T161" s="403"/>
      <c r="U161" s="403"/>
      <c r="V161" s="403"/>
      <c r="W161" s="403"/>
      <c r="X161" s="403"/>
      <c r="Y161" s="403"/>
      <c r="Z161" s="403"/>
      <c r="AA161" s="403"/>
      <c r="AB161" s="403"/>
      <c r="AC161" s="403"/>
      <c r="AD161" s="403"/>
      <c r="AE161" s="404">
        <f t="shared" si="2"/>
        <v>0</v>
      </c>
    </row>
    <row r="162" spans="1:31">
      <c r="A162" s="398"/>
      <c r="B162" s="431"/>
      <c r="C162" s="431"/>
      <c r="D162" s="412" t="s">
        <v>565</v>
      </c>
      <c r="E162" s="461">
        <v>627</v>
      </c>
      <c r="F162" s="403"/>
      <c r="G162" s="403"/>
      <c r="H162" s="403"/>
      <c r="I162" s="403"/>
      <c r="J162" s="403"/>
      <c r="K162" s="403"/>
      <c r="L162" s="403"/>
      <c r="M162" s="403"/>
      <c r="N162" s="403"/>
      <c r="O162" s="403"/>
      <c r="P162" s="403"/>
      <c r="Q162" s="403"/>
      <c r="R162" s="404"/>
      <c r="S162" s="403"/>
      <c r="T162" s="403"/>
      <c r="U162" s="403"/>
      <c r="V162" s="403"/>
      <c r="W162" s="403"/>
      <c r="X162" s="403"/>
      <c r="Y162" s="403"/>
      <c r="Z162" s="403"/>
      <c r="AA162" s="403"/>
      <c r="AB162" s="403"/>
      <c r="AC162" s="403"/>
      <c r="AD162" s="403"/>
      <c r="AE162" s="404">
        <f t="shared" si="2"/>
        <v>0</v>
      </c>
    </row>
    <row r="163" spans="1:31">
      <c r="A163" s="398"/>
      <c r="B163" s="431"/>
      <c r="C163" s="431"/>
      <c r="D163" s="412" t="s">
        <v>567</v>
      </c>
      <c r="E163" s="461">
        <v>153</v>
      </c>
      <c r="F163" s="403"/>
      <c r="G163" s="403"/>
      <c r="H163" s="403"/>
      <c r="I163" s="403"/>
      <c r="J163" s="403"/>
      <c r="K163" s="403"/>
      <c r="L163" s="403"/>
      <c r="M163" s="403"/>
      <c r="N163" s="403"/>
      <c r="O163" s="403"/>
      <c r="P163" s="403"/>
      <c r="Q163" s="403"/>
      <c r="R163" s="404"/>
      <c r="S163" s="403"/>
      <c r="T163" s="403"/>
      <c r="U163" s="403"/>
      <c r="V163" s="403"/>
      <c r="W163" s="403"/>
      <c r="X163" s="403"/>
      <c r="Y163" s="403"/>
      <c r="Z163" s="403"/>
      <c r="AA163" s="403"/>
      <c r="AB163" s="403"/>
      <c r="AC163" s="403"/>
      <c r="AD163" s="403"/>
      <c r="AE163" s="404">
        <f t="shared" si="2"/>
        <v>0</v>
      </c>
    </row>
    <row r="164" spans="1:31">
      <c r="A164" s="398"/>
      <c r="B164" s="431"/>
      <c r="C164" s="431"/>
      <c r="D164" s="412" t="s">
        <v>566</v>
      </c>
      <c r="E164" s="461">
        <v>211</v>
      </c>
      <c r="F164" s="403"/>
      <c r="G164" s="403"/>
      <c r="H164" s="403"/>
      <c r="I164" s="403"/>
      <c r="J164" s="403"/>
      <c r="K164" s="403"/>
      <c r="L164" s="403"/>
      <c r="M164" s="403"/>
      <c r="N164" s="403"/>
      <c r="O164" s="403"/>
      <c r="P164" s="403"/>
      <c r="Q164" s="403"/>
      <c r="R164" s="404"/>
      <c r="S164" s="403"/>
      <c r="T164" s="403"/>
      <c r="U164" s="403"/>
      <c r="V164" s="403"/>
      <c r="W164" s="403"/>
      <c r="X164" s="403"/>
      <c r="Y164" s="403"/>
      <c r="Z164" s="403"/>
      <c r="AA164" s="403"/>
      <c r="AB164" s="403"/>
      <c r="AC164" s="403"/>
      <c r="AD164" s="403"/>
      <c r="AE164" s="404">
        <f t="shared" si="2"/>
        <v>0</v>
      </c>
    </row>
    <row r="165" spans="1:31">
      <c r="A165" s="398"/>
      <c r="B165" s="431"/>
      <c r="C165" s="435"/>
      <c r="D165" s="424" t="s">
        <v>503</v>
      </c>
      <c r="E165" s="460">
        <v>635</v>
      </c>
      <c r="F165" s="403"/>
      <c r="G165" s="403"/>
      <c r="H165" s="403"/>
      <c r="I165" s="403"/>
      <c r="J165" s="403"/>
      <c r="K165" s="403"/>
      <c r="L165" s="403"/>
      <c r="M165" s="403"/>
      <c r="N165" s="403"/>
      <c r="O165" s="403"/>
      <c r="P165" s="403"/>
      <c r="Q165" s="403"/>
      <c r="R165" s="404"/>
      <c r="S165" s="403"/>
      <c r="T165" s="403"/>
      <c r="U165" s="403"/>
      <c r="V165" s="403"/>
      <c r="W165" s="403"/>
      <c r="X165" s="403"/>
      <c r="Y165" s="403"/>
      <c r="Z165" s="403"/>
      <c r="AA165" s="403"/>
      <c r="AB165" s="403"/>
      <c r="AC165" s="403"/>
      <c r="AD165" s="403"/>
      <c r="AE165" s="404">
        <f t="shared" si="2"/>
        <v>0</v>
      </c>
    </row>
    <row r="166" spans="1:31">
      <c r="A166" s="425"/>
      <c r="B166" s="518"/>
      <c r="C166" s="518"/>
      <c r="D166" s="409" t="s">
        <v>569</v>
      </c>
      <c r="E166" s="409"/>
      <c r="F166" s="462"/>
      <c r="G166" s="462"/>
      <c r="H166" s="462"/>
      <c r="I166" s="462"/>
      <c r="J166" s="462"/>
      <c r="K166" s="462"/>
      <c r="L166" s="462"/>
      <c r="M166" s="462"/>
      <c r="N166" s="462"/>
      <c r="O166" s="462"/>
      <c r="P166" s="462"/>
      <c r="Q166" s="462"/>
      <c r="R166" s="428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28">
        <f t="shared" si="2"/>
        <v>0</v>
      </c>
    </row>
    <row r="167" spans="1:31">
      <c r="A167" s="558">
        <v>7</v>
      </c>
      <c r="B167" s="560" t="s">
        <v>528</v>
      </c>
      <c r="C167" s="560" t="s">
        <v>529</v>
      </c>
      <c r="D167" s="568" t="s">
        <v>570</v>
      </c>
      <c r="E167" s="569">
        <v>1548</v>
      </c>
      <c r="F167" s="564"/>
      <c r="G167" s="564"/>
      <c r="H167" s="564"/>
      <c r="I167" s="564"/>
      <c r="J167" s="564"/>
      <c r="K167" s="564"/>
      <c r="L167" s="564"/>
      <c r="M167" s="564"/>
      <c r="N167" s="564"/>
      <c r="O167" s="564"/>
      <c r="P167" s="564"/>
      <c r="Q167" s="564"/>
      <c r="R167" s="563"/>
      <c r="S167" s="564"/>
      <c r="T167" s="564"/>
      <c r="U167" s="564"/>
      <c r="V167" s="564"/>
      <c r="W167" s="564"/>
      <c r="X167" s="564"/>
      <c r="Y167" s="564"/>
      <c r="Z167" s="564"/>
      <c r="AA167" s="564"/>
      <c r="AB167" s="564"/>
      <c r="AC167" s="564"/>
      <c r="AD167" s="564"/>
      <c r="AE167" s="563">
        <f t="shared" si="2"/>
        <v>0</v>
      </c>
    </row>
    <row r="168" spans="1:31">
      <c r="A168" s="423"/>
      <c r="B168" s="499"/>
      <c r="C168" s="499"/>
      <c r="D168" s="406" t="s">
        <v>571</v>
      </c>
      <c r="E168" s="410">
        <v>152</v>
      </c>
      <c r="F168" s="421"/>
      <c r="G168" s="421"/>
      <c r="H168" s="421"/>
      <c r="I168" s="421"/>
      <c r="J168" s="421"/>
      <c r="K168" s="421"/>
      <c r="L168" s="421"/>
      <c r="M168" s="421"/>
      <c r="N168" s="421"/>
      <c r="O168" s="421"/>
      <c r="P168" s="421"/>
      <c r="Q168" s="421"/>
      <c r="R168" s="438"/>
      <c r="S168" s="421"/>
      <c r="T168" s="421"/>
      <c r="U168" s="421"/>
      <c r="V168" s="421"/>
      <c r="W168" s="421"/>
      <c r="X168" s="421"/>
      <c r="Y168" s="421"/>
      <c r="Z168" s="421"/>
      <c r="AA168" s="421"/>
      <c r="AB168" s="421"/>
      <c r="AC168" s="421"/>
      <c r="AD168" s="421"/>
      <c r="AE168" s="438">
        <f t="shared" si="2"/>
        <v>0</v>
      </c>
    </row>
    <row r="169" spans="1:31">
      <c r="A169" s="423"/>
      <c r="B169" s="499"/>
      <c r="C169" s="499"/>
      <c r="D169" s="406" t="s">
        <v>572</v>
      </c>
      <c r="E169" s="410" t="s">
        <v>573</v>
      </c>
      <c r="F169" s="421"/>
      <c r="G169" s="421"/>
      <c r="H169" s="421"/>
      <c r="I169" s="421"/>
      <c r="J169" s="421"/>
      <c r="K169" s="421"/>
      <c r="L169" s="421"/>
      <c r="M169" s="421"/>
      <c r="N169" s="421"/>
      <c r="O169" s="421"/>
      <c r="P169" s="421"/>
      <c r="Q169" s="421"/>
      <c r="R169" s="438"/>
      <c r="S169" s="421"/>
      <c r="T169" s="421"/>
      <c r="U169" s="421"/>
      <c r="V169" s="421"/>
      <c r="W169" s="421"/>
      <c r="X169" s="421"/>
      <c r="Y169" s="421"/>
      <c r="Z169" s="421"/>
      <c r="AA169" s="421"/>
      <c r="AB169" s="421"/>
      <c r="AC169" s="421"/>
      <c r="AD169" s="421"/>
      <c r="AE169" s="438">
        <f t="shared" si="2"/>
        <v>0</v>
      </c>
    </row>
    <row r="170" spans="1:31">
      <c r="A170" s="423"/>
      <c r="B170" s="499"/>
      <c r="C170" s="499"/>
      <c r="D170" s="406" t="s">
        <v>565</v>
      </c>
      <c r="E170" s="410">
        <v>627</v>
      </c>
      <c r="F170" s="421"/>
      <c r="G170" s="421"/>
      <c r="H170" s="421"/>
      <c r="I170" s="421"/>
      <c r="J170" s="421"/>
      <c r="K170" s="421"/>
      <c r="L170" s="421"/>
      <c r="M170" s="421"/>
      <c r="N170" s="421"/>
      <c r="O170" s="421"/>
      <c r="P170" s="421"/>
      <c r="Q170" s="421"/>
      <c r="R170" s="438"/>
      <c r="S170" s="421"/>
      <c r="T170" s="421"/>
      <c r="U170" s="421"/>
      <c r="V170" s="421"/>
      <c r="W170" s="421"/>
      <c r="X170" s="421"/>
      <c r="Y170" s="421"/>
      <c r="Z170" s="421"/>
      <c r="AA170" s="421"/>
      <c r="AB170" s="421"/>
      <c r="AC170" s="421"/>
      <c r="AD170" s="421"/>
      <c r="AE170" s="438">
        <f t="shared" si="2"/>
        <v>0</v>
      </c>
    </row>
    <row r="171" spans="1:31">
      <c r="A171" s="423"/>
      <c r="B171" s="499"/>
      <c r="C171" s="499"/>
      <c r="D171" s="406" t="s">
        <v>567</v>
      </c>
      <c r="E171" s="410">
        <v>153</v>
      </c>
      <c r="F171" s="421"/>
      <c r="G171" s="421"/>
      <c r="H171" s="421"/>
      <c r="I171" s="421"/>
      <c r="J171" s="421"/>
      <c r="K171" s="421"/>
      <c r="L171" s="421"/>
      <c r="M171" s="421"/>
      <c r="N171" s="421"/>
      <c r="O171" s="421"/>
      <c r="P171" s="421"/>
      <c r="Q171" s="421"/>
      <c r="R171" s="438"/>
      <c r="S171" s="421"/>
      <c r="T171" s="421"/>
      <c r="U171" s="421"/>
      <c r="V171" s="421"/>
      <c r="W171" s="421"/>
      <c r="X171" s="421"/>
      <c r="Y171" s="421"/>
      <c r="Z171" s="421"/>
      <c r="AA171" s="421"/>
      <c r="AB171" s="421"/>
      <c r="AC171" s="421"/>
      <c r="AD171" s="421"/>
      <c r="AE171" s="438">
        <f t="shared" si="2"/>
        <v>0</v>
      </c>
    </row>
    <row r="172" spans="1:31">
      <c r="A172" s="423"/>
      <c r="B172" s="499"/>
      <c r="C172" s="499"/>
      <c r="D172" s="406" t="s">
        <v>566</v>
      </c>
      <c r="E172" s="410">
        <v>211</v>
      </c>
      <c r="F172" s="421"/>
      <c r="G172" s="421"/>
      <c r="H172" s="421"/>
      <c r="I172" s="421"/>
      <c r="J172" s="421"/>
      <c r="K172" s="421"/>
      <c r="L172" s="421"/>
      <c r="M172" s="421"/>
      <c r="N172" s="421"/>
      <c r="O172" s="421"/>
      <c r="P172" s="421"/>
      <c r="Q172" s="421"/>
      <c r="R172" s="438"/>
      <c r="S172" s="421"/>
      <c r="T172" s="421"/>
      <c r="U172" s="421"/>
      <c r="V172" s="421"/>
      <c r="W172" s="421"/>
      <c r="X172" s="421"/>
      <c r="Y172" s="421"/>
      <c r="Z172" s="421"/>
      <c r="AA172" s="421"/>
      <c r="AB172" s="421"/>
      <c r="AC172" s="421"/>
      <c r="AD172" s="421"/>
      <c r="AE172" s="438">
        <f t="shared" si="2"/>
        <v>0</v>
      </c>
    </row>
    <row r="173" spans="1:31">
      <c r="A173" s="423"/>
      <c r="B173" s="499"/>
      <c r="C173" s="499"/>
      <c r="D173" s="406" t="s">
        <v>503</v>
      </c>
      <c r="E173" s="410">
        <v>635</v>
      </c>
      <c r="F173" s="421"/>
      <c r="G173" s="421"/>
      <c r="H173" s="421"/>
      <c r="I173" s="421"/>
      <c r="J173" s="421"/>
      <c r="K173" s="421"/>
      <c r="L173" s="421"/>
      <c r="M173" s="421"/>
      <c r="N173" s="421"/>
      <c r="O173" s="421"/>
      <c r="P173" s="421"/>
      <c r="Q173" s="421"/>
      <c r="R173" s="438"/>
      <c r="S173" s="421"/>
      <c r="T173" s="421"/>
      <c r="U173" s="421"/>
      <c r="V173" s="421"/>
      <c r="W173" s="421"/>
      <c r="X173" s="421"/>
      <c r="Y173" s="421"/>
      <c r="Z173" s="421"/>
      <c r="AA173" s="421"/>
      <c r="AB173" s="421"/>
      <c r="AC173" s="421"/>
      <c r="AD173" s="421"/>
      <c r="AE173" s="438">
        <f t="shared" si="2"/>
        <v>0</v>
      </c>
    </row>
    <row r="174" spans="1:31">
      <c r="A174" s="414"/>
      <c r="B174" s="495"/>
      <c r="C174" s="495"/>
      <c r="D174" s="415" t="s">
        <v>569</v>
      </c>
      <c r="E174" s="458"/>
      <c r="F174" s="463"/>
      <c r="G174" s="463"/>
      <c r="H174" s="463"/>
      <c r="I174" s="463"/>
      <c r="J174" s="463"/>
      <c r="K174" s="463"/>
      <c r="L174" s="463"/>
      <c r="M174" s="463"/>
      <c r="N174" s="463"/>
      <c r="O174" s="463"/>
      <c r="P174" s="463"/>
      <c r="Q174" s="463"/>
      <c r="R174" s="419"/>
      <c r="S174" s="463"/>
      <c r="T174" s="463"/>
      <c r="U174" s="463"/>
      <c r="V174" s="463"/>
      <c r="W174" s="463"/>
      <c r="X174" s="463"/>
      <c r="Y174" s="463"/>
      <c r="Z174" s="463"/>
      <c r="AA174" s="463"/>
      <c r="AB174" s="463"/>
      <c r="AC174" s="463"/>
      <c r="AD174" s="463"/>
      <c r="AE174" s="419">
        <f t="shared" si="2"/>
        <v>0</v>
      </c>
    </row>
    <row r="175" spans="1:31">
      <c r="A175" s="558">
        <v>8</v>
      </c>
      <c r="B175" s="560" t="s">
        <v>530</v>
      </c>
      <c r="C175" s="560" t="s">
        <v>531</v>
      </c>
      <c r="D175" s="559" t="s">
        <v>570</v>
      </c>
      <c r="E175" s="567">
        <v>1548</v>
      </c>
      <c r="F175" s="564"/>
      <c r="G175" s="564"/>
      <c r="H175" s="564"/>
      <c r="I175" s="564"/>
      <c r="J175" s="564"/>
      <c r="K175" s="564"/>
      <c r="L175" s="564"/>
      <c r="M175" s="564"/>
      <c r="N175" s="564"/>
      <c r="O175" s="564"/>
      <c r="P175" s="564"/>
      <c r="Q175" s="564"/>
      <c r="R175" s="563"/>
      <c r="S175" s="564"/>
      <c r="T175" s="564"/>
      <c r="U175" s="564"/>
      <c r="V175" s="564"/>
      <c r="W175" s="564"/>
      <c r="X175" s="564"/>
      <c r="Y175" s="564"/>
      <c r="Z175" s="564"/>
      <c r="AA175" s="564"/>
      <c r="AB175" s="564"/>
      <c r="AC175" s="564"/>
      <c r="AD175" s="564"/>
      <c r="AE175" s="563">
        <f t="shared" si="2"/>
        <v>0</v>
      </c>
    </row>
    <row r="176" spans="1:31">
      <c r="A176" s="398"/>
      <c r="B176" s="435"/>
      <c r="C176" s="435"/>
      <c r="D176" s="412" t="s">
        <v>571</v>
      </c>
      <c r="E176" s="460">
        <v>152</v>
      </c>
      <c r="F176" s="403"/>
      <c r="G176" s="403"/>
      <c r="H176" s="403"/>
      <c r="I176" s="403"/>
      <c r="J176" s="403"/>
      <c r="K176" s="403"/>
      <c r="L176" s="403"/>
      <c r="M176" s="403"/>
      <c r="N176" s="403"/>
      <c r="O176" s="403"/>
      <c r="P176" s="403"/>
      <c r="Q176" s="403"/>
      <c r="R176" s="404"/>
      <c r="S176" s="403"/>
      <c r="T176" s="403"/>
      <c r="U176" s="403"/>
      <c r="V176" s="403"/>
      <c r="W176" s="403"/>
      <c r="X176" s="403"/>
      <c r="Y176" s="403"/>
      <c r="Z176" s="403"/>
      <c r="AA176" s="403"/>
      <c r="AB176" s="403"/>
      <c r="AC176" s="403"/>
      <c r="AD176" s="403"/>
      <c r="AE176" s="404">
        <f t="shared" si="2"/>
        <v>0</v>
      </c>
    </row>
    <row r="177" spans="1:31">
      <c r="A177" s="398"/>
      <c r="B177" s="435"/>
      <c r="C177" s="435"/>
      <c r="D177" s="412" t="s">
        <v>572</v>
      </c>
      <c r="E177" s="460" t="s">
        <v>573</v>
      </c>
      <c r="F177" s="403"/>
      <c r="G177" s="403"/>
      <c r="H177" s="403"/>
      <c r="I177" s="403"/>
      <c r="J177" s="403"/>
      <c r="K177" s="403"/>
      <c r="L177" s="403"/>
      <c r="M177" s="403"/>
      <c r="N177" s="403"/>
      <c r="O177" s="403"/>
      <c r="P177" s="403"/>
      <c r="Q177" s="403"/>
      <c r="R177" s="404"/>
      <c r="S177" s="403"/>
      <c r="T177" s="403">
        <v>27000000</v>
      </c>
      <c r="U177" s="403"/>
      <c r="V177" s="403"/>
      <c r="W177" s="403"/>
      <c r="X177" s="403"/>
      <c r="Y177" s="403"/>
      <c r="Z177" s="403"/>
      <c r="AA177" s="403"/>
      <c r="AB177" s="403"/>
      <c r="AC177" s="403"/>
      <c r="AD177" s="403"/>
      <c r="AE177" s="404">
        <f t="shared" si="2"/>
        <v>27000000</v>
      </c>
    </row>
    <row r="178" spans="1:31">
      <c r="A178" s="398"/>
      <c r="B178" s="435"/>
      <c r="C178" s="435"/>
      <c r="D178" s="412" t="s">
        <v>574</v>
      </c>
      <c r="E178" s="460">
        <v>627</v>
      </c>
      <c r="F178" s="403"/>
      <c r="G178" s="403"/>
      <c r="H178" s="403"/>
      <c r="I178" s="403"/>
      <c r="J178" s="403"/>
      <c r="K178" s="403"/>
      <c r="L178" s="403"/>
      <c r="M178" s="403"/>
      <c r="N178" s="403"/>
      <c r="O178" s="403"/>
      <c r="P178" s="403"/>
      <c r="Q178" s="403"/>
      <c r="R178" s="404"/>
      <c r="S178" s="403"/>
      <c r="T178" s="403"/>
      <c r="U178" s="403"/>
      <c r="V178" s="403"/>
      <c r="W178" s="403"/>
      <c r="X178" s="403"/>
      <c r="Y178" s="403"/>
      <c r="Z178" s="403"/>
      <c r="AA178" s="403"/>
      <c r="AB178" s="403"/>
      <c r="AC178" s="403"/>
      <c r="AD178" s="403"/>
      <c r="AE178" s="404">
        <f t="shared" si="2"/>
        <v>0</v>
      </c>
    </row>
    <row r="179" spans="1:31">
      <c r="A179" s="398"/>
      <c r="B179" s="435"/>
      <c r="C179" s="435"/>
      <c r="D179" s="412" t="s">
        <v>565</v>
      </c>
      <c r="E179" s="461">
        <v>627</v>
      </c>
      <c r="F179" s="403"/>
      <c r="G179" s="403"/>
      <c r="H179" s="403"/>
      <c r="I179" s="403"/>
      <c r="J179" s="403"/>
      <c r="K179" s="403"/>
      <c r="L179" s="403"/>
      <c r="M179" s="403"/>
      <c r="N179" s="403"/>
      <c r="O179" s="403"/>
      <c r="P179" s="403"/>
      <c r="Q179" s="403"/>
      <c r="R179" s="404"/>
      <c r="S179" s="403"/>
      <c r="T179" s="403"/>
      <c r="U179" s="403"/>
      <c r="V179" s="403"/>
      <c r="W179" s="403"/>
      <c r="X179" s="403"/>
      <c r="Y179" s="403"/>
      <c r="Z179" s="403"/>
      <c r="AA179" s="403"/>
      <c r="AB179" s="403"/>
      <c r="AC179" s="403"/>
      <c r="AD179" s="403"/>
      <c r="AE179" s="404">
        <f t="shared" si="2"/>
        <v>0</v>
      </c>
    </row>
    <row r="180" spans="1:31">
      <c r="A180" s="398"/>
      <c r="B180" s="435"/>
      <c r="C180" s="435"/>
      <c r="D180" s="412" t="s">
        <v>567</v>
      </c>
      <c r="E180" s="461">
        <v>153</v>
      </c>
      <c r="F180" s="403"/>
      <c r="G180" s="403"/>
      <c r="H180" s="403"/>
      <c r="I180" s="403"/>
      <c r="J180" s="403"/>
      <c r="K180" s="403"/>
      <c r="L180" s="403"/>
      <c r="M180" s="403"/>
      <c r="N180" s="403"/>
      <c r="O180" s="403"/>
      <c r="P180" s="403"/>
      <c r="Q180" s="403"/>
      <c r="R180" s="404"/>
      <c r="S180" s="403"/>
      <c r="T180" s="403"/>
      <c r="U180" s="403"/>
      <c r="V180" s="403"/>
      <c r="W180" s="403"/>
      <c r="X180" s="403"/>
      <c r="Y180" s="403"/>
      <c r="Z180" s="403"/>
      <c r="AA180" s="403"/>
      <c r="AB180" s="403"/>
      <c r="AC180" s="403"/>
      <c r="AD180" s="403"/>
      <c r="AE180" s="404">
        <f t="shared" si="2"/>
        <v>0</v>
      </c>
    </row>
    <row r="181" spans="1:31">
      <c r="A181" s="398"/>
      <c r="B181" s="431"/>
      <c r="C181" s="431"/>
      <c r="D181" s="412" t="s">
        <v>566</v>
      </c>
      <c r="E181" s="461">
        <v>211</v>
      </c>
      <c r="F181" s="403"/>
      <c r="G181" s="403"/>
      <c r="H181" s="403"/>
      <c r="I181" s="403"/>
      <c r="J181" s="403"/>
      <c r="K181" s="403"/>
      <c r="L181" s="403"/>
      <c r="M181" s="403">
        <v>30000000</v>
      </c>
      <c r="N181" s="403"/>
      <c r="O181" s="403"/>
      <c r="P181" s="403"/>
      <c r="Q181" s="403"/>
      <c r="R181" s="404"/>
      <c r="S181" s="403"/>
      <c r="T181" s="403"/>
      <c r="U181" s="403"/>
      <c r="V181" s="403"/>
      <c r="W181" s="403"/>
      <c r="X181" s="403"/>
      <c r="Y181" s="403"/>
      <c r="Z181" s="403"/>
      <c r="AA181" s="403"/>
      <c r="AB181" s="403"/>
      <c r="AC181" s="403"/>
      <c r="AD181" s="403"/>
      <c r="AE181" s="404">
        <f t="shared" si="2"/>
        <v>0</v>
      </c>
    </row>
    <row r="182" spans="1:31">
      <c r="A182" s="398"/>
      <c r="B182" s="431"/>
      <c r="C182" s="431"/>
      <c r="D182" s="412" t="s">
        <v>577</v>
      </c>
      <c r="E182" s="460">
        <v>627</v>
      </c>
      <c r="F182" s="403"/>
      <c r="G182" s="403"/>
      <c r="H182" s="403"/>
      <c r="I182" s="403"/>
      <c r="J182" s="403">
        <v>12420000</v>
      </c>
      <c r="K182" s="403"/>
      <c r="L182" s="403">
        <v>13500000</v>
      </c>
      <c r="M182" s="403"/>
      <c r="N182" s="403"/>
      <c r="O182" s="403"/>
      <c r="P182" s="403"/>
      <c r="Q182" s="403"/>
      <c r="R182" s="404"/>
      <c r="S182" s="403"/>
      <c r="T182" s="403"/>
      <c r="U182" s="403"/>
      <c r="V182" s="403"/>
      <c r="W182" s="403"/>
      <c r="X182" s="403"/>
      <c r="Y182" s="403"/>
      <c r="Z182" s="403"/>
      <c r="AA182" s="403"/>
      <c r="AB182" s="403"/>
      <c r="AC182" s="403"/>
      <c r="AD182" s="403"/>
      <c r="AE182" s="404">
        <f t="shared" si="2"/>
        <v>0</v>
      </c>
    </row>
    <row r="183" spans="1:31">
      <c r="A183" s="398"/>
      <c r="B183" s="431"/>
      <c r="C183" s="431"/>
      <c r="D183" s="412" t="s">
        <v>503</v>
      </c>
      <c r="E183" s="460">
        <v>635</v>
      </c>
      <c r="F183" s="403"/>
      <c r="G183" s="403"/>
      <c r="H183" s="403"/>
      <c r="I183" s="403"/>
      <c r="J183" s="403"/>
      <c r="K183" s="403"/>
      <c r="L183" s="403"/>
      <c r="M183" s="403"/>
      <c r="N183" s="403"/>
      <c r="O183" s="403"/>
      <c r="P183" s="403"/>
      <c r="Q183" s="403"/>
      <c r="R183" s="404"/>
      <c r="S183" s="403"/>
      <c r="T183" s="403"/>
      <c r="U183" s="403"/>
      <c r="V183" s="403"/>
      <c r="W183" s="403"/>
      <c r="X183" s="403"/>
      <c r="Y183" s="403"/>
      <c r="Z183" s="403"/>
      <c r="AA183" s="403"/>
      <c r="AB183" s="403"/>
      <c r="AC183" s="403"/>
      <c r="AD183" s="403"/>
      <c r="AE183" s="404">
        <f t="shared" si="2"/>
        <v>0</v>
      </c>
    </row>
    <row r="184" spans="1:31">
      <c r="A184" s="432"/>
      <c r="B184" s="433"/>
      <c r="C184" s="515"/>
      <c r="D184" s="426" t="s">
        <v>569</v>
      </c>
      <c r="E184" s="442">
        <v>156</v>
      </c>
      <c r="F184" s="462"/>
      <c r="G184" s="462"/>
      <c r="H184" s="462"/>
      <c r="I184" s="462"/>
      <c r="J184" s="462"/>
      <c r="K184" s="462"/>
      <c r="L184" s="462"/>
      <c r="M184" s="462"/>
      <c r="N184" s="462"/>
      <c r="O184" s="462"/>
      <c r="P184" s="462"/>
      <c r="Q184" s="462"/>
      <c r="R184" s="428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28">
        <f t="shared" si="2"/>
        <v>0</v>
      </c>
    </row>
    <row r="185" spans="1:31">
      <c r="A185" s="558">
        <v>9</v>
      </c>
      <c r="B185" s="560" t="s">
        <v>533</v>
      </c>
      <c r="C185" s="560" t="s">
        <v>534</v>
      </c>
      <c r="D185" s="559" t="s">
        <v>575</v>
      </c>
      <c r="E185" s="567" t="s">
        <v>573</v>
      </c>
      <c r="F185" s="564"/>
      <c r="G185" s="564"/>
      <c r="H185" s="564"/>
      <c r="I185" s="564"/>
      <c r="J185" s="564"/>
      <c r="K185" s="564"/>
      <c r="L185" s="564"/>
      <c r="M185" s="564"/>
      <c r="N185" s="564"/>
      <c r="O185" s="564"/>
      <c r="P185" s="564"/>
      <c r="Q185" s="564"/>
      <c r="R185" s="563"/>
      <c r="S185" s="564"/>
      <c r="T185" s="564"/>
      <c r="U185" s="564"/>
      <c r="V185" s="564"/>
      <c r="W185" s="564"/>
      <c r="X185" s="564"/>
      <c r="Y185" s="564"/>
      <c r="Z185" s="564"/>
      <c r="AA185" s="564"/>
      <c r="AB185" s="564"/>
      <c r="AC185" s="564"/>
      <c r="AD185" s="564"/>
      <c r="AE185" s="563">
        <f t="shared" si="2"/>
        <v>0</v>
      </c>
    </row>
    <row r="186" spans="1:31">
      <c r="A186" s="398"/>
      <c r="B186" s="431"/>
      <c r="C186" s="431"/>
      <c r="D186" s="412" t="s">
        <v>571</v>
      </c>
      <c r="E186" s="460">
        <v>152</v>
      </c>
      <c r="F186" s="403"/>
      <c r="G186" s="403"/>
      <c r="H186" s="403"/>
      <c r="I186" s="403"/>
      <c r="J186" s="403"/>
      <c r="K186" s="403"/>
      <c r="L186" s="403"/>
      <c r="M186" s="403"/>
      <c r="N186" s="403"/>
      <c r="O186" s="403"/>
      <c r="P186" s="403"/>
      <c r="Q186" s="403"/>
      <c r="R186" s="404"/>
      <c r="S186" s="403"/>
      <c r="T186" s="403"/>
      <c r="U186" s="403"/>
      <c r="V186" s="403"/>
      <c r="W186" s="403"/>
      <c r="X186" s="403"/>
      <c r="Y186" s="403"/>
      <c r="Z186" s="403"/>
      <c r="AA186" s="403"/>
      <c r="AB186" s="403"/>
      <c r="AC186" s="403"/>
      <c r="AD186" s="403"/>
      <c r="AE186" s="404">
        <f t="shared" si="2"/>
        <v>0</v>
      </c>
    </row>
    <row r="187" spans="1:31">
      <c r="A187" s="398"/>
      <c r="B187" s="431"/>
      <c r="C187" s="431"/>
      <c r="D187" s="412" t="s">
        <v>572</v>
      </c>
      <c r="E187" s="460" t="s">
        <v>573</v>
      </c>
      <c r="F187" s="403"/>
      <c r="G187" s="403"/>
      <c r="H187" s="403"/>
      <c r="I187" s="403"/>
      <c r="J187" s="403"/>
      <c r="K187" s="403"/>
      <c r="L187" s="403"/>
      <c r="M187" s="403"/>
      <c r="N187" s="403"/>
      <c r="O187" s="403"/>
      <c r="P187" s="403"/>
      <c r="Q187" s="403"/>
      <c r="R187" s="404"/>
      <c r="S187" s="403"/>
      <c r="T187" s="403"/>
      <c r="U187" s="403"/>
      <c r="V187" s="403"/>
      <c r="W187" s="403"/>
      <c r="X187" s="403"/>
      <c r="Y187" s="403"/>
      <c r="Z187" s="403"/>
      <c r="AA187" s="403"/>
      <c r="AB187" s="403"/>
      <c r="AC187" s="403"/>
      <c r="AD187" s="403"/>
      <c r="AE187" s="404">
        <f t="shared" si="2"/>
        <v>0</v>
      </c>
    </row>
    <row r="188" spans="1:31">
      <c r="A188" s="398"/>
      <c r="B188" s="431"/>
      <c r="C188" s="431"/>
      <c r="D188" s="412" t="s">
        <v>566</v>
      </c>
      <c r="E188" s="461">
        <v>211</v>
      </c>
      <c r="F188" s="403"/>
      <c r="G188" s="403"/>
      <c r="H188" s="403"/>
      <c r="I188" s="403"/>
      <c r="J188" s="403"/>
      <c r="K188" s="403"/>
      <c r="L188" s="403"/>
      <c r="M188" s="403"/>
      <c r="N188" s="403"/>
      <c r="O188" s="403"/>
      <c r="P188" s="403"/>
      <c r="Q188" s="403"/>
      <c r="R188" s="404"/>
      <c r="S188" s="403"/>
      <c r="T188" s="403"/>
      <c r="U188" s="403"/>
      <c r="V188" s="403"/>
      <c r="W188" s="403"/>
      <c r="X188" s="403"/>
      <c r="Y188" s="403"/>
      <c r="Z188" s="403"/>
      <c r="AA188" s="403"/>
      <c r="AB188" s="403"/>
      <c r="AC188" s="403"/>
      <c r="AD188" s="403"/>
      <c r="AE188" s="404">
        <f t="shared" si="2"/>
        <v>0</v>
      </c>
    </row>
    <row r="189" spans="1:31">
      <c r="A189" s="432"/>
      <c r="B189" s="433"/>
      <c r="C189" s="433"/>
      <c r="D189" s="434" t="s">
        <v>569</v>
      </c>
      <c r="E189" s="448"/>
      <c r="F189" s="462"/>
      <c r="G189" s="462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28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28">
        <f t="shared" si="2"/>
        <v>0</v>
      </c>
    </row>
    <row r="190" spans="1:31">
      <c r="A190" s="558">
        <v>10</v>
      </c>
      <c r="B190" s="570" t="s">
        <v>535</v>
      </c>
      <c r="C190" s="570" t="s">
        <v>536</v>
      </c>
      <c r="D190" s="559" t="s">
        <v>577</v>
      </c>
      <c r="E190" s="567">
        <v>627</v>
      </c>
      <c r="F190" s="564">
        <v>10000000</v>
      </c>
      <c r="G190" s="564"/>
      <c r="H190" s="564"/>
      <c r="I190" s="564"/>
      <c r="J190" s="564"/>
      <c r="K190" s="564"/>
      <c r="L190" s="564"/>
      <c r="M190" s="564"/>
      <c r="N190" s="564"/>
      <c r="O190" s="564"/>
      <c r="P190" s="564"/>
      <c r="Q190" s="564"/>
      <c r="R190" s="563"/>
      <c r="S190" s="564"/>
      <c r="T190" s="564"/>
      <c r="U190" s="564"/>
      <c r="V190" s="564"/>
      <c r="W190" s="564"/>
      <c r="X190" s="564"/>
      <c r="Y190" s="564"/>
      <c r="Z190" s="564"/>
      <c r="AA190" s="564"/>
      <c r="AB190" s="564"/>
      <c r="AC190" s="564"/>
      <c r="AD190" s="564"/>
      <c r="AE190" s="563">
        <f t="shared" si="2"/>
        <v>0</v>
      </c>
    </row>
    <row r="191" spans="1:31">
      <c r="A191" s="425"/>
      <c r="B191" s="518"/>
      <c r="C191" s="518"/>
      <c r="D191" s="434" t="s">
        <v>566</v>
      </c>
      <c r="E191" s="448">
        <v>211</v>
      </c>
      <c r="F191" s="403"/>
      <c r="G191" s="403"/>
      <c r="H191" s="403"/>
      <c r="I191" s="403"/>
      <c r="J191" s="403"/>
      <c r="K191" s="403"/>
      <c r="L191" s="403"/>
      <c r="M191" s="403"/>
      <c r="N191" s="403"/>
      <c r="O191" s="403"/>
      <c r="P191" s="403"/>
      <c r="Q191" s="403"/>
      <c r="R191" s="404"/>
      <c r="S191" s="403"/>
      <c r="T191" s="403"/>
      <c r="U191" s="403"/>
      <c r="V191" s="403"/>
      <c r="W191" s="403"/>
      <c r="X191" s="403"/>
      <c r="Y191" s="403"/>
      <c r="Z191" s="403"/>
      <c r="AA191" s="403"/>
      <c r="AB191" s="403"/>
      <c r="AC191" s="403"/>
      <c r="AD191" s="403"/>
      <c r="AE191" s="404">
        <f t="shared" si="2"/>
        <v>0</v>
      </c>
    </row>
    <row r="192" spans="1:31">
      <c r="A192" s="425"/>
      <c r="B192" s="518"/>
      <c r="C192" s="518"/>
      <c r="D192" s="434" t="s">
        <v>569</v>
      </c>
      <c r="E192" s="448">
        <v>156</v>
      </c>
      <c r="F192" s="462"/>
      <c r="G192" s="462"/>
      <c r="H192" s="462"/>
      <c r="I192" s="462"/>
      <c r="J192" s="462"/>
      <c r="K192" s="462"/>
      <c r="L192" s="462"/>
      <c r="M192" s="462"/>
      <c r="N192" s="462"/>
      <c r="O192" s="462"/>
      <c r="P192" s="462"/>
      <c r="Q192" s="462"/>
      <c r="R192" s="428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28">
        <f t="shared" si="2"/>
        <v>0</v>
      </c>
    </row>
    <row r="193" spans="1:31">
      <c r="A193" s="558">
        <v>11</v>
      </c>
      <c r="B193" s="560" t="s">
        <v>537</v>
      </c>
      <c r="C193" s="560" t="s">
        <v>538</v>
      </c>
      <c r="D193" s="559" t="s">
        <v>570</v>
      </c>
      <c r="E193" s="567">
        <v>1548</v>
      </c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3"/>
      <c r="S193" s="564"/>
      <c r="T193" s="564">
        <v>21000000</v>
      </c>
      <c r="U193" s="564"/>
      <c r="V193" s="564"/>
      <c r="W193" s="564"/>
      <c r="X193" s="564"/>
      <c r="Y193" s="564"/>
      <c r="Z193" s="564"/>
      <c r="AA193" s="564"/>
      <c r="AB193" s="564"/>
      <c r="AC193" s="564"/>
      <c r="AD193" s="564"/>
      <c r="AE193" s="563">
        <f t="shared" si="2"/>
        <v>21000000</v>
      </c>
    </row>
    <row r="194" spans="1:31">
      <c r="A194" s="423"/>
      <c r="B194" s="431"/>
      <c r="C194" s="435"/>
      <c r="D194" s="424" t="s">
        <v>575</v>
      </c>
      <c r="E194" s="460" t="s">
        <v>573</v>
      </c>
      <c r="F194" s="403"/>
      <c r="G194" s="403"/>
      <c r="H194" s="403"/>
      <c r="I194" s="403"/>
      <c r="J194" s="403"/>
      <c r="K194" s="403">
        <v>15525000</v>
      </c>
      <c r="L194" s="403"/>
      <c r="M194" s="403"/>
      <c r="N194" s="403"/>
      <c r="O194" s="403"/>
      <c r="P194" s="403">
        <v>4698000</v>
      </c>
      <c r="Q194" s="403"/>
      <c r="R194" s="404"/>
      <c r="S194" s="403"/>
      <c r="T194" s="403"/>
      <c r="U194" s="403"/>
      <c r="V194" s="403"/>
      <c r="W194" s="403"/>
      <c r="X194" s="403"/>
      <c r="Y194" s="403"/>
      <c r="Z194" s="403"/>
      <c r="AA194" s="403"/>
      <c r="AB194" s="403"/>
      <c r="AC194" s="403"/>
      <c r="AD194" s="403"/>
      <c r="AE194" s="404">
        <f t="shared" si="2"/>
        <v>0</v>
      </c>
    </row>
    <row r="195" spans="1:31">
      <c r="A195" s="423"/>
      <c r="B195" s="431"/>
      <c r="C195" s="431"/>
      <c r="D195" s="412" t="s">
        <v>571</v>
      </c>
      <c r="E195" s="460">
        <v>152</v>
      </c>
      <c r="F195" s="403"/>
      <c r="G195" s="403"/>
      <c r="H195" s="403"/>
      <c r="I195" s="403"/>
      <c r="J195" s="403"/>
      <c r="K195" s="403"/>
      <c r="L195" s="403"/>
      <c r="M195" s="403"/>
      <c r="N195" s="403"/>
      <c r="O195" s="403"/>
      <c r="P195" s="403"/>
      <c r="Q195" s="403"/>
      <c r="R195" s="404"/>
      <c r="S195" s="403"/>
      <c r="T195" s="403"/>
      <c r="U195" s="403"/>
      <c r="V195" s="403"/>
      <c r="W195" s="403"/>
      <c r="X195" s="403"/>
      <c r="Y195" s="403"/>
      <c r="Z195" s="403"/>
      <c r="AA195" s="403"/>
      <c r="AB195" s="403"/>
      <c r="AC195" s="403"/>
      <c r="AD195" s="403"/>
      <c r="AE195" s="404">
        <f t="shared" si="2"/>
        <v>0</v>
      </c>
    </row>
    <row r="196" spans="1:31">
      <c r="A196" s="423"/>
      <c r="B196" s="431"/>
      <c r="C196" s="431"/>
      <c r="D196" s="412" t="s">
        <v>572</v>
      </c>
      <c r="E196" s="460" t="s">
        <v>573</v>
      </c>
      <c r="F196" s="403"/>
      <c r="G196" s="403"/>
      <c r="H196" s="403"/>
      <c r="I196" s="403"/>
      <c r="J196" s="403"/>
      <c r="K196" s="403"/>
      <c r="L196" s="403"/>
      <c r="M196" s="403"/>
      <c r="N196" s="403"/>
      <c r="O196" s="403"/>
      <c r="P196" s="403"/>
      <c r="Q196" s="403"/>
      <c r="R196" s="404"/>
      <c r="S196" s="403"/>
      <c r="T196" s="403"/>
      <c r="U196" s="403"/>
      <c r="V196" s="403"/>
      <c r="W196" s="403"/>
      <c r="X196" s="403"/>
      <c r="Y196" s="403"/>
      <c r="Z196" s="403"/>
      <c r="AA196" s="403"/>
      <c r="AB196" s="403"/>
      <c r="AC196" s="403"/>
      <c r="AD196" s="403"/>
      <c r="AE196" s="404">
        <f t="shared" si="2"/>
        <v>0</v>
      </c>
    </row>
    <row r="197" spans="1:31">
      <c r="A197" s="423"/>
      <c r="B197" s="431"/>
      <c r="C197" s="431"/>
      <c r="D197" s="412" t="s">
        <v>566</v>
      </c>
      <c r="E197" s="461">
        <v>211</v>
      </c>
      <c r="F197" s="403"/>
      <c r="G197" s="403">
        <v>1816000000</v>
      </c>
      <c r="H197" s="403"/>
      <c r="I197" s="403"/>
      <c r="J197" s="403">
        <v>1217153000</v>
      </c>
      <c r="K197" s="403"/>
      <c r="L197" s="403"/>
      <c r="M197" s="403"/>
      <c r="N197" s="403"/>
      <c r="O197" s="403">
        <v>1262200000</v>
      </c>
      <c r="P197" s="403"/>
      <c r="Q197" s="403">
        <v>440000000</v>
      </c>
      <c r="R197" s="404"/>
      <c r="S197" s="403"/>
      <c r="T197" s="403"/>
      <c r="U197" s="403"/>
      <c r="V197" s="403">
        <v>705000000</v>
      </c>
      <c r="W197" s="403">
        <v>80000000</v>
      </c>
      <c r="X197" s="403"/>
      <c r="Y197" s="403"/>
      <c r="Z197" s="403"/>
      <c r="AA197" s="403"/>
      <c r="AB197" s="403"/>
      <c r="AC197" s="403"/>
      <c r="AD197" s="403"/>
      <c r="AE197" s="404">
        <f t="shared" si="2"/>
        <v>785000000</v>
      </c>
    </row>
    <row r="198" spans="1:31">
      <c r="A198" s="425"/>
      <c r="B198" s="433"/>
      <c r="C198" s="433"/>
      <c r="D198" s="434" t="s">
        <v>569</v>
      </c>
      <c r="E198" s="448">
        <v>211</v>
      </c>
      <c r="F198" s="462"/>
      <c r="G198" s="462"/>
      <c r="H198" s="462"/>
      <c r="I198" s="462"/>
      <c r="J198" s="462"/>
      <c r="K198" s="462"/>
      <c r="L198" s="462"/>
      <c r="M198" s="462"/>
      <c r="N198" s="462"/>
      <c r="O198" s="462"/>
      <c r="P198" s="462"/>
      <c r="Q198" s="462"/>
      <c r="R198" s="428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28">
        <f t="shared" si="2"/>
        <v>0</v>
      </c>
    </row>
    <row r="199" spans="1:31">
      <c r="A199" s="558">
        <v>12</v>
      </c>
      <c r="B199" s="560" t="s">
        <v>539</v>
      </c>
      <c r="C199" s="560" t="s">
        <v>540</v>
      </c>
      <c r="D199" s="559" t="s">
        <v>575</v>
      </c>
      <c r="E199" s="567" t="s">
        <v>573</v>
      </c>
      <c r="F199" s="564"/>
      <c r="G199" s="564"/>
      <c r="H199" s="564"/>
      <c r="I199" s="564"/>
      <c r="J199" s="564"/>
      <c r="K199" s="564"/>
      <c r="L199" s="564"/>
      <c r="M199" s="564"/>
      <c r="N199" s="564"/>
      <c r="O199" s="564"/>
      <c r="P199" s="564"/>
      <c r="Q199" s="564"/>
      <c r="R199" s="563"/>
      <c r="S199" s="564"/>
      <c r="T199" s="564"/>
      <c r="U199" s="564"/>
      <c r="V199" s="564"/>
      <c r="W199" s="564"/>
      <c r="X199" s="564"/>
      <c r="Y199" s="564"/>
      <c r="Z199" s="564"/>
      <c r="AA199" s="564"/>
      <c r="AB199" s="564"/>
      <c r="AC199" s="564"/>
      <c r="AD199" s="564"/>
      <c r="AE199" s="563">
        <f t="shared" si="2"/>
        <v>0</v>
      </c>
    </row>
    <row r="200" spans="1:31">
      <c r="A200" s="425"/>
      <c r="B200" s="433"/>
      <c r="C200" s="433"/>
      <c r="D200" s="434" t="s">
        <v>566</v>
      </c>
      <c r="E200" s="448">
        <v>211</v>
      </c>
      <c r="F200" s="403"/>
      <c r="G200" s="403"/>
      <c r="H200" s="403"/>
      <c r="I200" s="403"/>
      <c r="J200" s="403"/>
      <c r="K200" s="403"/>
      <c r="L200" s="403"/>
      <c r="M200" s="403"/>
      <c r="N200" s="403"/>
      <c r="O200" s="403"/>
      <c r="P200" s="403"/>
      <c r="Q200" s="403"/>
      <c r="R200" s="404"/>
      <c r="S200" s="403"/>
      <c r="T200" s="403"/>
      <c r="U200" s="403"/>
      <c r="V200" s="403"/>
      <c r="W200" s="403"/>
      <c r="X200" s="403"/>
      <c r="Y200" s="403"/>
      <c r="Z200" s="403"/>
      <c r="AA200" s="403"/>
      <c r="AB200" s="403"/>
      <c r="AC200" s="403"/>
      <c r="AD200" s="403"/>
      <c r="AE200" s="404">
        <f t="shared" si="2"/>
        <v>0</v>
      </c>
    </row>
    <row r="201" spans="1:31">
      <c r="A201" s="425"/>
      <c r="B201" s="433"/>
      <c r="C201" s="433"/>
      <c r="D201" s="434" t="s">
        <v>569</v>
      </c>
      <c r="E201" s="448">
        <v>152</v>
      </c>
      <c r="F201" s="462"/>
      <c r="G201" s="462"/>
      <c r="H201" s="462"/>
      <c r="I201" s="462"/>
      <c r="J201" s="462"/>
      <c r="K201" s="462"/>
      <c r="L201" s="462"/>
      <c r="M201" s="462"/>
      <c r="N201" s="462"/>
      <c r="O201" s="462"/>
      <c r="P201" s="462"/>
      <c r="Q201" s="462"/>
      <c r="R201" s="428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28">
        <f t="shared" si="2"/>
        <v>0</v>
      </c>
    </row>
    <row r="202" spans="1:31">
      <c r="A202" s="558">
        <v>13</v>
      </c>
      <c r="B202" s="560" t="s">
        <v>541</v>
      </c>
      <c r="C202" s="560" t="s">
        <v>542</v>
      </c>
      <c r="D202" s="559" t="s">
        <v>578</v>
      </c>
      <c r="E202" s="567">
        <v>152</v>
      </c>
      <c r="F202" s="564"/>
      <c r="G202" s="564"/>
      <c r="H202" s="564"/>
      <c r="I202" s="564"/>
      <c r="J202" s="564"/>
      <c r="K202" s="564"/>
      <c r="L202" s="564"/>
      <c r="M202" s="564"/>
      <c r="N202" s="564"/>
      <c r="O202" s="564"/>
      <c r="P202" s="564"/>
      <c r="Q202" s="564"/>
      <c r="R202" s="563"/>
      <c r="S202" s="564"/>
      <c r="T202" s="564"/>
      <c r="U202" s="564"/>
      <c r="V202" s="564"/>
      <c r="W202" s="564"/>
      <c r="X202" s="564"/>
      <c r="Y202" s="564"/>
      <c r="Z202" s="564"/>
      <c r="AA202" s="564"/>
      <c r="AB202" s="564"/>
      <c r="AC202" s="564"/>
      <c r="AD202" s="564"/>
      <c r="AE202" s="563">
        <f t="shared" si="2"/>
        <v>0</v>
      </c>
    </row>
    <row r="203" spans="1:31">
      <c r="A203" s="425"/>
      <c r="B203" s="431"/>
      <c r="C203" s="433"/>
      <c r="D203" s="434" t="s">
        <v>571</v>
      </c>
      <c r="E203" s="448" t="s">
        <v>579</v>
      </c>
      <c r="F203" s="403"/>
      <c r="G203" s="403"/>
      <c r="H203" s="403"/>
      <c r="I203" s="403"/>
      <c r="J203" s="403"/>
      <c r="K203" s="403"/>
      <c r="L203" s="403"/>
      <c r="M203" s="403"/>
      <c r="N203" s="403"/>
      <c r="O203" s="403"/>
      <c r="P203" s="403"/>
      <c r="Q203" s="403"/>
      <c r="R203" s="404"/>
      <c r="S203" s="403"/>
      <c r="T203" s="403"/>
      <c r="U203" s="403"/>
      <c r="V203" s="403"/>
      <c r="W203" s="403"/>
      <c r="X203" s="403"/>
      <c r="Y203" s="403"/>
      <c r="Z203" s="403"/>
      <c r="AA203" s="403"/>
      <c r="AB203" s="403"/>
      <c r="AC203" s="403"/>
      <c r="AD203" s="403"/>
      <c r="AE203" s="404">
        <f t="shared" ref="AE203:AE235" si="3">SUM(S203:AD203)</f>
        <v>0</v>
      </c>
    </row>
    <row r="204" spans="1:31">
      <c r="A204" s="425"/>
      <c r="B204" s="431"/>
      <c r="C204" s="433"/>
      <c r="D204" s="434" t="s">
        <v>571</v>
      </c>
      <c r="E204" s="448" t="s">
        <v>579</v>
      </c>
      <c r="F204" s="403"/>
      <c r="G204" s="403"/>
      <c r="H204" s="403"/>
      <c r="I204" s="403"/>
      <c r="J204" s="403"/>
      <c r="K204" s="403"/>
      <c r="L204" s="403"/>
      <c r="M204" s="403"/>
      <c r="N204" s="403"/>
      <c r="O204" s="403"/>
      <c r="P204" s="403"/>
      <c r="Q204" s="403"/>
      <c r="R204" s="404"/>
      <c r="S204" s="403"/>
      <c r="T204" s="403"/>
      <c r="U204" s="403"/>
      <c r="V204" s="403"/>
      <c r="W204" s="403"/>
      <c r="X204" s="403"/>
      <c r="Y204" s="403"/>
      <c r="Z204" s="403"/>
      <c r="AA204" s="403"/>
      <c r="AB204" s="403"/>
      <c r="AC204" s="403"/>
      <c r="AD204" s="403"/>
      <c r="AE204" s="404">
        <f t="shared" si="3"/>
        <v>0</v>
      </c>
    </row>
    <row r="205" spans="1:31">
      <c r="A205" s="425"/>
      <c r="B205" s="433"/>
      <c r="C205" s="433"/>
      <c r="D205" s="434" t="s">
        <v>569</v>
      </c>
      <c r="E205" s="448"/>
      <c r="F205" s="462"/>
      <c r="G205" s="462"/>
      <c r="H205" s="462"/>
      <c r="I205" s="462"/>
      <c r="J205" s="462"/>
      <c r="K205" s="462"/>
      <c r="L205" s="462"/>
      <c r="M205" s="462"/>
      <c r="N205" s="462"/>
      <c r="O205" s="462"/>
      <c r="P205" s="462"/>
      <c r="Q205" s="462"/>
      <c r="R205" s="428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28">
        <f t="shared" si="3"/>
        <v>0</v>
      </c>
    </row>
    <row r="206" spans="1:31">
      <c r="A206" s="558">
        <v>14</v>
      </c>
      <c r="B206" s="560" t="s">
        <v>543</v>
      </c>
      <c r="C206" s="560" t="s">
        <v>544</v>
      </c>
      <c r="D206" s="559" t="s">
        <v>575</v>
      </c>
      <c r="E206" s="567" t="s">
        <v>573</v>
      </c>
      <c r="F206" s="564"/>
      <c r="G206" s="564"/>
      <c r="H206" s="564"/>
      <c r="I206" s="564"/>
      <c r="J206" s="564"/>
      <c r="K206" s="564"/>
      <c r="L206" s="564"/>
      <c r="M206" s="564"/>
      <c r="N206" s="564"/>
      <c r="O206" s="564"/>
      <c r="P206" s="564"/>
      <c r="Q206" s="564"/>
      <c r="R206" s="563"/>
      <c r="S206" s="564"/>
      <c r="T206" s="564"/>
      <c r="U206" s="564"/>
      <c r="V206" s="564"/>
      <c r="W206" s="564"/>
      <c r="X206" s="564"/>
      <c r="Y206" s="564"/>
      <c r="Z206" s="564"/>
      <c r="AA206" s="564"/>
      <c r="AB206" s="564"/>
      <c r="AC206" s="564"/>
      <c r="AD206" s="564"/>
      <c r="AE206" s="563">
        <f t="shared" si="3"/>
        <v>0</v>
      </c>
    </row>
    <row r="207" spans="1:31">
      <c r="A207" s="425"/>
      <c r="B207" s="431"/>
      <c r="C207" s="433"/>
      <c r="D207" s="434" t="s">
        <v>566</v>
      </c>
      <c r="E207" s="448">
        <v>211</v>
      </c>
      <c r="F207" s="403"/>
      <c r="G207" s="403"/>
      <c r="H207" s="403"/>
      <c r="I207" s="403"/>
      <c r="J207" s="403"/>
      <c r="K207" s="403"/>
      <c r="L207" s="403"/>
      <c r="M207" s="403"/>
      <c r="N207" s="403"/>
      <c r="O207" s="403"/>
      <c r="P207" s="403"/>
      <c r="Q207" s="403"/>
      <c r="R207" s="404"/>
      <c r="S207" s="403"/>
      <c r="T207" s="403"/>
      <c r="U207" s="403"/>
      <c r="V207" s="403"/>
      <c r="W207" s="403"/>
      <c r="X207" s="403"/>
      <c r="Y207" s="403"/>
      <c r="Z207" s="403"/>
      <c r="AA207" s="403"/>
      <c r="AB207" s="403"/>
      <c r="AC207" s="403"/>
      <c r="AD207" s="403"/>
      <c r="AE207" s="404">
        <f t="shared" si="3"/>
        <v>0</v>
      </c>
    </row>
    <row r="208" spans="1:31">
      <c r="A208" s="425"/>
      <c r="B208" s="433"/>
      <c r="C208" s="433"/>
      <c r="D208" s="434" t="s">
        <v>569</v>
      </c>
      <c r="E208" s="448">
        <v>152</v>
      </c>
      <c r="F208" s="462"/>
      <c r="G208" s="462"/>
      <c r="H208" s="462"/>
      <c r="I208" s="462"/>
      <c r="J208" s="462"/>
      <c r="K208" s="462"/>
      <c r="L208" s="462"/>
      <c r="M208" s="462"/>
      <c r="N208" s="462"/>
      <c r="O208" s="462"/>
      <c r="P208" s="462"/>
      <c r="Q208" s="462"/>
      <c r="R208" s="428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28">
        <f t="shared" si="3"/>
        <v>0</v>
      </c>
    </row>
    <row r="209" spans="1:31">
      <c r="A209" s="558">
        <v>15</v>
      </c>
      <c r="B209" s="570" t="s">
        <v>545</v>
      </c>
      <c r="C209" s="570">
        <v>1100140919</v>
      </c>
      <c r="D209" s="559" t="s">
        <v>575</v>
      </c>
      <c r="E209" s="567" t="s">
        <v>573</v>
      </c>
      <c r="F209" s="564"/>
      <c r="G209" s="564"/>
      <c r="H209" s="564"/>
      <c r="I209" s="564"/>
      <c r="J209" s="564"/>
      <c r="K209" s="564"/>
      <c r="L209" s="564"/>
      <c r="M209" s="564"/>
      <c r="N209" s="564"/>
      <c r="O209" s="564"/>
      <c r="P209" s="564"/>
      <c r="Q209" s="564"/>
      <c r="R209" s="563"/>
      <c r="S209" s="564"/>
      <c r="T209" s="564"/>
      <c r="U209" s="564"/>
      <c r="V209" s="564"/>
      <c r="W209" s="564"/>
      <c r="X209" s="564"/>
      <c r="Y209" s="564"/>
      <c r="Z209" s="564"/>
      <c r="AA209" s="564"/>
      <c r="AB209" s="564"/>
      <c r="AC209" s="564"/>
      <c r="AD209" s="564"/>
      <c r="AE209" s="563">
        <f t="shared" si="3"/>
        <v>0</v>
      </c>
    </row>
    <row r="210" spans="1:31">
      <c r="A210" s="432"/>
      <c r="B210" s="399"/>
      <c r="C210" s="481"/>
      <c r="D210" s="559" t="s">
        <v>580</v>
      </c>
      <c r="E210" s="442" t="s">
        <v>581</v>
      </c>
      <c r="F210" s="403">
        <v>4650000000</v>
      </c>
      <c r="G210" s="403">
        <v>4650000000</v>
      </c>
      <c r="H210" s="403">
        <v>4650000000</v>
      </c>
      <c r="I210" s="403">
        <v>4500000000</v>
      </c>
      <c r="J210" s="403">
        <v>4500000000</v>
      </c>
      <c r="K210" s="403">
        <v>4500000000</v>
      </c>
      <c r="L210" s="403">
        <v>4050000000</v>
      </c>
      <c r="M210" s="403">
        <v>4500000000</v>
      </c>
      <c r="N210" s="403">
        <v>4500000000</v>
      </c>
      <c r="O210" s="403">
        <v>4500000000</v>
      </c>
      <c r="P210" s="403">
        <v>4500000000</v>
      </c>
      <c r="Q210" s="403">
        <v>4500000000</v>
      </c>
      <c r="R210" s="404"/>
      <c r="S210" s="403">
        <v>3500000000</v>
      </c>
      <c r="T210" s="403">
        <v>3500000000</v>
      </c>
      <c r="U210" s="403">
        <v>3500000000</v>
      </c>
      <c r="V210" s="403">
        <v>3500000000</v>
      </c>
      <c r="W210" s="403">
        <v>3500000000</v>
      </c>
      <c r="X210" s="403">
        <v>3500000000</v>
      </c>
      <c r="Y210" s="403"/>
      <c r="Z210" s="403"/>
      <c r="AA210" s="403"/>
      <c r="AB210" s="403"/>
      <c r="AC210" s="403"/>
      <c r="AD210" s="403"/>
      <c r="AE210" s="404"/>
    </row>
    <row r="211" spans="1:31">
      <c r="A211" s="425"/>
      <c r="B211" s="499"/>
      <c r="C211" s="518"/>
      <c r="D211" s="434" t="s">
        <v>566</v>
      </c>
      <c r="E211" s="448">
        <v>211</v>
      </c>
      <c r="F211" s="403"/>
      <c r="G211" s="403"/>
      <c r="H211" s="403"/>
      <c r="I211" s="403"/>
      <c r="J211" s="403"/>
      <c r="K211" s="403"/>
      <c r="L211" s="403"/>
      <c r="M211" s="403"/>
      <c r="N211" s="403"/>
      <c r="O211" s="403"/>
      <c r="P211" s="403"/>
      <c r="Q211" s="403"/>
      <c r="R211" s="404"/>
      <c r="S211" s="403"/>
      <c r="T211" s="403"/>
      <c r="U211" s="403"/>
      <c r="V211" s="403"/>
      <c r="W211" s="403"/>
      <c r="X211" s="403"/>
      <c r="Y211" s="403"/>
      <c r="Z211" s="403"/>
      <c r="AA211" s="403"/>
      <c r="AB211" s="403"/>
      <c r="AC211" s="403"/>
      <c r="AD211" s="403"/>
      <c r="AE211" s="404">
        <f t="shared" si="3"/>
        <v>0</v>
      </c>
    </row>
    <row r="212" spans="1:31">
      <c r="A212" s="425"/>
      <c r="B212" s="518"/>
      <c r="C212" s="518"/>
      <c r="D212" s="434" t="s">
        <v>569</v>
      </c>
      <c r="E212" s="448">
        <v>152</v>
      </c>
      <c r="F212" s="462"/>
      <c r="G212" s="462"/>
      <c r="H212" s="462"/>
      <c r="I212" s="462"/>
      <c r="J212" s="462"/>
      <c r="K212" s="462"/>
      <c r="L212" s="462"/>
      <c r="M212" s="462"/>
      <c r="N212" s="462"/>
      <c r="O212" s="462"/>
      <c r="P212" s="462"/>
      <c r="Q212" s="462"/>
      <c r="R212" s="428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28">
        <f t="shared" si="3"/>
        <v>0</v>
      </c>
    </row>
    <row r="213" spans="1:31">
      <c r="A213" s="558">
        <v>16</v>
      </c>
      <c r="B213" s="570" t="s">
        <v>547</v>
      </c>
      <c r="C213" s="570" t="s">
        <v>548</v>
      </c>
      <c r="D213" s="559" t="s">
        <v>575</v>
      </c>
      <c r="E213" s="567" t="s">
        <v>573</v>
      </c>
      <c r="F213" s="564"/>
      <c r="G213" s="564"/>
      <c r="H213" s="564"/>
      <c r="I213" s="564"/>
      <c r="J213" s="564"/>
      <c r="K213" s="564"/>
      <c r="L213" s="564"/>
      <c r="M213" s="564"/>
      <c r="N213" s="564"/>
      <c r="O213" s="564"/>
      <c r="P213" s="564"/>
      <c r="Q213" s="564"/>
      <c r="R213" s="563"/>
      <c r="S213" s="564"/>
      <c r="T213" s="564"/>
      <c r="U213" s="564"/>
      <c r="V213" s="564"/>
      <c r="W213" s="564"/>
      <c r="X213" s="564"/>
      <c r="Y213" s="564"/>
      <c r="Z213" s="564"/>
      <c r="AA213" s="564"/>
      <c r="AB213" s="564"/>
      <c r="AC213" s="564"/>
      <c r="AD213" s="564"/>
      <c r="AE213" s="563">
        <f t="shared" si="3"/>
        <v>0</v>
      </c>
    </row>
    <row r="214" spans="1:31">
      <c r="A214" s="432"/>
      <c r="B214" s="399"/>
      <c r="C214" s="481"/>
      <c r="D214" s="559" t="s">
        <v>580</v>
      </c>
      <c r="E214" s="442">
        <v>627</v>
      </c>
      <c r="F214" s="403">
        <v>80000000</v>
      </c>
      <c r="G214" s="403">
        <v>80000000</v>
      </c>
      <c r="H214" s="403">
        <v>134000000</v>
      </c>
      <c r="I214" s="403">
        <v>134000000</v>
      </c>
      <c r="J214" s="403">
        <v>160000000</v>
      </c>
      <c r="K214" s="403">
        <v>160000000</v>
      </c>
      <c r="L214" s="403">
        <v>160000000</v>
      </c>
      <c r="M214" s="403">
        <v>160000000</v>
      </c>
      <c r="N214" s="403">
        <v>160000000</v>
      </c>
      <c r="O214" s="403">
        <v>160000000</v>
      </c>
      <c r="P214" s="403">
        <v>160000000</v>
      </c>
      <c r="Q214" s="403">
        <v>160000000</v>
      </c>
      <c r="R214" s="404"/>
      <c r="S214" s="403">
        <v>160000000</v>
      </c>
      <c r="T214" s="403">
        <v>160000000</v>
      </c>
      <c r="U214" s="403">
        <v>160000000</v>
      </c>
      <c r="V214" s="403">
        <v>160000000</v>
      </c>
      <c r="W214" s="403">
        <v>160000000</v>
      </c>
      <c r="X214" s="403">
        <v>160000000</v>
      </c>
      <c r="Y214" s="403"/>
      <c r="Z214" s="403"/>
      <c r="AA214" s="403"/>
      <c r="AB214" s="403"/>
      <c r="AC214" s="403"/>
      <c r="AD214" s="403"/>
      <c r="AE214" s="404"/>
    </row>
    <row r="215" spans="1:31">
      <c r="A215" s="425"/>
      <c r="B215" s="499"/>
      <c r="C215" s="518"/>
      <c r="D215" s="434" t="s">
        <v>566</v>
      </c>
      <c r="E215" s="448">
        <v>211</v>
      </c>
      <c r="F215" s="403">
        <v>6670000000</v>
      </c>
      <c r="G215" s="403"/>
      <c r="H215" s="403"/>
      <c r="I215" s="403"/>
      <c r="J215" s="403"/>
      <c r="K215" s="403"/>
      <c r="L215" s="403"/>
      <c r="M215" s="403"/>
      <c r="N215" s="403"/>
      <c r="O215" s="403"/>
      <c r="P215" s="403"/>
      <c r="Q215" s="403"/>
      <c r="R215" s="404"/>
      <c r="S215" s="403"/>
      <c r="T215" s="403"/>
      <c r="U215" s="403"/>
      <c r="V215" s="403"/>
      <c r="W215" s="403"/>
      <c r="X215" s="403"/>
      <c r="Y215" s="403"/>
      <c r="Z215" s="403"/>
      <c r="AA215" s="403"/>
      <c r="AB215" s="403"/>
      <c r="AC215" s="403"/>
      <c r="AD215" s="403"/>
      <c r="AE215" s="404">
        <f t="shared" si="3"/>
        <v>0</v>
      </c>
    </row>
    <row r="216" spans="1:31">
      <c r="A216" s="425"/>
      <c r="B216" s="518"/>
      <c r="C216" s="518"/>
      <c r="D216" s="434" t="s">
        <v>569</v>
      </c>
      <c r="E216" s="448">
        <v>152</v>
      </c>
      <c r="F216" s="462"/>
      <c r="G216" s="462"/>
      <c r="H216" s="462"/>
      <c r="I216" s="462"/>
      <c r="J216" s="462"/>
      <c r="K216" s="462"/>
      <c r="L216" s="462"/>
      <c r="M216" s="462"/>
      <c r="N216" s="462"/>
      <c r="O216" s="462"/>
      <c r="P216" s="462"/>
      <c r="Q216" s="462"/>
      <c r="R216" s="428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28">
        <f t="shared" si="3"/>
        <v>0</v>
      </c>
    </row>
    <row r="217" spans="1:31">
      <c r="A217" s="558">
        <v>17</v>
      </c>
      <c r="B217" s="570" t="s">
        <v>549</v>
      </c>
      <c r="C217" s="570" t="s">
        <v>550</v>
      </c>
      <c r="D217" s="559" t="s">
        <v>575</v>
      </c>
      <c r="E217" s="567" t="s">
        <v>573</v>
      </c>
      <c r="F217" s="564"/>
      <c r="G217" s="564"/>
      <c r="H217" s="564"/>
      <c r="I217" s="564"/>
      <c r="J217" s="564"/>
      <c r="K217" s="564"/>
      <c r="L217" s="564"/>
      <c r="M217" s="564"/>
      <c r="N217" s="564"/>
      <c r="O217" s="564"/>
      <c r="P217" s="564"/>
      <c r="Q217" s="564"/>
      <c r="R217" s="563"/>
      <c r="S217" s="564"/>
      <c r="T217" s="564"/>
      <c r="U217" s="564"/>
      <c r="V217" s="564"/>
      <c r="W217" s="564"/>
      <c r="X217" s="564"/>
      <c r="Y217" s="564"/>
      <c r="Z217" s="564"/>
      <c r="AA217" s="564"/>
      <c r="AB217" s="564"/>
      <c r="AC217" s="564"/>
      <c r="AD217" s="564"/>
      <c r="AE217" s="563">
        <f t="shared" si="3"/>
        <v>0</v>
      </c>
    </row>
    <row r="218" spans="1:31">
      <c r="A218" s="425"/>
      <c r="B218" s="499"/>
      <c r="C218" s="518"/>
      <c r="D218" s="434" t="s">
        <v>566</v>
      </c>
      <c r="E218" s="448">
        <v>211</v>
      </c>
      <c r="F218" s="403"/>
      <c r="G218" s="403"/>
      <c r="H218" s="403"/>
      <c r="I218" s="403"/>
      <c r="J218" s="403"/>
      <c r="K218" s="403"/>
      <c r="L218" s="403"/>
      <c r="M218" s="403"/>
      <c r="N218" s="403"/>
      <c r="O218" s="403"/>
      <c r="P218" s="403"/>
      <c r="Q218" s="403"/>
      <c r="R218" s="404"/>
      <c r="S218" s="403"/>
      <c r="T218" s="403"/>
      <c r="U218" s="403"/>
      <c r="V218" s="403"/>
      <c r="W218" s="403"/>
      <c r="X218" s="403"/>
      <c r="Y218" s="403"/>
      <c r="Z218" s="403"/>
      <c r="AA218" s="403"/>
      <c r="AB218" s="403"/>
      <c r="AC218" s="403"/>
      <c r="AD218" s="403"/>
      <c r="AE218" s="404">
        <f t="shared" si="3"/>
        <v>0</v>
      </c>
    </row>
    <row r="219" spans="1:31">
      <c r="A219" s="425"/>
      <c r="B219" s="518"/>
      <c r="C219" s="518"/>
      <c r="D219" s="434" t="s">
        <v>569</v>
      </c>
      <c r="E219" s="448">
        <v>152</v>
      </c>
      <c r="F219" s="462"/>
      <c r="G219" s="462"/>
      <c r="H219" s="462"/>
      <c r="I219" s="462"/>
      <c r="J219" s="462"/>
      <c r="K219" s="462"/>
      <c r="L219" s="462"/>
      <c r="M219" s="462"/>
      <c r="N219" s="462"/>
      <c r="O219" s="462"/>
      <c r="P219" s="462"/>
      <c r="Q219" s="462"/>
      <c r="R219" s="428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28">
        <f t="shared" si="3"/>
        <v>0</v>
      </c>
    </row>
    <row r="220" spans="1:31">
      <c r="A220" s="558">
        <v>18</v>
      </c>
      <c r="B220" s="560" t="s">
        <v>551</v>
      </c>
      <c r="C220" s="560" t="s">
        <v>552</v>
      </c>
      <c r="D220" s="559" t="s">
        <v>575</v>
      </c>
      <c r="E220" s="567" t="s">
        <v>573</v>
      </c>
      <c r="F220" s="564"/>
      <c r="G220" s="564"/>
      <c r="H220" s="564"/>
      <c r="I220" s="564"/>
      <c r="J220" s="564"/>
      <c r="K220" s="564"/>
      <c r="L220" s="564"/>
      <c r="M220" s="564"/>
      <c r="N220" s="564"/>
      <c r="O220" s="564"/>
      <c r="P220" s="564"/>
      <c r="Q220" s="564"/>
      <c r="R220" s="563"/>
      <c r="S220" s="564"/>
      <c r="T220" s="564"/>
      <c r="U220" s="564"/>
      <c r="V220" s="564"/>
      <c r="W220" s="564"/>
      <c r="X220" s="564"/>
      <c r="Y220" s="564"/>
      <c r="Z220" s="564"/>
      <c r="AA220" s="564"/>
      <c r="AB220" s="564"/>
      <c r="AC220" s="564"/>
      <c r="AD220" s="564"/>
      <c r="AE220" s="563">
        <f t="shared" si="3"/>
        <v>0</v>
      </c>
    </row>
    <row r="221" spans="1:31">
      <c r="A221" s="425"/>
      <c r="B221" s="431"/>
      <c r="C221" s="431"/>
      <c r="D221" s="412" t="s">
        <v>566</v>
      </c>
      <c r="E221" s="461">
        <v>211</v>
      </c>
      <c r="F221" s="421"/>
      <c r="G221" s="421"/>
      <c r="H221" s="421"/>
      <c r="I221" s="421"/>
      <c r="J221" s="421"/>
      <c r="K221" s="421"/>
      <c r="L221" s="421"/>
      <c r="M221" s="421"/>
      <c r="N221" s="421"/>
      <c r="O221" s="421"/>
      <c r="P221" s="421"/>
      <c r="Q221" s="421"/>
      <c r="R221" s="438"/>
      <c r="S221" s="421"/>
      <c r="T221" s="421"/>
      <c r="U221" s="421"/>
      <c r="V221" s="421"/>
      <c r="W221" s="421"/>
      <c r="X221" s="421"/>
      <c r="Y221" s="421"/>
      <c r="Z221" s="421"/>
      <c r="AA221" s="421"/>
      <c r="AB221" s="421"/>
      <c r="AC221" s="421"/>
      <c r="AD221" s="421"/>
      <c r="AE221" s="438">
        <f t="shared" si="3"/>
        <v>0</v>
      </c>
    </row>
    <row r="222" spans="1:31">
      <c r="A222" s="425"/>
      <c r="B222" s="518"/>
      <c r="C222" s="518"/>
      <c r="D222" s="434" t="s">
        <v>569</v>
      </c>
      <c r="E222" s="448">
        <v>152</v>
      </c>
      <c r="F222" s="450"/>
      <c r="G222" s="450"/>
      <c r="H222" s="450"/>
      <c r="I222" s="450"/>
      <c r="J222" s="450"/>
      <c r="K222" s="450"/>
      <c r="L222" s="450"/>
      <c r="M222" s="450"/>
      <c r="N222" s="450"/>
      <c r="O222" s="450"/>
      <c r="P222" s="450"/>
      <c r="Q222" s="450"/>
      <c r="R222" s="464"/>
      <c r="S222" s="450"/>
      <c r="T222" s="450"/>
      <c r="U222" s="450"/>
      <c r="V222" s="450"/>
      <c r="W222" s="450"/>
      <c r="X222" s="450"/>
      <c r="Y222" s="450"/>
      <c r="Z222" s="450"/>
      <c r="AA222" s="450"/>
      <c r="AB222" s="450"/>
      <c r="AC222" s="450"/>
      <c r="AD222" s="450"/>
      <c r="AE222" s="464">
        <f t="shared" si="3"/>
        <v>0</v>
      </c>
    </row>
    <row r="223" spans="1:31">
      <c r="A223" s="558">
        <v>19</v>
      </c>
      <c r="B223" s="560" t="s">
        <v>553</v>
      </c>
      <c r="C223" s="560" t="s">
        <v>554</v>
      </c>
      <c r="D223" s="559" t="s">
        <v>575</v>
      </c>
      <c r="E223" s="567" t="s">
        <v>573</v>
      </c>
      <c r="F223" s="564"/>
      <c r="G223" s="564"/>
      <c r="H223" s="564"/>
      <c r="I223" s="564"/>
      <c r="J223" s="564"/>
      <c r="K223" s="564"/>
      <c r="L223" s="564"/>
      <c r="M223" s="564"/>
      <c r="N223" s="564"/>
      <c r="O223" s="564"/>
      <c r="P223" s="564"/>
      <c r="Q223" s="564"/>
      <c r="R223" s="563"/>
      <c r="S223" s="564"/>
      <c r="T223" s="564"/>
      <c r="U223" s="564"/>
      <c r="V223" s="564"/>
      <c r="W223" s="564"/>
      <c r="X223" s="564"/>
      <c r="Y223" s="564"/>
      <c r="Z223" s="564"/>
      <c r="AA223" s="564"/>
      <c r="AB223" s="564"/>
      <c r="AC223" s="564"/>
      <c r="AD223" s="564"/>
      <c r="AE223" s="563">
        <f t="shared" si="3"/>
        <v>0</v>
      </c>
    </row>
    <row r="224" spans="1:31">
      <c r="A224" s="425"/>
      <c r="B224" s="499"/>
      <c r="C224" s="518"/>
      <c r="D224" s="434" t="s">
        <v>566</v>
      </c>
      <c r="E224" s="448">
        <v>211</v>
      </c>
      <c r="F224" s="403"/>
      <c r="G224" s="403"/>
      <c r="H224" s="403"/>
      <c r="I224" s="403"/>
      <c r="J224" s="403"/>
      <c r="K224" s="403"/>
      <c r="L224" s="403"/>
      <c r="M224" s="403"/>
      <c r="N224" s="403"/>
      <c r="O224" s="403"/>
      <c r="P224" s="403"/>
      <c r="Q224" s="403"/>
      <c r="R224" s="404"/>
      <c r="S224" s="403"/>
      <c r="T224" s="403"/>
      <c r="U224" s="403"/>
      <c r="V224" s="403"/>
      <c r="W224" s="403"/>
      <c r="X224" s="403"/>
      <c r="Y224" s="403"/>
      <c r="Z224" s="403"/>
      <c r="AA224" s="403"/>
      <c r="AB224" s="403"/>
      <c r="AC224" s="403"/>
      <c r="AD224" s="403"/>
      <c r="AE224" s="404">
        <f t="shared" si="3"/>
        <v>0</v>
      </c>
    </row>
    <row r="225" spans="1:31">
      <c r="A225" s="425"/>
      <c r="B225" s="518"/>
      <c r="C225" s="518"/>
      <c r="D225" s="434" t="s">
        <v>569</v>
      </c>
      <c r="E225" s="448">
        <v>152</v>
      </c>
      <c r="F225" s="462"/>
      <c r="G225" s="462"/>
      <c r="H225" s="462"/>
      <c r="I225" s="462"/>
      <c r="J225" s="462"/>
      <c r="K225" s="462"/>
      <c r="L225" s="462"/>
      <c r="M225" s="462"/>
      <c r="N225" s="462"/>
      <c r="O225" s="462"/>
      <c r="P225" s="462"/>
      <c r="Q225" s="462"/>
      <c r="R225" s="428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28">
        <f t="shared" si="3"/>
        <v>0</v>
      </c>
    </row>
    <row r="226" spans="1:31">
      <c r="A226" s="558">
        <v>20</v>
      </c>
      <c r="B226" s="570" t="s">
        <v>555</v>
      </c>
      <c r="C226" s="571" t="s">
        <v>556</v>
      </c>
      <c r="D226" s="572" t="s">
        <v>575</v>
      </c>
      <c r="E226" s="567" t="s">
        <v>573</v>
      </c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3"/>
      <c r="S226" s="564"/>
      <c r="T226" s="564"/>
      <c r="U226" s="564"/>
      <c r="V226" s="564"/>
      <c r="W226" s="564"/>
      <c r="X226" s="564"/>
      <c r="Y226" s="564"/>
      <c r="Z226" s="564"/>
      <c r="AA226" s="564"/>
      <c r="AB226" s="564"/>
      <c r="AC226" s="564"/>
      <c r="AD226" s="564"/>
      <c r="AE226" s="563">
        <f t="shared" si="3"/>
        <v>0</v>
      </c>
    </row>
    <row r="227" spans="1:31">
      <c r="A227" s="425"/>
      <c r="B227" s="499"/>
      <c r="C227" s="518"/>
      <c r="D227" s="434" t="s">
        <v>566</v>
      </c>
      <c r="E227" s="448">
        <v>211</v>
      </c>
      <c r="F227" s="403"/>
      <c r="G227" s="403"/>
      <c r="H227" s="403"/>
      <c r="I227" s="403"/>
      <c r="J227" s="403"/>
      <c r="K227" s="403"/>
      <c r="L227" s="403"/>
      <c r="M227" s="403"/>
      <c r="N227" s="403"/>
      <c r="O227" s="403"/>
      <c r="P227" s="403"/>
      <c r="Q227" s="403"/>
      <c r="R227" s="404"/>
      <c r="S227" s="403"/>
      <c r="T227" s="403"/>
      <c r="U227" s="403"/>
      <c r="V227" s="403"/>
      <c r="W227" s="403"/>
      <c r="X227" s="403"/>
      <c r="Y227" s="403"/>
      <c r="Z227" s="403"/>
      <c r="AA227" s="403"/>
      <c r="AB227" s="403"/>
      <c r="AC227" s="403"/>
      <c r="AD227" s="403"/>
      <c r="AE227" s="404">
        <f t="shared" si="3"/>
        <v>0</v>
      </c>
    </row>
    <row r="228" spans="1:31">
      <c r="A228" s="425"/>
      <c r="B228" s="518"/>
      <c r="C228" s="518"/>
      <c r="D228" s="434" t="s">
        <v>569</v>
      </c>
      <c r="E228" s="448">
        <v>152</v>
      </c>
      <c r="F228" s="462"/>
      <c r="G228" s="462"/>
      <c r="H228" s="462"/>
      <c r="I228" s="462"/>
      <c r="J228" s="462"/>
      <c r="K228" s="462"/>
      <c r="L228" s="462"/>
      <c r="M228" s="462"/>
      <c r="N228" s="462"/>
      <c r="O228" s="462"/>
      <c r="P228" s="462"/>
      <c r="Q228" s="462"/>
      <c r="R228" s="428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28">
        <f t="shared" si="3"/>
        <v>0</v>
      </c>
    </row>
    <row r="229" spans="1:31">
      <c r="A229" s="558">
        <v>21</v>
      </c>
      <c r="B229" s="570" t="s">
        <v>557</v>
      </c>
      <c r="C229" s="570" t="s">
        <v>558</v>
      </c>
      <c r="D229" s="559" t="s">
        <v>575</v>
      </c>
      <c r="E229" s="567" t="s">
        <v>573</v>
      </c>
      <c r="F229" s="564"/>
      <c r="G229" s="564"/>
      <c r="H229" s="564"/>
      <c r="I229" s="564"/>
      <c r="J229" s="564"/>
      <c r="K229" s="564"/>
      <c r="L229" s="564"/>
      <c r="M229" s="564"/>
      <c r="N229" s="564"/>
      <c r="O229" s="564"/>
      <c r="P229" s="564"/>
      <c r="Q229" s="564"/>
      <c r="R229" s="563"/>
      <c r="S229" s="564"/>
      <c r="T229" s="564"/>
      <c r="U229" s="564"/>
      <c r="V229" s="564"/>
      <c r="W229" s="564"/>
      <c r="X229" s="564"/>
      <c r="Y229" s="564"/>
      <c r="Z229" s="564"/>
      <c r="AA229" s="564"/>
      <c r="AB229" s="564"/>
      <c r="AC229" s="564"/>
      <c r="AD229" s="564"/>
      <c r="AE229" s="563">
        <f t="shared" si="3"/>
        <v>0</v>
      </c>
    </row>
    <row r="230" spans="1:31">
      <c r="A230" s="425"/>
      <c r="B230" s="499"/>
      <c r="C230" s="518"/>
      <c r="D230" s="434" t="s">
        <v>566</v>
      </c>
      <c r="E230" s="448">
        <v>211</v>
      </c>
      <c r="F230" s="403"/>
      <c r="G230" s="403"/>
      <c r="H230" s="403"/>
      <c r="I230" s="403"/>
      <c r="J230" s="403"/>
      <c r="K230" s="403"/>
      <c r="L230" s="403"/>
      <c r="M230" s="403"/>
      <c r="N230" s="403"/>
      <c r="O230" s="403"/>
      <c r="P230" s="403"/>
      <c r="Q230" s="403"/>
      <c r="R230" s="404"/>
      <c r="S230" s="403"/>
      <c r="T230" s="403"/>
      <c r="U230" s="403"/>
      <c r="V230" s="403"/>
      <c r="W230" s="403"/>
      <c r="X230" s="403"/>
      <c r="Y230" s="403"/>
      <c r="Z230" s="403"/>
      <c r="AA230" s="403"/>
      <c r="AB230" s="403"/>
      <c r="AC230" s="403"/>
      <c r="AD230" s="403"/>
      <c r="AE230" s="404">
        <f t="shared" si="3"/>
        <v>0</v>
      </c>
    </row>
    <row r="231" spans="1:31">
      <c r="A231" s="425"/>
      <c r="B231" s="518"/>
      <c r="C231" s="518"/>
      <c r="D231" s="434" t="s">
        <v>569</v>
      </c>
      <c r="E231" s="448">
        <v>152</v>
      </c>
      <c r="F231" s="462"/>
      <c r="G231" s="462"/>
      <c r="H231" s="462"/>
      <c r="I231" s="462"/>
      <c r="J231" s="462"/>
      <c r="K231" s="462"/>
      <c r="L231" s="462"/>
      <c r="M231" s="462"/>
      <c r="N231" s="462"/>
      <c r="O231" s="462"/>
      <c r="P231" s="462"/>
      <c r="Q231" s="462"/>
      <c r="R231" s="428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28">
        <f t="shared" si="3"/>
        <v>0</v>
      </c>
    </row>
    <row r="232" spans="1:31">
      <c r="A232" s="558">
        <v>22</v>
      </c>
      <c r="B232" s="570" t="s">
        <v>559</v>
      </c>
      <c r="C232" s="570" t="s">
        <v>560</v>
      </c>
      <c r="D232" s="559" t="s">
        <v>575</v>
      </c>
      <c r="E232" s="567" t="s">
        <v>573</v>
      </c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3"/>
      <c r="S232" s="564"/>
      <c r="T232" s="564"/>
      <c r="U232" s="564"/>
      <c r="V232" s="564"/>
      <c r="W232" s="564"/>
      <c r="X232" s="564"/>
      <c r="Y232" s="564"/>
      <c r="Z232" s="564"/>
      <c r="AA232" s="564"/>
      <c r="AB232" s="564"/>
      <c r="AC232" s="564"/>
      <c r="AD232" s="564"/>
      <c r="AE232" s="563">
        <f t="shared" si="3"/>
        <v>0</v>
      </c>
    </row>
    <row r="233" spans="1:31">
      <c r="A233" s="425"/>
      <c r="B233" s="499"/>
      <c r="C233" s="518"/>
      <c r="D233" s="434" t="s">
        <v>566</v>
      </c>
      <c r="E233" s="448">
        <v>211</v>
      </c>
      <c r="F233" s="403"/>
      <c r="G233" s="403"/>
      <c r="H233" s="403"/>
      <c r="I233" s="403"/>
      <c r="J233" s="403"/>
      <c r="K233" s="403"/>
      <c r="L233" s="403"/>
      <c r="M233" s="403"/>
      <c r="N233" s="403"/>
      <c r="O233" s="403"/>
      <c r="P233" s="403"/>
      <c r="Q233" s="403"/>
      <c r="R233" s="404"/>
      <c r="S233" s="403"/>
      <c r="T233" s="403"/>
      <c r="U233" s="403"/>
      <c r="V233" s="403"/>
      <c r="W233" s="403"/>
      <c r="X233" s="403"/>
      <c r="Y233" s="403"/>
      <c r="Z233" s="403"/>
      <c r="AA233" s="403"/>
      <c r="AB233" s="403"/>
      <c r="AC233" s="403"/>
      <c r="AD233" s="403"/>
      <c r="AE233" s="404">
        <f t="shared" si="3"/>
        <v>0</v>
      </c>
    </row>
    <row r="234" spans="1:31">
      <c r="A234" s="425"/>
      <c r="B234" s="499"/>
      <c r="C234" s="518"/>
      <c r="D234" s="434" t="s">
        <v>569</v>
      </c>
      <c r="E234" s="448">
        <v>152</v>
      </c>
      <c r="F234" s="403"/>
      <c r="G234" s="403"/>
      <c r="H234" s="403"/>
      <c r="I234" s="403"/>
      <c r="J234" s="403"/>
      <c r="K234" s="403"/>
      <c r="L234" s="403"/>
      <c r="M234" s="403"/>
      <c r="N234" s="403"/>
      <c r="O234" s="403"/>
      <c r="P234" s="403"/>
      <c r="Q234" s="403"/>
      <c r="R234" s="404"/>
      <c r="S234" s="403"/>
      <c r="T234" s="403"/>
      <c r="U234" s="403"/>
      <c r="V234" s="403"/>
      <c r="W234" s="403"/>
      <c r="X234" s="403"/>
      <c r="Y234" s="403"/>
      <c r="Z234" s="403"/>
      <c r="AA234" s="403"/>
      <c r="AB234" s="403"/>
      <c r="AC234" s="403"/>
      <c r="AD234" s="403"/>
      <c r="AE234" s="404">
        <f t="shared" si="3"/>
        <v>0</v>
      </c>
    </row>
    <row r="235" spans="1:31">
      <c r="A235" s="425"/>
      <c r="B235" s="518"/>
      <c r="C235" s="518"/>
      <c r="D235" s="409"/>
      <c r="E235" s="409"/>
      <c r="F235" s="403"/>
      <c r="G235" s="403"/>
      <c r="H235" s="403"/>
      <c r="I235" s="403"/>
      <c r="J235" s="403"/>
      <c r="K235" s="403"/>
      <c r="L235" s="403"/>
      <c r="M235" s="403"/>
      <c r="N235" s="403"/>
      <c r="O235" s="403"/>
      <c r="P235" s="403"/>
      <c r="Q235" s="403"/>
      <c r="R235" s="404"/>
      <c r="S235" s="403"/>
      <c r="T235" s="403"/>
      <c r="U235" s="403"/>
      <c r="V235" s="403"/>
      <c r="W235" s="403"/>
      <c r="X235" s="403"/>
      <c r="Y235" s="403"/>
      <c r="Z235" s="403"/>
      <c r="AA235" s="403"/>
      <c r="AB235" s="403"/>
      <c r="AC235" s="403"/>
      <c r="AD235" s="403"/>
      <c r="AE235" s="404">
        <f t="shared" si="3"/>
        <v>0</v>
      </c>
    </row>
    <row r="236" spans="1:31">
      <c r="A236" s="454" t="s">
        <v>582</v>
      </c>
      <c r="B236" s="394" t="s">
        <v>583</v>
      </c>
      <c r="C236" s="394"/>
      <c r="D236" s="465" t="s">
        <v>584</v>
      </c>
      <c r="E236" s="466" t="s">
        <v>585</v>
      </c>
      <c r="F236" s="455"/>
      <c r="G236" s="456"/>
      <c r="H236" s="456"/>
      <c r="I236" s="456"/>
      <c r="J236" s="456"/>
      <c r="K236" s="456"/>
      <c r="L236" s="456"/>
      <c r="M236" s="456"/>
      <c r="N236" s="456"/>
      <c r="O236" s="456"/>
      <c r="P236" s="456"/>
      <c r="Q236" s="456"/>
      <c r="R236" s="456"/>
      <c r="S236" s="455"/>
      <c r="T236" s="456"/>
      <c r="U236" s="456"/>
      <c r="V236" s="456"/>
      <c r="W236" s="456"/>
      <c r="X236" s="456"/>
      <c r="Y236" s="456"/>
      <c r="Z236" s="456"/>
      <c r="AA236" s="456"/>
      <c r="AB236" s="456"/>
      <c r="AC236" s="456"/>
      <c r="AD236" s="456"/>
      <c r="AE236" s="456"/>
    </row>
    <row r="237" spans="1:31">
      <c r="A237" s="467"/>
      <c r="B237" s="499" t="s">
        <v>498</v>
      </c>
      <c r="C237" s="399" t="s">
        <v>499</v>
      </c>
      <c r="D237" s="568" t="s">
        <v>586</v>
      </c>
      <c r="E237" s="468">
        <v>128</v>
      </c>
      <c r="F237" s="563"/>
      <c r="G237" s="568"/>
      <c r="H237" s="564">
        <v>12000000000</v>
      </c>
      <c r="I237" s="573">
        <v>20000000000</v>
      </c>
      <c r="J237" s="573">
        <v>10000000000</v>
      </c>
      <c r="K237" s="568"/>
      <c r="L237" s="568"/>
      <c r="M237" s="568"/>
      <c r="N237" s="568"/>
      <c r="O237" s="568"/>
      <c r="P237" s="568"/>
      <c r="Q237" s="568"/>
      <c r="R237" s="404"/>
      <c r="S237" s="581"/>
      <c r="T237" s="564"/>
      <c r="U237" s="564"/>
      <c r="V237" s="564"/>
      <c r="W237" s="564"/>
      <c r="X237" s="564"/>
      <c r="Y237" s="564"/>
      <c r="Z237" s="564"/>
      <c r="AA237" s="564"/>
      <c r="AB237" s="564"/>
      <c r="AC237" s="564"/>
      <c r="AD237" s="564"/>
      <c r="AE237" s="404">
        <f t="shared" ref="AE237:AE244" si="4">SUM(S237:AD237)</f>
        <v>0</v>
      </c>
    </row>
    <row r="238" spans="1:31">
      <c r="A238" s="467"/>
      <c r="B238" s="519"/>
      <c r="C238" s="461"/>
      <c r="D238" s="406"/>
      <c r="E238" s="468">
        <v>138</v>
      </c>
      <c r="F238" s="438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4"/>
      <c r="S238" s="544"/>
      <c r="T238" s="421"/>
      <c r="U238" s="421"/>
      <c r="V238" s="421"/>
      <c r="W238" s="421"/>
      <c r="X238" s="421"/>
      <c r="Y238" s="421"/>
      <c r="Z238" s="421"/>
      <c r="AA238" s="421"/>
      <c r="AB238" s="421"/>
      <c r="AC238" s="421"/>
      <c r="AD238" s="421"/>
      <c r="AE238" s="404">
        <f t="shared" si="4"/>
        <v>0</v>
      </c>
    </row>
    <row r="239" spans="1:31">
      <c r="A239" s="467"/>
      <c r="B239" s="431" t="s">
        <v>547</v>
      </c>
      <c r="C239" s="431" t="s">
        <v>548</v>
      </c>
      <c r="D239" s="406" t="s">
        <v>478</v>
      </c>
      <c r="E239" s="468">
        <v>128</v>
      </c>
      <c r="F239" s="438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4"/>
      <c r="S239" s="544"/>
      <c r="T239" s="421"/>
      <c r="U239" s="421"/>
      <c r="V239" s="421"/>
      <c r="W239" s="421"/>
      <c r="X239" s="421"/>
      <c r="Y239" s="421"/>
      <c r="Z239" s="421"/>
      <c r="AA239" s="421"/>
      <c r="AB239" s="421"/>
      <c r="AC239" s="421"/>
      <c r="AD239" s="421"/>
      <c r="AE239" s="404">
        <f t="shared" si="4"/>
        <v>0</v>
      </c>
    </row>
    <row r="240" spans="1:31">
      <c r="A240" s="467"/>
      <c r="B240" s="431"/>
      <c r="C240" s="435"/>
      <c r="D240" s="400"/>
      <c r="E240" s="470">
        <v>138</v>
      </c>
      <c r="F240" s="438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4"/>
      <c r="S240" s="544"/>
      <c r="T240" s="421"/>
      <c r="U240" s="421"/>
      <c r="V240" s="421"/>
      <c r="W240" s="421"/>
      <c r="X240" s="421"/>
      <c r="Y240" s="421"/>
      <c r="Z240" s="421"/>
      <c r="AA240" s="421"/>
      <c r="AB240" s="421"/>
      <c r="AC240" s="421"/>
      <c r="AD240" s="421"/>
      <c r="AE240" s="404">
        <f t="shared" si="4"/>
        <v>0</v>
      </c>
    </row>
    <row r="241" spans="1:31">
      <c r="A241" s="467"/>
      <c r="B241" s="431" t="s">
        <v>535</v>
      </c>
      <c r="C241" s="431" t="s">
        <v>536</v>
      </c>
      <c r="D241" s="406" t="s">
        <v>478</v>
      </c>
      <c r="E241" s="470">
        <v>128</v>
      </c>
      <c r="F241" s="438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4"/>
      <c r="S241" s="544"/>
      <c r="T241" s="421"/>
      <c r="U241" s="421"/>
      <c r="V241" s="421"/>
      <c r="W241" s="421"/>
      <c r="X241" s="421"/>
      <c r="Y241" s="421"/>
      <c r="Z241" s="421"/>
      <c r="AA241" s="421"/>
      <c r="AB241" s="421"/>
      <c r="AC241" s="421"/>
      <c r="AD241" s="421"/>
      <c r="AE241" s="404">
        <f t="shared" si="4"/>
        <v>0</v>
      </c>
    </row>
    <row r="242" spans="1:31">
      <c r="A242" s="467"/>
      <c r="B242" s="499" t="s">
        <v>587</v>
      </c>
      <c r="C242" s="399"/>
      <c r="D242" s="471" t="s">
        <v>588</v>
      </c>
      <c r="E242" s="470">
        <v>128</v>
      </c>
      <c r="F242" s="438"/>
      <c r="G242" s="406"/>
      <c r="H242" s="557">
        <v>5000000000</v>
      </c>
      <c r="I242" s="557">
        <v>10000000000</v>
      </c>
      <c r="J242" s="406"/>
      <c r="K242" s="406"/>
      <c r="L242" s="406"/>
      <c r="M242" s="406"/>
      <c r="N242" s="406"/>
      <c r="O242" s="406"/>
      <c r="P242" s="406"/>
      <c r="Q242" s="406"/>
      <c r="R242" s="404"/>
      <c r="S242" s="544"/>
      <c r="T242" s="421"/>
      <c r="U242" s="421"/>
      <c r="V242" s="421"/>
      <c r="W242" s="585">
        <v>10000000000</v>
      </c>
      <c r="X242" s="421">
        <v>20000000000</v>
      </c>
      <c r="Y242" s="421"/>
      <c r="Z242" s="421"/>
      <c r="AA242" s="421"/>
      <c r="AB242" s="421"/>
      <c r="AC242" s="421"/>
      <c r="AD242" s="421"/>
      <c r="AE242" s="404">
        <f t="shared" si="4"/>
        <v>30000000000</v>
      </c>
    </row>
    <row r="243" spans="1:31">
      <c r="A243" s="467"/>
      <c r="B243" s="499" t="s">
        <v>589</v>
      </c>
      <c r="C243" s="499"/>
      <c r="D243" s="472"/>
      <c r="E243" s="468">
        <v>138</v>
      </c>
      <c r="F243" s="438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4"/>
      <c r="S243" s="544"/>
      <c r="T243" s="421"/>
      <c r="U243" s="421"/>
      <c r="V243" s="421"/>
      <c r="W243" s="421"/>
      <c r="X243" s="421"/>
      <c r="Y243" s="421"/>
      <c r="Z243" s="421"/>
      <c r="AA243" s="421"/>
      <c r="AB243" s="421"/>
      <c r="AC243" s="421"/>
      <c r="AD243" s="421"/>
      <c r="AE243" s="404">
        <f t="shared" si="4"/>
        <v>0</v>
      </c>
    </row>
    <row r="244" spans="1:31">
      <c r="A244" s="473"/>
      <c r="B244" s="495" t="s">
        <v>590</v>
      </c>
      <c r="C244" s="495"/>
      <c r="D244" s="474"/>
      <c r="E244" s="475">
        <v>138</v>
      </c>
      <c r="F244" s="419">
        <v>254794521</v>
      </c>
      <c r="G244" s="463">
        <v>230136986</v>
      </c>
      <c r="H244" s="463">
        <v>263013699</v>
      </c>
      <c r="I244" s="463">
        <v>305753425</v>
      </c>
      <c r="J244" s="556">
        <v>331232877</v>
      </c>
      <c r="K244" s="556">
        <v>320547945</v>
      </c>
      <c r="L244" s="556">
        <v>299178082</v>
      </c>
      <c r="M244" s="556">
        <v>254794521</v>
      </c>
      <c r="N244" s="556">
        <v>246575342</v>
      </c>
      <c r="O244" s="556">
        <v>203835616</v>
      </c>
      <c r="P244" s="556">
        <v>197260274</v>
      </c>
      <c r="Q244" s="556">
        <v>199726027</v>
      </c>
      <c r="R244" s="404"/>
      <c r="S244" s="542">
        <v>178356164</v>
      </c>
      <c r="T244" s="463">
        <v>161095890</v>
      </c>
      <c r="U244" s="463">
        <v>178356164</v>
      </c>
      <c r="V244" s="463">
        <v>157315069</v>
      </c>
      <c r="W244" s="463">
        <v>163068493</v>
      </c>
      <c r="X244" s="463">
        <v>271232877</v>
      </c>
      <c r="Y244" s="463"/>
      <c r="Z244" s="463"/>
      <c r="AA244" s="463"/>
      <c r="AB244" s="463"/>
      <c r="AC244" s="463"/>
      <c r="AD244" s="463"/>
      <c r="AE244" s="404">
        <f t="shared" si="4"/>
        <v>1109424657</v>
      </c>
    </row>
    <row r="245" spans="1:31">
      <c r="A245" s="454" t="s">
        <v>591</v>
      </c>
      <c r="B245" s="394" t="s">
        <v>592</v>
      </c>
      <c r="C245" s="394"/>
      <c r="D245" s="465" t="s">
        <v>584</v>
      </c>
      <c r="E245" s="466" t="s">
        <v>585</v>
      </c>
      <c r="F245" s="455"/>
      <c r="G245" s="456"/>
      <c r="H245" s="456"/>
      <c r="I245" s="456"/>
      <c r="J245" s="456"/>
      <c r="K245" s="456"/>
      <c r="L245" s="456"/>
      <c r="M245" s="456"/>
      <c r="N245" s="456"/>
      <c r="O245" s="456"/>
      <c r="P245" s="456"/>
      <c r="Q245" s="456"/>
      <c r="R245" s="456"/>
      <c r="S245" s="455"/>
      <c r="T245" s="456"/>
      <c r="U245" s="456"/>
      <c r="V245" s="456"/>
      <c r="W245" s="456"/>
      <c r="X245" s="456"/>
      <c r="Y245" s="456"/>
      <c r="Z245" s="456"/>
      <c r="AA245" s="456"/>
      <c r="AB245" s="456"/>
      <c r="AC245" s="456"/>
      <c r="AD245" s="456"/>
      <c r="AE245" s="456"/>
    </row>
    <row r="246" spans="1:31">
      <c r="A246" s="476"/>
      <c r="B246" s="406" t="s">
        <v>498</v>
      </c>
      <c r="C246" s="400" t="s">
        <v>499</v>
      </c>
      <c r="D246" s="568" t="s">
        <v>586</v>
      </c>
      <c r="E246" s="468">
        <v>128</v>
      </c>
      <c r="F246" s="563"/>
      <c r="G246" s="564">
        <v>14500000000</v>
      </c>
      <c r="H246" s="568"/>
      <c r="I246" s="573">
        <v>5500000000</v>
      </c>
      <c r="J246" s="568"/>
      <c r="K246" s="568"/>
      <c r="L246" s="568"/>
      <c r="M246" s="568"/>
      <c r="N246" s="573">
        <v>12000000000</v>
      </c>
      <c r="O246" s="573">
        <v>20000000000</v>
      </c>
      <c r="P246" s="573">
        <v>10000000000</v>
      </c>
      <c r="Q246" s="568"/>
      <c r="R246" s="404"/>
      <c r="S246" s="563"/>
      <c r="T246" s="568"/>
      <c r="U246" s="568"/>
      <c r="V246" s="568"/>
      <c r="W246" s="568"/>
      <c r="X246" s="568"/>
      <c r="Y246" s="568"/>
      <c r="Z246" s="568"/>
      <c r="AA246" s="568"/>
      <c r="AB246" s="568"/>
      <c r="AC246" s="568"/>
      <c r="AD246" s="568"/>
      <c r="AE246" s="404">
        <f t="shared" ref="AE246:AE251" si="5">SUM(S246:AD246)</f>
        <v>0</v>
      </c>
    </row>
    <row r="247" spans="1:31">
      <c r="A247" s="476"/>
      <c r="B247" s="469"/>
      <c r="C247" s="410"/>
      <c r="D247" s="406"/>
      <c r="E247" s="468">
        <v>138</v>
      </c>
      <c r="F247" s="438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4"/>
      <c r="S247" s="438"/>
      <c r="T247" s="406"/>
      <c r="U247" s="406"/>
      <c r="V247" s="406"/>
      <c r="W247" s="406"/>
      <c r="X247" s="406"/>
      <c r="Y247" s="406"/>
      <c r="Z247" s="406"/>
      <c r="AA247" s="406"/>
      <c r="AB247" s="406"/>
      <c r="AC247" s="406"/>
      <c r="AD247" s="406"/>
      <c r="AE247" s="404">
        <f t="shared" si="5"/>
        <v>0</v>
      </c>
    </row>
    <row r="248" spans="1:31">
      <c r="A248" s="476"/>
      <c r="B248" s="431" t="s">
        <v>547</v>
      </c>
      <c r="C248" s="431" t="s">
        <v>548</v>
      </c>
      <c r="D248" s="406" t="s">
        <v>478</v>
      </c>
      <c r="E248" s="468">
        <v>128</v>
      </c>
      <c r="F248" s="438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4"/>
      <c r="S248" s="438"/>
      <c r="T248" s="406"/>
      <c r="U248" s="406"/>
      <c r="V248" s="406"/>
      <c r="W248" s="406"/>
      <c r="X248" s="406"/>
      <c r="Y248" s="406"/>
      <c r="Z248" s="406"/>
      <c r="AA248" s="406"/>
      <c r="AB248" s="406"/>
      <c r="AC248" s="406"/>
      <c r="AD248" s="406"/>
      <c r="AE248" s="404">
        <f t="shared" si="5"/>
        <v>0</v>
      </c>
    </row>
    <row r="249" spans="1:31">
      <c r="A249" s="476"/>
      <c r="B249" s="431"/>
      <c r="C249" s="435"/>
      <c r="D249" s="400"/>
      <c r="E249" s="470">
        <v>138</v>
      </c>
      <c r="F249" s="438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4"/>
      <c r="S249" s="438"/>
      <c r="T249" s="406"/>
      <c r="U249" s="406"/>
      <c r="V249" s="406"/>
      <c r="W249" s="406"/>
      <c r="X249" s="406"/>
      <c r="Y249" s="406"/>
      <c r="Z249" s="406"/>
      <c r="AA249" s="406"/>
      <c r="AB249" s="406"/>
      <c r="AC249" s="406"/>
      <c r="AD249" s="406"/>
      <c r="AE249" s="404">
        <f t="shared" si="5"/>
        <v>0</v>
      </c>
    </row>
    <row r="250" spans="1:31">
      <c r="A250" s="476"/>
      <c r="B250" s="431" t="s">
        <v>535</v>
      </c>
      <c r="C250" s="431" t="s">
        <v>536</v>
      </c>
      <c r="D250" s="406" t="s">
        <v>478</v>
      </c>
      <c r="E250" s="470">
        <v>128</v>
      </c>
      <c r="F250" s="438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4"/>
      <c r="S250" s="438"/>
      <c r="T250" s="406"/>
      <c r="U250" s="406"/>
      <c r="V250" s="406"/>
      <c r="W250" s="406"/>
      <c r="X250" s="406"/>
      <c r="Y250" s="406"/>
      <c r="Z250" s="406"/>
      <c r="AA250" s="406"/>
      <c r="AB250" s="406"/>
      <c r="AC250" s="406"/>
      <c r="AD250" s="406"/>
      <c r="AE250" s="404">
        <f t="shared" si="5"/>
        <v>0</v>
      </c>
    </row>
    <row r="251" spans="1:31">
      <c r="A251" s="476"/>
      <c r="B251" s="406" t="s">
        <v>587</v>
      </c>
      <c r="C251" s="400"/>
      <c r="D251" s="471" t="s">
        <v>588</v>
      </c>
      <c r="E251" s="470">
        <v>128</v>
      </c>
      <c r="F251" s="419"/>
      <c r="G251" s="415"/>
      <c r="H251" s="463"/>
      <c r="I251" s="415"/>
      <c r="J251" s="415"/>
      <c r="K251" s="415"/>
      <c r="L251" s="556">
        <v>15000000000</v>
      </c>
      <c r="M251" s="415"/>
      <c r="N251" s="415"/>
      <c r="O251" s="556">
        <v>10000000000</v>
      </c>
      <c r="P251" s="415"/>
      <c r="Q251" s="556">
        <v>5000000000</v>
      </c>
      <c r="R251" s="404"/>
      <c r="S251" s="419"/>
      <c r="T251" s="415"/>
      <c r="U251" s="463">
        <v>3000000000</v>
      </c>
      <c r="V251" s="415"/>
      <c r="W251" s="415"/>
      <c r="X251" s="415"/>
      <c r="Y251" s="415"/>
      <c r="Z251" s="415"/>
      <c r="AA251" s="415"/>
      <c r="AB251" s="415"/>
      <c r="AC251" s="415"/>
      <c r="AD251" s="415"/>
      <c r="AE251" s="404">
        <f t="shared" si="5"/>
        <v>3000000000</v>
      </c>
    </row>
    <row r="252" spans="1:31">
      <c r="A252" s="454" t="s">
        <v>593</v>
      </c>
      <c r="B252" s="394" t="s">
        <v>594</v>
      </c>
      <c r="C252" s="394"/>
      <c r="D252" s="465" t="s">
        <v>584</v>
      </c>
      <c r="E252" s="466" t="s">
        <v>585</v>
      </c>
      <c r="F252" s="455"/>
      <c r="G252" s="456"/>
      <c r="H252" s="456"/>
      <c r="I252" s="456"/>
      <c r="J252" s="456"/>
      <c r="K252" s="456"/>
      <c r="L252" s="456"/>
      <c r="M252" s="456"/>
      <c r="N252" s="456"/>
      <c r="O252" s="456"/>
      <c r="P252" s="456"/>
      <c r="Q252" s="456"/>
      <c r="R252" s="456"/>
      <c r="S252" s="455"/>
      <c r="T252" s="456"/>
      <c r="U252" s="456"/>
      <c r="V252" s="456"/>
      <c r="W252" s="456"/>
      <c r="X252" s="456"/>
      <c r="Y252" s="456"/>
      <c r="Z252" s="456"/>
      <c r="AA252" s="456"/>
      <c r="AB252" s="456"/>
      <c r="AC252" s="456"/>
      <c r="AD252" s="456"/>
      <c r="AE252" s="456"/>
    </row>
    <row r="253" spans="1:31">
      <c r="A253" s="467"/>
      <c r="B253" s="560" t="s">
        <v>530</v>
      </c>
      <c r="C253" s="410" t="s">
        <v>531</v>
      </c>
      <c r="D253" s="570" t="s">
        <v>478</v>
      </c>
      <c r="E253" s="468">
        <v>341</v>
      </c>
      <c r="F253" s="563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404"/>
      <c r="S253" s="563"/>
      <c r="T253" s="568"/>
      <c r="U253" s="568"/>
      <c r="V253" s="568"/>
      <c r="W253" s="568"/>
      <c r="X253" s="568"/>
      <c r="Y253" s="568"/>
      <c r="Z253" s="568"/>
      <c r="AA253" s="568"/>
      <c r="AB253" s="568"/>
      <c r="AC253" s="568"/>
      <c r="AD253" s="568"/>
      <c r="AE253" s="404">
        <f t="shared" ref="AE253:AE256" si="6">SUM(S253:AD253)</f>
        <v>0</v>
      </c>
    </row>
    <row r="254" spans="1:31">
      <c r="A254" s="467"/>
      <c r="B254" s="431" t="s">
        <v>509</v>
      </c>
      <c r="C254" s="431" t="s">
        <v>510</v>
      </c>
      <c r="D254" s="399" t="s">
        <v>478</v>
      </c>
      <c r="E254" s="468">
        <v>338</v>
      </c>
      <c r="F254" s="438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4"/>
      <c r="S254" s="438"/>
      <c r="T254" s="406"/>
      <c r="U254" s="406"/>
      <c r="V254" s="406"/>
      <c r="W254" s="406"/>
      <c r="X254" s="406"/>
      <c r="Y254" s="406"/>
      <c r="Z254" s="406"/>
      <c r="AA254" s="406"/>
      <c r="AB254" s="406"/>
      <c r="AC254" s="406"/>
      <c r="AD254" s="406"/>
      <c r="AE254" s="404">
        <f t="shared" si="6"/>
        <v>0</v>
      </c>
    </row>
    <row r="255" spans="1:31">
      <c r="A255" s="476"/>
      <c r="B255" s="406" t="s">
        <v>518</v>
      </c>
      <c r="C255" s="435" t="s">
        <v>519</v>
      </c>
      <c r="D255" s="406" t="s">
        <v>478</v>
      </c>
      <c r="E255" s="468">
        <v>341</v>
      </c>
      <c r="F255" s="478"/>
      <c r="G255" s="415"/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79"/>
      <c r="S255" s="478"/>
      <c r="T255" s="415"/>
      <c r="U255" s="415"/>
      <c r="V255" s="415"/>
      <c r="W255" s="415"/>
      <c r="X255" s="415"/>
      <c r="Y255" s="415"/>
      <c r="Z255" s="415"/>
      <c r="AA255" s="415"/>
      <c r="AB255" s="415"/>
      <c r="AC255" s="415"/>
      <c r="AD255" s="415"/>
      <c r="AE255" s="479">
        <f t="shared" ref="AE255" si="7">SUM(S255:AD255)</f>
        <v>0</v>
      </c>
    </row>
    <row r="256" spans="1:31">
      <c r="A256" s="476"/>
      <c r="B256" s="406" t="s">
        <v>587</v>
      </c>
      <c r="C256" s="410"/>
      <c r="D256" s="477"/>
      <c r="E256" s="468">
        <v>341</v>
      </c>
      <c r="F256" s="478"/>
      <c r="G256" s="415"/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79"/>
      <c r="S256" s="478"/>
      <c r="T256" s="415"/>
      <c r="U256" s="415"/>
      <c r="V256" s="415"/>
      <c r="W256" s="415"/>
      <c r="X256" s="415"/>
      <c r="Y256" s="415"/>
      <c r="Z256" s="415"/>
      <c r="AA256" s="415"/>
      <c r="AB256" s="415"/>
      <c r="AC256" s="415"/>
      <c r="AD256" s="415"/>
      <c r="AE256" s="479">
        <f t="shared" si="6"/>
        <v>0</v>
      </c>
    </row>
    <row r="257" spans="1:31">
      <c r="A257" s="454" t="s">
        <v>595</v>
      </c>
      <c r="B257" s="394" t="s">
        <v>596</v>
      </c>
      <c r="C257" s="394"/>
      <c r="D257" s="465" t="s">
        <v>584</v>
      </c>
      <c r="E257" s="466" t="s">
        <v>585</v>
      </c>
      <c r="F257" s="455"/>
      <c r="G257" s="456"/>
      <c r="H257" s="456"/>
      <c r="I257" s="456"/>
      <c r="J257" s="456"/>
      <c r="K257" s="456"/>
      <c r="L257" s="456"/>
      <c r="M257" s="456"/>
      <c r="N257" s="456"/>
      <c r="O257" s="456"/>
      <c r="P257" s="456"/>
      <c r="Q257" s="456"/>
      <c r="R257" s="456"/>
      <c r="S257" s="455"/>
      <c r="T257" s="456"/>
      <c r="U257" s="456"/>
      <c r="V257" s="456"/>
      <c r="W257" s="456"/>
      <c r="X257" s="456"/>
      <c r="Y257" s="456"/>
      <c r="Z257" s="456"/>
      <c r="AA257" s="456"/>
      <c r="AB257" s="456"/>
      <c r="AC257" s="456"/>
      <c r="AD257" s="456"/>
      <c r="AE257" s="456"/>
    </row>
    <row r="258" spans="1:31">
      <c r="A258" s="480"/>
      <c r="B258" s="560" t="s">
        <v>530</v>
      </c>
      <c r="C258" s="560" t="s">
        <v>531</v>
      </c>
      <c r="D258" s="570" t="s">
        <v>478</v>
      </c>
      <c r="E258" s="468">
        <v>341</v>
      </c>
      <c r="F258" s="563"/>
      <c r="G258" s="568"/>
      <c r="H258" s="568"/>
      <c r="I258" s="568"/>
      <c r="J258" s="568"/>
      <c r="K258" s="568"/>
      <c r="L258" s="568"/>
      <c r="M258" s="568"/>
      <c r="N258" s="568"/>
      <c r="O258" s="568"/>
      <c r="P258" s="568"/>
      <c r="Q258" s="568"/>
      <c r="R258" s="404"/>
      <c r="S258" s="563"/>
      <c r="T258" s="568"/>
      <c r="U258" s="568"/>
      <c r="V258" s="568"/>
      <c r="W258" s="568"/>
      <c r="X258" s="568"/>
      <c r="Y258" s="568"/>
      <c r="Z258" s="568"/>
      <c r="AA258" s="568"/>
      <c r="AB258" s="568"/>
      <c r="AC258" s="568"/>
      <c r="AD258" s="568"/>
      <c r="AE258" s="404">
        <f t="shared" ref="AE258:AE260" si="8">SUM(S258:AD258)</f>
        <v>0</v>
      </c>
    </row>
    <row r="259" spans="1:31">
      <c r="A259" s="480"/>
      <c r="B259" s="499" t="s">
        <v>587</v>
      </c>
      <c r="C259" s="481"/>
      <c r="D259" s="481"/>
      <c r="E259" s="482"/>
      <c r="F259" s="483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79"/>
      <c r="S259" s="483"/>
      <c r="T259" s="406"/>
      <c r="U259" s="406"/>
      <c r="V259" s="406"/>
      <c r="W259" s="406"/>
      <c r="X259" s="406"/>
      <c r="Y259" s="406"/>
      <c r="Z259" s="406"/>
      <c r="AA259" s="406"/>
      <c r="AB259" s="406"/>
      <c r="AC259" s="406"/>
      <c r="AD259" s="406"/>
      <c r="AE259" s="479">
        <f t="shared" si="8"/>
        <v>0</v>
      </c>
    </row>
    <row r="260" spans="1:31">
      <c r="A260" s="473"/>
      <c r="B260" s="431"/>
      <c r="C260" s="433"/>
      <c r="D260" s="415"/>
      <c r="E260" s="415"/>
      <c r="F260" s="419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04"/>
      <c r="S260" s="419"/>
      <c r="T260" s="415"/>
      <c r="U260" s="415"/>
      <c r="V260" s="415"/>
      <c r="W260" s="415"/>
      <c r="X260" s="415"/>
      <c r="Y260" s="415"/>
      <c r="Z260" s="415"/>
      <c r="AA260" s="415"/>
      <c r="AB260" s="415"/>
      <c r="AC260" s="415"/>
      <c r="AD260" s="415"/>
      <c r="AE260" s="404">
        <f t="shared" si="8"/>
        <v>0</v>
      </c>
    </row>
    <row r="261" spans="1:31">
      <c r="A261" s="454" t="s">
        <v>597</v>
      </c>
      <c r="B261" s="394" t="s">
        <v>598</v>
      </c>
      <c r="C261" s="394"/>
      <c r="D261" s="465" t="s">
        <v>584</v>
      </c>
      <c r="E261" s="466" t="s">
        <v>585</v>
      </c>
      <c r="F261" s="455"/>
      <c r="G261" s="456"/>
      <c r="H261" s="456"/>
      <c r="I261" s="456"/>
      <c r="J261" s="456"/>
      <c r="K261" s="456"/>
      <c r="L261" s="456"/>
      <c r="M261" s="456"/>
      <c r="N261" s="456"/>
      <c r="O261" s="456"/>
      <c r="P261" s="456"/>
      <c r="Q261" s="456"/>
      <c r="R261" s="456"/>
      <c r="S261" s="455"/>
      <c r="T261" s="456"/>
      <c r="U261" s="456"/>
      <c r="V261" s="456"/>
      <c r="W261" s="456"/>
      <c r="X261" s="456"/>
      <c r="Y261" s="456"/>
      <c r="Z261" s="456"/>
      <c r="AA261" s="456"/>
      <c r="AB261" s="456"/>
      <c r="AC261" s="456"/>
      <c r="AD261" s="456"/>
      <c r="AE261" s="456"/>
    </row>
    <row r="262" spans="1:31">
      <c r="A262" s="574"/>
      <c r="B262" s="560"/>
      <c r="C262" s="560"/>
      <c r="D262" s="568" t="s">
        <v>599</v>
      </c>
      <c r="E262" s="575">
        <v>515</v>
      </c>
      <c r="F262" s="563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404"/>
      <c r="S262" s="563"/>
      <c r="T262" s="568"/>
      <c r="U262" s="568"/>
      <c r="V262" s="568"/>
      <c r="W262" s="568"/>
      <c r="X262" s="568"/>
      <c r="Y262" s="568"/>
      <c r="Z262" s="568"/>
      <c r="AA262" s="568"/>
      <c r="AB262" s="568"/>
      <c r="AC262" s="568"/>
      <c r="AD262" s="568"/>
      <c r="AE262" s="404">
        <f t="shared" ref="AE262:AE270" si="9">SUM(S262:AD262)</f>
        <v>0</v>
      </c>
    </row>
    <row r="263" spans="1:31">
      <c r="A263" s="467"/>
      <c r="B263" s="499"/>
      <c r="C263" s="499"/>
      <c r="D263" s="406"/>
      <c r="E263" s="410">
        <v>138</v>
      </c>
      <c r="F263" s="438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4"/>
      <c r="S263" s="438"/>
      <c r="T263" s="406"/>
      <c r="U263" s="406"/>
      <c r="V263" s="406"/>
      <c r="W263" s="406"/>
      <c r="X263" s="406"/>
      <c r="Y263" s="406"/>
      <c r="Z263" s="406"/>
      <c r="AA263" s="406"/>
      <c r="AB263" s="406"/>
      <c r="AC263" s="406"/>
      <c r="AD263" s="406"/>
      <c r="AE263" s="404">
        <f t="shared" si="9"/>
        <v>0</v>
      </c>
    </row>
    <row r="264" spans="1:31">
      <c r="A264" s="467"/>
      <c r="B264" s="499"/>
      <c r="C264" s="499"/>
      <c r="D264" s="406" t="s">
        <v>599</v>
      </c>
      <c r="E264" s="468">
        <v>515</v>
      </c>
      <c r="F264" s="438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4"/>
      <c r="S264" s="438"/>
      <c r="T264" s="406"/>
      <c r="U264" s="406"/>
      <c r="V264" s="406"/>
      <c r="W264" s="406"/>
      <c r="X264" s="406"/>
      <c r="Y264" s="406"/>
      <c r="Z264" s="406"/>
      <c r="AA264" s="406"/>
      <c r="AB264" s="406"/>
      <c r="AC264" s="406"/>
      <c r="AD264" s="406"/>
      <c r="AE264" s="404">
        <f t="shared" si="9"/>
        <v>0</v>
      </c>
    </row>
    <row r="265" spans="1:31">
      <c r="A265" s="467"/>
      <c r="B265" s="499"/>
      <c r="C265" s="499"/>
      <c r="D265" s="406"/>
      <c r="E265" s="410">
        <v>138</v>
      </c>
      <c r="F265" s="438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4"/>
      <c r="S265" s="438"/>
      <c r="T265" s="406"/>
      <c r="U265" s="406"/>
      <c r="V265" s="406"/>
      <c r="W265" s="406"/>
      <c r="X265" s="406"/>
      <c r="Y265" s="406"/>
      <c r="Z265" s="406"/>
      <c r="AA265" s="406"/>
      <c r="AB265" s="406"/>
      <c r="AC265" s="406"/>
      <c r="AD265" s="406"/>
      <c r="AE265" s="404">
        <f t="shared" si="9"/>
        <v>0</v>
      </c>
    </row>
    <row r="266" spans="1:31">
      <c r="A266" s="467"/>
      <c r="B266" s="520"/>
      <c r="C266" s="461"/>
      <c r="D266" s="406" t="s">
        <v>599</v>
      </c>
      <c r="E266" s="468">
        <v>515</v>
      </c>
      <c r="F266" s="438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4"/>
      <c r="S266" s="438"/>
      <c r="T266" s="406"/>
      <c r="U266" s="406"/>
      <c r="V266" s="406"/>
      <c r="W266" s="406"/>
      <c r="X266" s="406"/>
      <c r="Y266" s="406"/>
      <c r="Z266" s="406"/>
      <c r="AA266" s="406"/>
      <c r="AB266" s="406"/>
      <c r="AC266" s="406"/>
      <c r="AD266" s="406"/>
      <c r="AE266" s="404">
        <f t="shared" si="9"/>
        <v>0</v>
      </c>
    </row>
    <row r="267" spans="1:31">
      <c r="A267" s="467"/>
      <c r="B267" s="521"/>
      <c r="C267" s="499"/>
      <c r="D267" s="406"/>
      <c r="E267" s="410">
        <v>138</v>
      </c>
      <c r="F267" s="438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4"/>
      <c r="S267" s="438"/>
      <c r="T267" s="406"/>
      <c r="U267" s="406"/>
      <c r="V267" s="406"/>
      <c r="W267" s="406"/>
      <c r="X267" s="406"/>
      <c r="Y267" s="406"/>
      <c r="Z267" s="406"/>
      <c r="AA267" s="406"/>
      <c r="AB267" s="406"/>
      <c r="AC267" s="406"/>
      <c r="AD267" s="406"/>
      <c r="AE267" s="404">
        <f t="shared" si="9"/>
        <v>0</v>
      </c>
    </row>
    <row r="268" spans="1:31">
      <c r="A268" s="467"/>
      <c r="B268" s="520"/>
      <c r="C268" s="461"/>
      <c r="D268" s="406" t="s">
        <v>599</v>
      </c>
      <c r="E268" s="468">
        <v>515</v>
      </c>
      <c r="F268" s="438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4"/>
      <c r="S268" s="438"/>
      <c r="T268" s="406"/>
      <c r="U268" s="406"/>
      <c r="V268" s="406"/>
      <c r="W268" s="406"/>
      <c r="X268" s="406"/>
      <c r="Y268" s="406"/>
      <c r="Z268" s="406"/>
      <c r="AA268" s="406"/>
      <c r="AB268" s="406"/>
      <c r="AC268" s="406"/>
      <c r="AD268" s="406"/>
      <c r="AE268" s="404">
        <f t="shared" si="9"/>
        <v>0</v>
      </c>
    </row>
    <row r="269" spans="1:31">
      <c r="A269" s="467"/>
      <c r="B269" s="521"/>
      <c r="C269" s="499"/>
      <c r="D269" s="406"/>
      <c r="E269" s="410">
        <v>138</v>
      </c>
      <c r="F269" s="438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4"/>
      <c r="S269" s="438"/>
      <c r="T269" s="406"/>
      <c r="U269" s="406"/>
      <c r="V269" s="406"/>
      <c r="W269" s="406"/>
      <c r="X269" s="406"/>
      <c r="Y269" s="406"/>
      <c r="Z269" s="406"/>
      <c r="AA269" s="406"/>
      <c r="AB269" s="406"/>
      <c r="AC269" s="406"/>
      <c r="AD269" s="406"/>
      <c r="AE269" s="404">
        <f t="shared" si="9"/>
        <v>0</v>
      </c>
    </row>
    <row r="270" spans="1:31">
      <c r="A270" s="473"/>
      <c r="B270" s="495"/>
      <c r="C270" s="495"/>
      <c r="D270" s="415"/>
      <c r="E270" s="414"/>
      <c r="F270" s="419"/>
      <c r="G270" s="415"/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04"/>
      <c r="S270" s="419"/>
      <c r="T270" s="415"/>
      <c r="U270" s="415"/>
      <c r="V270" s="415"/>
      <c r="W270" s="415"/>
      <c r="X270" s="415"/>
      <c r="Y270" s="415"/>
      <c r="Z270" s="415"/>
      <c r="AA270" s="415"/>
      <c r="AB270" s="415"/>
      <c r="AC270" s="415"/>
      <c r="AD270" s="415"/>
      <c r="AE270" s="404">
        <f t="shared" si="9"/>
        <v>0</v>
      </c>
    </row>
    <row r="271" spans="1:31">
      <c r="A271" s="454" t="s">
        <v>600</v>
      </c>
      <c r="B271" s="394" t="s">
        <v>601</v>
      </c>
      <c r="C271" s="394"/>
      <c r="D271" s="465" t="s">
        <v>584</v>
      </c>
      <c r="E271" s="466" t="s">
        <v>585</v>
      </c>
      <c r="F271" s="455"/>
      <c r="G271" s="456"/>
      <c r="H271" s="456"/>
      <c r="I271" s="456"/>
      <c r="J271" s="456"/>
      <c r="K271" s="456"/>
      <c r="L271" s="456"/>
      <c r="M271" s="456"/>
      <c r="N271" s="456"/>
      <c r="O271" s="456"/>
      <c r="P271" s="456"/>
      <c r="Q271" s="456"/>
      <c r="R271" s="456"/>
      <c r="S271" s="455"/>
      <c r="T271" s="456"/>
      <c r="U271" s="456"/>
      <c r="V271" s="456"/>
      <c r="W271" s="456"/>
      <c r="X271" s="456"/>
      <c r="Y271" s="456"/>
      <c r="Z271" s="456"/>
      <c r="AA271" s="456"/>
      <c r="AB271" s="456"/>
      <c r="AC271" s="456"/>
      <c r="AD271" s="456"/>
      <c r="AE271" s="456"/>
    </row>
    <row r="272" spans="1:31">
      <c r="A272" s="476"/>
      <c r="B272" s="499" t="s">
        <v>498</v>
      </c>
      <c r="C272" s="399" t="s">
        <v>499</v>
      </c>
      <c r="D272" s="568"/>
      <c r="E272" s="468" t="s">
        <v>602</v>
      </c>
      <c r="F272" s="563"/>
      <c r="G272" s="568"/>
      <c r="H272" s="568"/>
      <c r="I272" s="568"/>
      <c r="J272" s="568"/>
      <c r="K272" s="568"/>
      <c r="L272" s="568"/>
      <c r="M272" s="568"/>
      <c r="N272" s="568"/>
      <c r="O272" s="568"/>
      <c r="P272" s="568"/>
      <c r="Q272" s="568"/>
      <c r="R272" s="404"/>
      <c r="S272" s="563"/>
      <c r="T272" s="568"/>
      <c r="U272" s="568"/>
      <c r="V272" s="568"/>
      <c r="W272" s="568"/>
      <c r="X272" s="568"/>
      <c r="Y272" s="568"/>
      <c r="Z272" s="568"/>
      <c r="AA272" s="568"/>
      <c r="AB272" s="568"/>
      <c r="AC272" s="568"/>
      <c r="AD272" s="568"/>
      <c r="AE272" s="404">
        <f t="shared" ref="AE272:AE276" si="10">SUM(S272:AD272)</f>
        <v>0</v>
      </c>
    </row>
    <row r="273" spans="1:31">
      <c r="A273" s="476"/>
      <c r="B273" s="499"/>
      <c r="C273" s="399"/>
      <c r="D273" s="400"/>
      <c r="E273" s="468" t="s">
        <v>603</v>
      </c>
      <c r="F273" s="438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4"/>
      <c r="S273" s="438"/>
      <c r="T273" s="406"/>
      <c r="U273" s="406"/>
      <c r="V273" s="406"/>
      <c r="W273" s="406"/>
      <c r="X273" s="406"/>
      <c r="Y273" s="406"/>
      <c r="Z273" s="406"/>
      <c r="AA273" s="406"/>
      <c r="AB273" s="406"/>
      <c r="AC273" s="406"/>
      <c r="AD273" s="406"/>
      <c r="AE273" s="404">
        <f t="shared" si="10"/>
        <v>0</v>
      </c>
    </row>
    <row r="274" spans="1:31">
      <c r="A274" s="476"/>
      <c r="B274" s="499" t="s">
        <v>587</v>
      </c>
      <c r="C274" s="399"/>
      <c r="D274" s="471"/>
      <c r="E274" s="468" t="s">
        <v>603</v>
      </c>
      <c r="F274" s="438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4"/>
      <c r="S274" s="438"/>
      <c r="T274" s="406"/>
      <c r="U274" s="406"/>
      <c r="V274" s="406"/>
      <c r="W274" s="406"/>
      <c r="X274" s="406"/>
      <c r="Y274" s="406"/>
      <c r="Z274" s="406"/>
      <c r="AA274" s="406"/>
      <c r="AB274" s="406"/>
      <c r="AC274" s="406"/>
      <c r="AD274" s="406"/>
      <c r="AE274" s="404">
        <f t="shared" si="10"/>
        <v>0</v>
      </c>
    </row>
    <row r="275" spans="1:31">
      <c r="A275" s="476"/>
      <c r="B275" s="431" t="s">
        <v>604</v>
      </c>
      <c r="C275" s="435"/>
      <c r="D275" s="471"/>
      <c r="E275" s="468" t="s">
        <v>603</v>
      </c>
      <c r="F275" s="438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4"/>
      <c r="S275" s="438"/>
      <c r="T275" s="406"/>
      <c r="U275" s="406"/>
      <c r="V275" s="406"/>
      <c r="W275" s="406"/>
      <c r="X275" s="406"/>
      <c r="Y275" s="406"/>
      <c r="Z275" s="406"/>
      <c r="AA275" s="406"/>
      <c r="AB275" s="406"/>
      <c r="AC275" s="406"/>
      <c r="AD275" s="406"/>
      <c r="AE275" s="404">
        <f t="shared" si="10"/>
        <v>0</v>
      </c>
    </row>
    <row r="276" spans="1:31">
      <c r="A276" s="476"/>
      <c r="B276" s="431" t="s">
        <v>605</v>
      </c>
      <c r="C276" s="435"/>
      <c r="D276" s="471"/>
      <c r="E276" s="468" t="s">
        <v>603</v>
      </c>
      <c r="F276" s="419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04"/>
      <c r="S276" s="419"/>
      <c r="T276" s="415"/>
      <c r="U276" s="415"/>
      <c r="V276" s="415"/>
      <c r="W276" s="415"/>
      <c r="X276" s="415"/>
      <c r="Y276" s="415"/>
      <c r="Z276" s="415"/>
      <c r="AA276" s="415"/>
      <c r="AB276" s="415"/>
      <c r="AC276" s="415"/>
      <c r="AD276" s="415"/>
      <c r="AE276" s="404">
        <f t="shared" si="10"/>
        <v>0</v>
      </c>
    </row>
    <row r="277" spans="1:31">
      <c r="A277" s="454" t="s">
        <v>606</v>
      </c>
      <c r="B277" s="394" t="s">
        <v>607</v>
      </c>
      <c r="C277" s="394"/>
      <c r="D277" s="465" t="s">
        <v>584</v>
      </c>
      <c r="E277" s="466" t="s">
        <v>585</v>
      </c>
      <c r="F277" s="455"/>
      <c r="G277" s="456"/>
      <c r="H277" s="456"/>
      <c r="I277" s="456"/>
      <c r="J277" s="456"/>
      <c r="K277" s="456"/>
      <c r="L277" s="456"/>
      <c r="M277" s="456"/>
      <c r="N277" s="456"/>
      <c r="O277" s="456"/>
      <c r="P277" s="456"/>
      <c r="Q277" s="456"/>
      <c r="R277" s="456"/>
      <c r="S277" s="455"/>
      <c r="T277" s="456"/>
      <c r="U277" s="456"/>
      <c r="V277" s="456"/>
      <c r="W277" s="456"/>
      <c r="X277" s="456"/>
      <c r="Y277" s="456"/>
      <c r="Z277" s="456"/>
      <c r="AA277" s="456"/>
      <c r="AB277" s="456"/>
      <c r="AC277" s="456"/>
      <c r="AD277" s="456"/>
      <c r="AE277" s="456"/>
    </row>
    <row r="278" spans="1:31">
      <c r="A278" s="476"/>
      <c r="B278" s="499" t="s">
        <v>498</v>
      </c>
      <c r="C278" s="399" t="s">
        <v>499</v>
      </c>
      <c r="D278" s="568"/>
      <c r="E278" s="468" t="s">
        <v>608</v>
      </c>
      <c r="F278" s="563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404"/>
      <c r="S278" s="563"/>
      <c r="T278" s="568"/>
      <c r="U278" s="568"/>
      <c r="V278" s="568"/>
      <c r="W278" s="568"/>
      <c r="X278" s="568"/>
      <c r="Y278" s="568"/>
      <c r="Z278" s="568"/>
      <c r="AA278" s="568"/>
      <c r="AB278" s="568"/>
      <c r="AC278" s="568"/>
      <c r="AD278" s="568"/>
      <c r="AE278" s="404">
        <f t="shared" ref="AE278:AE285" si="11">SUM(S278:AD278)</f>
        <v>0</v>
      </c>
    </row>
    <row r="279" spans="1:31">
      <c r="A279" s="476"/>
      <c r="B279" s="499"/>
      <c r="C279" s="399"/>
      <c r="D279" s="400"/>
      <c r="E279" s="468"/>
      <c r="F279" s="438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4"/>
      <c r="S279" s="438"/>
      <c r="T279" s="406"/>
      <c r="U279" s="406"/>
      <c r="V279" s="406"/>
      <c r="W279" s="406"/>
      <c r="X279" s="406"/>
      <c r="Y279" s="406"/>
      <c r="Z279" s="406"/>
      <c r="AA279" s="406"/>
      <c r="AB279" s="406"/>
      <c r="AC279" s="406"/>
      <c r="AD279" s="406"/>
      <c r="AE279" s="404">
        <f t="shared" si="11"/>
        <v>0</v>
      </c>
    </row>
    <row r="280" spans="1:31">
      <c r="A280" s="476"/>
      <c r="B280" s="499" t="s">
        <v>587</v>
      </c>
      <c r="C280" s="399"/>
      <c r="D280" s="471"/>
      <c r="E280" s="468" t="s">
        <v>608</v>
      </c>
      <c r="F280" s="438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4"/>
      <c r="S280" s="438"/>
      <c r="T280" s="406"/>
      <c r="U280" s="406"/>
      <c r="V280" s="406"/>
      <c r="W280" s="406"/>
      <c r="X280" s="406"/>
      <c r="Y280" s="406"/>
      <c r="Z280" s="406"/>
      <c r="AA280" s="406"/>
      <c r="AB280" s="406"/>
      <c r="AC280" s="406"/>
      <c r="AD280" s="406"/>
      <c r="AE280" s="404">
        <f t="shared" si="11"/>
        <v>0</v>
      </c>
    </row>
    <row r="281" spans="1:31">
      <c r="A281" s="476"/>
      <c r="B281" s="499"/>
      <c r="C281" s="399"/>
      <c r="D281" s="471"/>
      <c r="E281" s="468" t="s">
        <v>609</v>
      </c>
      <c r="F281" s="438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4"/>
      <c r="S281" s="438"/>
      <c r="T281" s="406"/>
      <c r="U281" s="406"/>
      <c r="V281" s="406"/>
      <c r="W281" s="406"/>
      <c r="X281" s="406"/>
      <c r="Y281" s="406"/>
      <c r="Z281" s="406"/>
      <c r="AA281" s="406"/>
      <c r="AB281" s="406"/>
      <c r="AC281" s="406"/>
      <c r="AD281" s="406"/>
      <c r="AE281" s="404">
        <f t="shared" si="11"/>
        <v>0</v>
      </c>
    </row>
    <row r="282" spans="1:31">
      <c r="A282" s="476"/>
      <c r="B282" s="431" t="s">
        <v>604</v>
      </c>
      <c r="C282" s="435"/>
      <c r="D282" s="471"/>
      <c r="E282" s="468" t="s">
        <v>608</v>
      </c>
      <c r="F282" s="438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4"/>
      <c r="S282" s="438"/>
      <c r="T282" s="406"/>
      <c r="U282" s="406"/>
      <c r="V282" s="406"/>
      <c r="W282" s="406"/>
      <c r="X282" s="406"/>
      <c r="Y282" s="406"/>
      <c r="Z282" s="406"/>
      <c r="AA282" s="406"/>
      <c r="AB282" s="406"/>
      <c r="AC282" s="406"/>
      <c r="AD282" s="406"/>
      <c r="AE282" s="404">
        <f t="shared" si="11"/>
        <v>0</v>
      </c>
    </row>
    <row r="283" spans="1:31">
      <c r="B283" s="431"/>
      <c r="C283" s="435"/>
      <c r="D283" s="471"/>
      <c r="E283" s="468" t="s">
        <v>609</v>
      </c>
      <c r="F283" s="438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4"/>
      <c r="S283" s="438"/>
      <c r="T283" s="406"/>
      <c r="U283" s="406"/>
      <c r="V283" s="406"/>
      <c r="W283" s="406"/>
      <c r="X283" s="406"/>
      <c r="Y283" s="406"/>
      <c r="Z283" s="406"/>
      <c r="AA283" s="406"/>
      <c r="AB283" s="406"/>
      <c r="AC283" s="406"/>
      <c r="AD283" s="406"/>
      <c r="AE283" s="404">
        <f t="shared" si="11"/>
        <v>0</v>
      </c>
    </row>
    <row r="284" spans="1:31">
      <c r="A284" s="476"/>
      <c r="B284" s="431" t="s">
        <v>605</v>
      </c>
      <c r="C284" s="435"/>
      <c r="D284" s="471" t="s">
        <v>610</v>
      </c>
      <c r="E284" s="468" t="s">
        <v>608</v>
      </c>
      <c r="F284" s="438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4"/>
      <c r="S284" s="438"/>
      <c r="T284" s="406"/>
      <c r="U284" s="406"/>
      <c r="V284" s="406"/>
      <c r="W284" s="406"/>
      <c r="X284" s="406"/>
      <c r="Y284" s="406"/>
      <c r="Z284" s="406"/>
      <c r="AA284" s="406"/>
      <c r="AB284" s="406"/>
      <c r="AC284" s="406"/>
      <c r="AD284" s="406"/>
      <c r="AE284" s="404">
        <f t="shared" si="11"/>
        <v>0</v>
      </c>
    </row>
    <row r="285" spans="1:31">
      <c r="A285" s="484"/>
      <c r="B285" s="446"/>
      <c r="C285" s="516"/>
      <c r="D285" s="485"/>
      <c r="E285" s="475" t="s">
        <v>609</v>
      </c>
      <c r="F285" s="419"/>
      <c r="G285" s="415"/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9"/>
      <c r="S285" s="419"/>
      <c r="T285" s="415"/>
      <c r="U285" s="415"/>
      <c r="V285" s="415"/>
      <c r="W285" s="415"/>
      <c r="X285" s="415"/>
      <c r="Y285" s="415"/>
      <c r="Z285" s="415"/>
      <c r="AA285" s="415"/>
      <c r="AB285" s="415"/>
      <c r="AC285" s="415"/>
      <c r="AD285" s="415"/>
      <c r="AE285" s="419">
        <f t="shared" si="11"/>
        <v>0</v>
      </c>
    </row>
    <row r="286" spans="1:31">
      <c r="B286" s="444"/>
      <c r="C286" s="444"/>
      <c r="D286" s="486"/>
      <c r="E286" s="487"/>
    </row>
    <row r="288" spans="1:31">
      <c r="A288" s="381" t="s">
        <v>611</v>
      </c>
      <c r="B288" s="382" t="s">
        <v>612</v>
      </c>
      <c r="C288" s="382"/>
      <c r="D288" s="383"/>
    </row>
    <row r="289" spans="1:30">
      <c r="F289" s="384" t="s">
        <v>613</v>
      </c>
      <c r="G289" s="385"/>
      <c r="H289" s="385"/>
      <c r="I289" s="385"/>
      <c r="J289" s="385"/>
      <c r="K289" s="385"/>
      <c r="L289" s="385"/>
      <c r="M289" s="385"/>
      <c r="N289" s="385"/>
      <c r="O289" s="385"/>
      <c r="P289" s="385"/>
      <c r="Q289" s="385"/>
      <c r="S289" s="384" t="s">
        <v>613</v>
      </c>
      <c r="T289" s="385"/>
      <c r="U289" s="385"/>
      <c r="V289" s="385"/>
      <c r="W289" s="385"/>
      <c r="X289" s="385"/>
      <c r="Y289" s="385"/>
      <c r="Z289" s="385"/>
      <c r="AA289" s="385"/>
      <c r="AB289" s="385"/>
      <c r="AC289" s="385"/>
      <c r="AD289" s="385"/>
    </row>
    <row r="290" spans="1:30">
      <c r="A290" s="576" t="s">
        <v>496</v>
      </c>
      <c r="B290" s="577" t="s">
        <v>614</v>
      </c>
      <c r="C290" s="577"/>
      <c r="D290" s="578" t="s">
        <v>585</v>
      </c>
      <c r="E290" s="568"/>
      <c r="F290" s="488" t="s">
        <v>615</v>
      </c>
      <c r="G290" s="488" t="s">
        <v>483</v>
      </c>
      <c r="H290" s="488" t="s">
        <v>484</v>
      </c>
      <c r="I290" s="488" t="s">
        <v>485</v>
      </c>
      <c r="J290" s="488" t="s">
        <v>486</v>
      </c>
      <c r="K290" s="488" t="s">
        <v>487</v>
      </c>
      <c r="L290" s="488" t="s">
        <v>488</v>
      </c>
      <c r="M290" s="488" t="s">
        <v>489</v>
      </c>
      <c r="N290" s="488" t="s">
        <v>490</v>
      </c>
      <c r="O290" s="488" t="s">
        <v>491</v>
      </c>
      <c r="P290" s="488" t="s">
        <v>492</v>
      </c>
      <c r="Q290" s="488" t="s">
        <v>493</v>
      </c>
      <c r="S290" s="488" t="s">
        <v>616</v>
      </c>
      <c r="T290" s="488" t="s">
        <v>483</v>
      </c>
      <c r="U290" s="488" t="s">
        <v>484</v>
      </c>
      <c r="V290" s="488" t="s">
        <v>485</v>
      </c>
      <c r="W290" s="488" t="s">
        <v>486</v>
      </c>
      <c r="X290" s="488" t="s">
        <v>487</v>
      </c>
      <c r="Y290" s="488" t="s">
        <v>488</v>
      </c>
      <c r="Z290" s="488" t="s">
        <v>489</v>
      </c>
      <c r="AA290" s="488" t="s">
        <v>490</v>
      </c>
      <c r="AB290" s="488" t="s">
        <v>491</v>
      </c>
      <c r="AC290" s="488" t="s">
        <v>492</v>
      </c>
      <c r="AD290" s="488" t="s">
        <v>493</v>
      </c>
    </row>
    <row r="291" spans="1:30">
      <c r="A291" s="579">
        <v>1</v>
      </c>
      <c r="B291" s="570" t="s">
        <v>498</v>
      </c>
      <c r="C291" s="570" t="s">
        <v>499</v>
      </c>
      <c r="D291" s="569">
        <v>131</v>
      </c>
      <c r="E291" s="568"/>
      <c r="F291" s="580">
        <v>73041096</v>
      </c>
      <c r="G291" s="580">
        <v>73041096</v>
      </c>
      <c r="H291" s="580">
        <v>73041096</v>
      </c>
      <c r="I291" s="580">
        <v>73041096</v>
      </c>
      <c r="J291" s="580"/>
      <c r="K291" s="580"/>
      <c r="L291" s="580"/>
      <c r="M291" s="580"/>
      <c r="N291" s="580"/>
      <c r="O291" s="580"/>
      <c r="P291" s="580"/>
      <c r="Q291" s="564"/>
      <c r="S291" s="580"/>
      <c r="T291" s="580"/>
      <c r="U291" s="580"/>
      <c r="V291" s="580"/>
      <c r="W291" s="580"/>
      <c r="X291" s="580"/>
      <c r="Y291" s="580"/>
      <c r="Z291" s="580"/>
      <c r="AA291" s="580"/>
      <c r="AB291" s="580"/>
      <c r="AC291" s="580"/>
      <c r="AD291" s="564"/>
    </row>
    <row r="292" spans="1:30">
      <c r="A292" s="489"/>
      <c r="B292" s="490"/>
      <c r="C292" s="490"/>
      <c r="D292" s="491">
        <v>138</v>
      </c>
      <c r="E292" s="453"/>
      <c r="F292" s="492"/>
      <c r="G292" s="492">
        <v>50598630</v>
      </c>
      <c r="H292" s="492">
        <v>70684931</v>
      </c>
      <c r="I292" s="492">
        <v>80404109</v>
      </c>
      <c r="J292" s="492">
        <v>153445205</v>
      </c>
      <c r="K292" s="492"/>
      <c r="L292" s="492"/>
      <c r="M292" s="492"/>
      <c r="N292" s="492"/>
      <c r="O292" s="492">
        <v>235068493</v>
      </c>
      <c r="P292" s="492"/>
      <c r="Q292" s="493"/>
      <c r="S292" s="492"/>
      <c r="T292" s="492"/>
      <c r="U292" s="492"/>
      <c r="V292" s="492"/>
      <c r="W292" s="492"/>
      <c r="X292" s="492"/>
      <c r="Y292" s="492"/>
      <c r="Z292" s="492"/>
      <c r="AA292" s="492"/>
      <c r="AB292" s="492"/>
      <c r="AC292" s="492"/>
      <c r="AD292" s="493"/>
    </row>
    <row r="293" spans="1:30">
      <c r="A293" s="579">
        <v>2</v>
      </c>
      <c r="B293" s="570" t="s">
        <v>509</v>
      </c>
      <c r="C293" s="570" t="s">
        <v>510</v>
      </c>
      <c r="D293" s="569">
        <v>131</v>
      </c>
      <c r="E293" s="568"/>
      <c r="F293" s="580"/>
      <c r="G293" s="580"/>
      <c r="H293" s="580"/>
      <c r="I293" s="580"/>
      <c r="J293" s="580"/>
      <c r="K293" s="580"/>
      <c r="L293" s="580"/>
      <c r="M293" s="580"/>
      <c r="N293" s="580"/>
      <c r="O293" s="580"/>
      <c r="P293" s="580"/>
      <c r="Q293" s="564"/>
      <c r="S293" s="580"/>
      <c r="T293" s="580"/>
      <c r="U293" s="580"/>
      <c r="V293" s="580"/>
      <c r="W293" s="580"/>
      <c r="X293" s="580"/>
      <c r="Y293" s="580"/>
      <c r="Z293" s="580"/>
      <c r="AA293" s="580"/>
      <c r="AB293" s="580"/>
      <c r="AC293" s="580"/>
      <c r="AD293" s="564"/>
    </row>
    <row r="294" spans="1:30">
      <c r="A294" s="489"/>
      <c r="B294" s="490"/>
      <c r="C294" s="490"/>
      <c r="D294" s="491">
        <v>138</v>
      </c>
      <c r="E294" s="453"/>
      <c r="F294" s="492"/>
      <c r="G294" s="492"/>
      <c r="H294" s="492"/>
      <c r="I294" s="492"/>
      <c r="J294" s="492"/>
      <c r="K294" s="492"/>
      <c r="L294" s="492"/>
      <c r="M294" s="492"/>
      <c r="N294" s="492"/>
      <c r="O294" s="492"/>
      <c r="P294" s="492"/>
      <c r="Q294" s="493"/>
      <c r="S294" s="492"/>
      <c r="T294" s="492"/>
      <c r="U294" s="492"/>
      <c r="V294" s="492"/>
      <c r="W294" s="492"/>
      <c r="X294" s="492"/>
      <c r="Y294" s="492"/>
      <c r="Z294" s="492"/>
      <c r="AA294" s="492"/>
      <c r="AB294" s="492"/>
      <c r="AC294" s="492"/>
      <c r="AD294" s="493"/>
    </row>
    <row r="295" spans="1:30" s="378" customFormat="1">
      <c r="A295" s="579">
        <v>3</v>
      </c>
      <c r="B295" s="570" t="s">
        <v>515</v>
      </c>
      <c r="C295" s="570" t="s">
        <v>516</v>
      </c>
      <c r="D295" s="569">
        <v>131</v>
      </c>
      <c r="E295" s="568"/>
      <c r="F295" s="580">
        <v>2884854690</v>
      </c>
      <c r="G295" s="580">
        <v>2884854690</v>
      </c>
      <c r="H295" s="580">
        <v>2884854690</v>
      </c>
      <c r="I295" s="580">
        <v>3403254690</v>
      </c>
      <c r="J295" s="580">
        <v>3403254690</v>
      </c>
      <c r="K295" s="580">
        <v>3068712270</v>
      </c>
      <c r="L295" s="580">
        <v>3068712270</v>
      </c>
      <c r="M295" s="580">
        <v>3068712270</v>
      </c>
      <c r="N295" s="580">
        <v>3068712270</v>
      </c>
      <c r="O295" s="580">
        <v>3068712270</v>
      </c>
      <c r="P295" s="580">
        <v>3068712270</v>
      </c>
      <c r="Q295" s="564">
        <v>121689000</v>
      </c>
      <c r="S295" s="580">
        <v>477927000</v>
      </c>
      <c r="T295" s="580">
        <v>522643162</v>
      </c>
      <c r="U295" s="580">
        <v>833463000</v>
      </c>
      <c r="V295" s="580">
        <v>833463000</v>
      </c>
      <c r="W295" s="580">
        <v>116586000</v>
      </c>
      <c r="X295" s="580">
        <v>195908220</v>
      </c>
      <c r="Y295" s="580"/>
      <c r="Z295" s="580"/>
      <c r="AA295" s="580"/>
      <c r="AB295" s="580"/>
      <c r="AC295" s="580"/>
      <c r="AD295" s="564"/>
    </row>
    <row r="296" spans="1:30" s="378" customFormat="1">
      <c r="A296" s="489"/>
      <c r="B296" s="490"/>
      <c r="C296" s="490"/>
      <c r="D296" s="491">
        <v>138</v>
      </c>
      <c r="E296" s="453"/>
      <c r="F296" s="492"/>
      <c r="G296" s="492"/>
      <c r="H296" s="492"/>
      <c r="I296" s="492"/>
      <c r="J296" s="492"/>
      <c r="K296" s="492"/>
      <c r="L296" s="492"/>
      <c r="M296" s="492"/>
      <c r="N296" s="492"/>
      <c r="O296" s="492"/>
      <c r="P296" s="492"/>
      <c r="Q296" s="493"/>
      <c r="S296" s="492"/>
      <c r="T296" s="492"/>
      <c r="U296" s="492"/>
      <c r="V296" s="492"/>
      <c r="W296" s="492"/>
      <c r="X296" s="492"/>
      <c r="Y296" s="492"/>
      <c r="Z296" s="492"/>
      <c r="AA296" s="492"/>
      <c r="AB296" s="492"/>
      <c r="AC296" s="492"/>
      <c r="AD296" s="493"/>
    </row>
    <row r="297" spans="1:30" s="378" customFormat="1">
      <c r="A297" s="579">
        <v>4</v>
      </c>
      <c r="B297" s="570" t="s">
        <v>518</v>
      </c>
      <c r="C297" s="570" t="s">
        <v>519</v>
      </c>
      <c r="D297" s="569">
        <v>131</v>
      </c>
      <c r="E297" s="568"/>
      <c r="F297" s="580"/>
      <c r="G297" s="580"/>
      <c r="H297" s="580">
        <v>4320000</v>
      </c>
      <c r="I297" s="580">
        <v>21600000</v>
      </c>
      <c r="J297" s="580">
        <v>12960000</v>
      </c>
      <c r="K297" s="580">
        <v>12960000</v>
      </c>
      <c r="L297" s="580">
        <v>2160000</v>
      </c>
      <c r="M297" s="580"/>
      <c r="N297" s="580"/>
      <c r="O297" s="580"/>
      <c r="P297" s="580"/>
      <c r="Q297" s="564"/>
      <c r="S297" s="580"/>
      <c r="T297" s="580"/>
      <c r="U297" s="580"/>
      <c r="V297" s="580"/>
      <c r="W297" s="580">
        <v>10756800</v>
      </c>
      <c r="X297" s="580"/>
      <c r="Y297" s="580"/>
      <c r="Z297" s="580"/>
      <c r="AA297" s="580"/>
      <c r="AB297" s="580"/>
      <c r="AC297" s="580"/>
      <c r="AD297" s="564"/>
    </row>
    <row r="298" spans="1:30" s="378" customFormat="1">
      <c r="A298" s="489"/>
      <c r="B298" s="490"/>
      <c r="C298" s="490"/>
      <c r="D298" s="491">
        <v>138</v>
      </c>
      <c r="E298" s="453"/>
      <c r="F298" s="492"/>
      <c r="G298" s="492"/>
      <c r="H298" s="492"/>
      <c r="I298" s="492"/>
      <c r="J298" s="492"/>
      <c r="K298" s="492"/>
      <c r="L298" s="492"/>
      <c r="M298" s="492"/>
      <c r="N298" s="492"/>
      <c r="O298" s="492"/>
      <c r="P298" s="492"/>
      <c r="Q298" s="493"/>
      <c r="S298" s="492"/>
      <c r="T298" s="492"/>
      <c r="U298" s="492"/>
      <c r="V298" s="492"/>
      <c r="W298" s="492"/>
      <c r="X298" s="492"/>
      <c r="Y298" s="492"/>
      <c r="Z298" s="492"/>
      <c r="AA298" s="492"/>
      <c r="AB298" s="492"/>
      <c r="AC298" s="492"/>
      <c r="AD298" s="493"/>
    </row>
    <row r="299" spans="1:30" s="378" customFormat="1">
      <c r="A299" s="579">
        <v>5</v>
      </c>
      <c r="B299" s="570" t="s">
        <v>521</v>
      </c>
      <c r="C299" s="570" t="s">
        <v>522</v>
      </c>
      <c r="D299" s="569">
        <v>131</v>
      </c>
      <c r="E299" s="568"/>
      <c r="F299" s="580"/>
      <c r="G299" s="580"/>
      <c r="H299" s="580">
        <v>29160000</v>
      </c>
      <c r="I299" s="580">
        <v>72900000</v>
      </c>
      <c r="J299" s="580">
        <v>58320000</v>
      </c>
      <c r="K299" s="580">
        <v>61560000</v>
      </c>
      <c r="L299" s="580">
        <v>108540000</v>
      </c>
      <c r="M299" s="580">
        <v>21060000</v>
      </c>
      <c r="N299" s="580"/>
      <c r="O299" s="580"/>
      <c r="P299" s="580"/>
      <c r="Q299" s="564"/>
      <c r="S299" s="580"/>
      <c r="T299" s="580"/>
      <c r="U299" s="580"/>
      <c r="V299" s="580"/>
      <c r="W299" s="580"/>
      <c r="X299" s="580"/>
      <c r="Y299" s="580"/>
      <c r="Z299" s="580"/>
      <c r="AA299" s="580"/>
      <c r="AB299" s="580"/>
      <c r="AC299" s="580"/>
      <c r="AD299" s="564"/>
    </row>
    <row r="300" spans="1:30" s="378" customFormat="1">
      <c r="A300" s="489"/>
      <c r="B300" s="490"/>
      <c r="C300" s="490"/>
      <c r="D300" s="491">
        <v>138</v>
      </c>
      <c r="E300" s="453"/>
      <c r="F300" s="492"/>
      <c r="G300" s="492"/>
      <c r="H300" s="492"/>
      <c r="I300" s="492"/>
      <c r="J300" s="492"/>
      <c r="K300" s="492"/>
      <c r="L300" s="492"/>
      <c r="M300" s="492"/>
      <c r="N300" s="492"/>
      <c r="O300" s="492"/>
      <c r="P300" s="492"/>
      <c r="Q300" s="493"/>
      <c r="S300" s="492"/>
      <c r="T300" s="492"/>
      <c r="U300" s="492"/>
      <c r="V300" s="492"/>
      <c r="W300" s="492"/>
      <c r="X300" s="492"/>
      <c r="Y300" s="492"/>
      <c r="Z300" s="492"/>
      <c r="AA300" s="492"/>
      <c r="AB300" s="492"/>
      <c r="AC300" s="492"/>
      <c r="AD300" s="493"/>
    </row>
    <row r="301" spans="1:30" s="378" customFormat="1">
      <c r="A301" s="579">
        <v>6</v>
      </c>
      <c r="B301" s="570" t="s">
        <v>524</v>
      </c>
      <c r="C301" s="570" t="s">
        <v>525</v>
      </c>
      <c r="D301" s="569">
        <v>131</v>
      </c>
      <c r="E301" s="568"/>
      <c r="F301" s="580"/>
      <c r="G301" s="580"/>
      <c r="H301" s="580"/>
      <c r="I301" s="580"/>
      <c r="J301" s="580"/>
      <c r="K301" s="580"/>
      <c r="L301" s="580"/>
      <c r="M301" s="580"/>
      <c r="N301" s="580"/>
      <c r="O301" s="580"/>
      <c r="P301" s="580"/>
      <c r="Q301" s="564"/>
      <c r="S301" s="580"/>
      <c r="T301" s="580"/>
      <c r="U301" s="580"/>
      <c r="V301" s="580"/>
      <c r="W301" s="580"/>
      <c r="X301" s="580"/>
      <c r="Y301" s="580"/>
      <c r="Z301" s="580"/>
      <c r="AA301" s="580"/>
      <c r="AB301" s="580"/>
      <c r="AC301" s="580"/>
      <c r="AD301" s="564"/>
    </row>
    <row r="302" spans="1:30" s="378" customFormat="1">
      <c r="A302" s="489"/>
      <c r="B302" s="490"/>
      <c r="C302" s="490"/>
      <c r="D302" s="491">
        <v>138</v>
      </c>
      <c r="E302" s="453"/>
      <c r="F302" s="492"/>
      <c r="G302" s="492"/>
      <c r="H302" s="492"/>
      <c r="I302" s="492"/>
      <c r="J302" s="492"/>
      <c r="K302" s="492"/>
      <c r="L302" s="492"/>
      <c r="M302" s="492"/>
      <c r="N302" s="492"/>
      <c r="O302" s="492"/>
      <c r="P302" s="492"/>
      <c r="Q302" s="493"/>
      <c r="S302" s="492"/>
      <c r="T302" s="492"/>
      <c r="U302" s="492"/>
      <c r="V302" s="492"/>
      <c r="W302" s="492"/>
      <c r="X302" s="492"/>
      <c r="Y302" s="492"/>
      <c r="Z302" s="492"/>
      <c r="AA302" s="492"/>
      <c r="AB302" s="492"/>
      <c r="AC302" s="492"/>
      <c r="AD302" s="493"/>
    </row>
    <row r="303" spans="1:30" s="378" customFormat="1">
      <c r="A303" s="579">
        <v>7</v>
      </c>
      <c r="B303" s="560" t="s">
        <v>528</v>
      </c>
      <c r="C303" s="560" t="s">
        <v>529</v>
      </c>
      <c r="D303" s="569">
        <v>131</v>
      </c>
      <c r="E303" s="568"/>
      <c r="F303" s="580"/>
      <c r="G303" s="580"/>
      <c r="H303" s="580"/>
      <c r="I303" s="580"/>
      <c r="J303" s="580"/>
      <c r="K303" s="580"/>
      <c r="L303" s="580"/>
      <c r="M303" s="580"/>
      <c r="N303" s="580"/>
      <c r="O303" s="580"/>
      <c r="P303" s="580"/>
      <c r="Q303" s="564"/>
      <c r="S303" s="580"/>
      <c r="T303" s="580"/>
      <c r="U303" s="580"/>
      <c r="V303" s="580"/>
      <c r="W303" s="580"/>
      <c r="X303" s="580"/>
      <c r="Y303" s="580"/>
      <c r="Z303" s="580"/>
      <c r="AA303" s="580"/>
      <c r="AB303" s="580"/>
      <c r="AC303" s="580"/>
      <c r="AD303" s="564"/>
    </row>
    <row r="304" spans="1:30" s="378" customFormat="1">
      <c r="A304" s="494"/>
      <c r="B304" s="495"/>
      <c r="C304" s="495"/>
      <c r="D304" s="458">
        <v>138</v>
      </c>
      <c r="E304" s="415"/>
      <c r="F304" s="496"/>
      <c r="G304" s="496"/>
      <c r="H304" s="496"/>
      <c r="I304" s="496"/>
      <c r="J304" s="496"/>
      <c r="K304" s="496"/>
      <c r="L304" s="496"/>
      <c r="M304" s="496"/>
      <c r="N304" s="496"/>
      <c r="O304" s="496"/>
      <c r="P304" s="496"/>
      <c r="Q304" s="463"/>
      <c r="S304" s="496"/>
      <c r="T304" s="496"/>
      <c r="U304" s="496"/>
      <c r="V304" s="496"/>
      <c r="W304" s="496"/>
      <c r="X304" s="496"/>
      <c r="Y304" s="496"/>
      <c r="Z304" s="496"/>
      <c r="AA304" s="496"/>
      <c r="AB304" s="496"/>
      <c r="AC304" s="496"/>
      <c r="AD304" s="463"/>
    </row>
    <row r="305" spans="1:30" s="378" customFormat="1">
      <c r="A305" s="579">
        <v>8</v>
      </c>
      <c r="B305" s="570" t="s">
        <v>530</v>
      </c>
      <c r="C305" s="570" t="s">
        <v>531</v>
      </c>
      <c r="D305" s="569">
        <v>131</v>
      </c>
      <c r="E305" s="568"/>
      <c r="F305" s="580"/>
      <c r="G305" s="580"/>
      <c r="H305" s="580"/>
      <c r="I305" s="580"/>
      <c r="J305" s="580"/>
      <c r="K305" s="580"/>
      <c r="L305" s="580"/>
      <c r="M305" s="580"/>
      <c r="N305" s="580">
        <v>3631500</v>
      </c>
      <c r="O305" s="580"/>
      <c r="P305" s="580">
        <v>7388064</v>
      </c>
      <c r="Q305" s="564">
        <v>37647720</v>
      </c>
      <c r="S305" s="580">
        <v>413737632</v>
      </c>
      <c r="T305" s="580"/>
      <c r="U305" s="580">
        <v>1306467360</v>
      </c>
      <c r="V305" s="580">
        <v>1142266752</v>
      </c>
      <c r="W305" s="580">
        <v>2071159200</v>
      </c>
      <c r="X305" s="580">
        <v>2925706608</v>
      </c>
      <c r="Y305" s="580"/>
      <c r="Z305" s="580"/>
      <c r="AA305" s="580"/>
      <c r="AB305" s="580"/>
      <c r="AC305" s="580"/>
      <c r="AD305" s="564"/>
    </row>
    <row r="306" spans="1:30" s="378" customFormat="1">
      <c r="A306" s="489"/>
      <c r="B306" s="490"/>
      <c r="C306" s="490"/>
      <c r="D306" s="491">
        <v>138</v>
      </c>
      <c r="E306" s="453"/>
      <c r="F306" s="492"/>
      <c r="G306" s="492"/>
      <c r="H306" s="492"/>
      <c r="I306" s="492"/>
      <c r="J306" s="492"/>
      <c r="K306" s="492"/>
      <c r="L306" s="492"/>
      <c r="M306" s="492"/>
      <c r="N306" s="492"/>
      <c r="O306" s="492"/>
      <c r="P306" s="492"/>
      <c r="Q306" s="493"/>
      <c r="S306" s="492"/>
      <c r="T306" s="492"/>
      <c r="U306" s="492"/>
      <c r="V306" s="492"/>
      <c r="W306" s="492"/>
      <c r="X306" s="492"/>
      <c r="Y306" s="492"/>
      <c r="Z306" s="492"/>
      <c r="AA306" s="492"/>
      <c r="AB306" s="492"/>
      <c r="AC306" s="492"/>
      <c r="AD306" s="493"/>
    </row>
    <row r="307" spans="1:30" s="378" customFormat="1">
      <c r="A307" s="579">
        <v>9</v>
      </c>
      <c r="B307" s="570" t="s">
        <v>533</v>
      </c>
      <c r="C307" s="570" t="s">
        <v>534</v>
      </c>
      <c r="D307" s="569">
        <v>131</v>
      </c>
      <c r="E307" s="568"/>
      <c r="F307" s="580"/>
      <c r="G307" s="580"/>
      <c r="H307" s="580"/>
      <c r="I307" s="580"/>
      <c r="J307" s="580"/>
      <c r="K307" s="580"/>
      <c r="L307" s="580"/>
      <c r="M307" s="580"/>
      <c r="N307" s="580"/>
      <c r="O307" s="580"/>
      <c r="P307" s="580"/>
      <c r="Q307" s="564"/>
      <c r="S307" s="580"/>
      <c r="T307" s="580"/>
      <c r="U307" s="580"/>
      <c r="V307" s="580"/>
      <c r="W307" s="580"/>
      <c r="X307" s="580"/>
      <c r="Y307" s="580"/>
      <c r="Z307" s="580"/>
      <c r="AA307" s="580"/>
      <c r="AB307" s="580"/>
      <c r="AC307" s="580"/>
      <c r="AD307" s="564"/>
    </row>
    <row r="308" spans="1:30" s="378" customFormat="1">
      <c r="A308" s="489"/>
      <c r="B308" s="490"/>
      <c r="C308" s="490"/>
      <c r="D308" s="491">
        <v>138</v>
      </c>
      <c r="E308" s="453"/>
      <c r="F308" s="492"/>
      <c r="G308" s="492"/>
      <c r="H308" s="492"/>
      <c r="I308" s="492"/>
      <c r="J308" s="492"/>
      <c r="K308" s="492"/>
      <c r="L308" s="492"/>
      <c r="M308" s="492"/>
      <c r="N308" s="492"/>
      <c r="O308" s="492"/>
      <c r="P308" s="492"/>
      <c r="Q308" s="493"/>
      <c r="S308" s="492"/>
      <c r="T308" s="492"/>
      <c r="U308" s="492"/>
      <c r="V308" s="492"/>
      <c r="W308" s="492"/>
      <c r="X308" s="492"/>
      <c r="Y308" s="492"/>
      <c r="Z308" s="492"/>
      <c r="AA308" s="492"/>
      <c r="AB308" s="492"/>
      <c r="AC308" s="492"/>
      <c r="AD308" s="493"/>
    </row>
    <row r="309" spans="1:30" s="378" customFormat="1">
      <c r="A309" s="579">
        <v>10</v>
      </c>
      <c r="B309" s="570" t="s">
        <v>535</v>
      </c>
      <c r="C309" s="570" t="s">
        <v>536</v>
      </c>
      <c r="D309" s="569">
        <v>131</v>
      </c>
      <c r="E309" s="568"/>
      <c r="F309" s="580"/>
      <c r="G309" s="580"/>
      <c r="H309" s="580"/>
      <c r="I309" s="580"/>
      <c r="J309" s="580"/>
      <c r="K309" s="580"/>
      <c r="L309" s="580"/>
      <c r="M309" s="580"/>
      <c r="N309" s="580"/>
      <c r="O309" s="580"/>
      <c r="P309" s="580"/>
      <c r="Q309" s="564"/>
      <c r="S309" s="580"/>
      <c r="T309" s="580"/>
      <c r="U309" s="580"/>
      <c r="V309" s="580"/>
      <c r="W309" s="580"/>
      <c r="X309" s="580"/>
      <c r="Y309" s="580"/>
      <c r="Z309" s="580"/>
      <c r="AA309" s="580"/>
      <c r="AB309" s="580"/>
      <c r="AC309" s="580"/>
      <c r="AD309" s="564"/>
    </row>
    <row r="310" spans="1:30" s="378" customFormat="1">
      <c r="A310" s="489"/>
      <c r="B310" s="490"/>
      <c r="C310" s="490"/>
      <c r="D310" s="491">
        <v>138</v>
      </c>
      <c r="E310" s="453"/>
      <c r="F310" s="492"/>
      <c r="G310" s="492"/>
      <c r="H310" s="492"/>
      <c r="I310" s="492"/>
      <c r="J310" s="492"/>
      <c r="K310" s="492"/>
      <c r="L310" s="492"/>
      <c r="M310" s="492"/>
      <c r="N310" s="492"/>
      <c r="O310" s="492"/>
      <c r="P310" s="492"/>
      <c r="Q310" s="493"/>
      <c r="S310" s="492"/>
      <c r="T310" s="492"/>
      <c r="U310" s="492"/>
      <c r="V310" s="492"/>
      <c r="W310" s="492"/>
      <c r="X310" s="492"/>
      <c r="Y310" s="492"/>
      <c r="Z310" s="492"/>
      <c r="AA310" s="492"/>
      <c r="AB310" s="492"/>
      <c r="AC310" s="492"/>
      <c r="AD310" s="493"/>
    </row>
    <row r="311" spans="1:30" s="378" customFormat="1">
      <c r="A311" s="579">
        <v>11</v>
      </c>
      <c r="B311" s="570" t="s">
        <v>537</v>
      </c>
      <c r="C311" s="570" t="s">
        <v>538</v>
      </c>
      <c r="D311" s="569">
        <v>131</v>
      </c>
      <c r="E311" s="568"/>
      <c r="F311" s="580"/>
      <c r="G311" s="580"/>
      <c r="H311" s="580"/>
      <c r="I311" s="580"/>
      <c r="J311" s="580"/>
      <c r="K311" s="580"/>
      <c r="L311" s="580"/>
      <c r="M311" s="580"/>
      <c r="N311" s="580"/>
      <c r="O311" s="580"/>
      <c r="P311" s="580"/>
      <c r="Q311" s="564"/>
      <c r="S311" s="580"/>
      <c r="T311" s="580"/>
      <c r="U311" s="580"/>
      <c r="V311" s="580"/>
      <c r="W311" s="580"/>
      <c r="X311" s="580"/>
      <c r="Y311" s="580"/>
      <c r="Z311" s="580"/>
      <c r="AA311" s="580"/>
      <c r="AB311" s="580"/>
      <c r="AC311" s="580"/>
      <c r="AD311" s="564"/>
    </row>
    <row r="312" spans="1:30" s="378" customFormat="1">
      <c r="A312" s="489"/>
      <c r="B312" s="490"/>
      <c r="C312" s="490"/>
      <c r="D312" s="491">
        <v>138</v>
      </c>
      <c r="E312" s="453"/>
      <c r="F312" s="492"/>
      <c r="G312" s="492"/>
      <c r="H312" s="492"/>
      <c r="I312" s="492"/>
      <c r="J312" s="492"/>
      <c r="K312" s="492"/>
      <c r="L312" s="492"/>
      <c r="M312" s="492"/>
      <c r="N312" s="492"/>
      <c r="O312" s="492"/>
      <c r="P312" s="492"/>
      <c r="Q312" s="493"/>
      <c r="S312" s="492"/>
      <c r="T312" s="492"/>
      <c r="U312" s="492"/>
      <c r="V312" s="492"/>
      <c r="W312" s="492"/>
      <c r="X312" s="492"/>
      <c r="Y312" s="492"/>
      <c r="Z312" s="492"/>
      <c r="AA312" s="492"/>
      <c r="AB312" s="492"/>
      <c r="AC312" s="492"/>
      <c r="AD312" s="493"/>
    </row>
    <row r="313" spans="1:30" s="378" customFormat="1">
      <c r="A313" s="579">
        <v>12</v>
      </c>
      <c r="B313" s="570" t="s">
        <v>539</v>
      </c>
      <c r="C313" s="570" t="s">
        <v>540</v>
      </c>
      <c r="D313" s="569">
        <v>131</v>
      </c>
      <c r="E313" s="568"/>
      <c r="F313" s="580">
        <v>3555960320</v>
      </c>
      <c r="G313" s="580">
        <v>1425430160</v>
      </c>
      <c r="H313" s="580">
        <v>1399346960</v>
      </c>
      <c r="I313" s="580">
        <v>2829381632</v>
      </c>
      <c r="J313" s="580">
        <v>4962640430</v>
      </c>
      <c r="K313" s="580">
        <v>5685845880</v>
      </c>
      <c r="L313" s="580">
        <v>6372595114</v>
      </c>
      <c r="M313" s="580">
        <v>7090558954</v>
      </c>
      <c r="N313" s="580">
        <v>2134746900</v>
      </c>
      <c r="O313" s="580">
        <v>4665569700</v>
      </c>
      <c r="P313" s="580">
        <v>4432216800</v>
      </c>
      <c r="Q313" s="564">
        <v>4432216800</v>
      </c>
      <c r="S313" s="580">
        <v>1901394000</v>
      </c>
      <c r="T313" s="580"/>
      <c r="U313" s="580">
        <v>2538918800</v>
      </c>
      <c r="V313" s="580">
        <v>3809709200</v>
      </c>
      <c r="W313" s="580">
        <v>4079048600</v>
      </c>
      <c r="X313" s="580">
        <v>1537613000</v>
      </c>
      <c r="Y313" s="580"/>
      <c r="Z313" s="580"/>
      <c r="AA313" s="580"/>
      <c r="AB313" s="580"/>
      <c r="AC313" s="580"/>
      <c r="AD313" s="564"/>
    </row>
    <row r="314" spans="1:30" s="378" customFormat="1">
      <c r="A314" s="489"/>
      <c r="B314" s="490"/>
      <c r="C314" s="490"/>
      <c r="D314" s="491">
        <v>138</v>
      </c>
      <c r="E314" s="453"/>
      <c r="F314" s="492"/>
      <c r="G314" s="492"/>
      <c r="H314" s="492"/>
      <c r="I314" s="492"/>
      <c r="J314" s="492"/>
      <c r="K314" s="492"/>
      <c r="L314" s="492"/>
      <c r="M314" s="492"/>
      <c r="N314" s="492"/>
      <c r="O314" s="492"/>
      <c r="P314" s="492"/>
      <c r="Q314" s="493"/>
      <c r="S314" s="492"/>
      <c r="T314" s="492"/>
      <c r="U314" s="492"/>
      <c r="V314" s="492"/>
      <c r="W314" s="492"/>
      <c r="X314" s="492"/>
      <c r="Y314" s="492"/>
      <c r="Z314" s="492"/>
      <c r="AA314" s="492"/>
      <c r="AB314" s="492"/>
      <c r="AC314" s="492"/>
      <c r="AD314" s="493"/>
    </row>
    <row r="315" spans="1:30" s="378" customFormat="1">
      <c r="A315" s="579">
        <v>13</v>
      </c>
      <c r="B315" s="570" t="s">
        <v>541</v>
      </c>
      <c r="C315" s="570" t="s">
        <v>542</v>
      </c>
      <c r="D315" s="569">
        <v>131</v>
      </c>
      <c r="E315" s="568"/>
      <c r="F315" s="580"/>
      <c r="G315" s="580"/>
      <c r="H315" s="580"/>
      <c r="I315" s="580"/>
      <c r="J315" s="580"/>
      <c r="K315" s="580"/>
      <c r="L315" s="580"/>
      <c r="M315" s="580"/>
      <c r="N315" s="580"/>
      <c r="O315" s="580"/>
      <c r="P315" s="580"/>
      <c r="Q315" s="564"/>
      <c r="S315" s="580"/>
      <c r="T315" s="580"/>
      <c r="U315" s="580"/>
      <c r="V315" s="580"/>
      <c r="W315" s="580"/>
      <c r="X315" s="580"/>
      <c r="Y315" s="580"/>
      <c r="Z315" s="580"/>
      <c r="AA315" s="580"/>
      <c r="AB315" s="580"/>
      <c r="AC315" s="580"/>
      <c r="AD315" s="564"/>
    </row>
    <row r="316" spans="1:30" s="378" customFormat="1">
      <c r="A316" s="489"/>
      <c r="B316" s="490"/>
      <c r="C316" s="490"/>
      <c r="D316" s="491">
        <v>138</v>
      </c>
      <c r="E316" s="453"/>
      <c r="F316" s="492"/>
      <c r="G316" s="492"/>
      <c r="H316" s="492"/>
      <c r="I316" s="492"/>
      <c r="J316" s="492"/>
      <c r="K316" s="492"/>
      <c r="L316" s="492"/>
      <c r="M316" s="492"/>
      <c r="N316" s="492"/>
      <c r="O316" s="492"/>
      <c r="P316" s="492"/>
      <c r="Q316" s="493"/>
      <c r="S316" s="492"/>
      <c r="T316" s="492"/>
      <c r="U316" s="492"/>
      <c r="V316" s="492"/>
      <c r="W316" s="492"/>
      <c r="X316" s="492"/>
      <c r="Y316" s="492"/>
      <c r="Z316" s="492"/>
      <c r="AA316" s="492"/>
      <c r="AB316" s="492"/>
      <c r="AC316" s="492"/>
      <c r="AD316" s="493"/>
    </row>
    <row r="317" spans="1:30" s="378" customFormat="1">
      <c r="A317" s="579">
        <v>14</v>
      </c>
      <c r="B317" s="570" t="s">
        <v>543</v>
      </c>
      <c r="C317" s="570" t="s">
        <v>544</v>
      </c>
      <c r="D317" s="569">
        <v>131</v>
      </c>
      <c r="E317" s="568"/>
      <c r="F317" s="580"/>
      <c r="G317" s="580"/>
      <c r="H317" s="580"/>
      <c r="I317" s="580"/>
      <c r="J317" s="580"/>
      <c r="K317" s="580"/>
      <c r="L317" s="580"/>
      <c r="M317" s="580"/>
      <c r="N317" s="580"/>
      <c r="O317" s="580"/>
      <c r="P317" s="580"/>
      <c r="Q317" s="564"/>
      <c r="S317" s="580"/>
      <c r="T317" s="580"/>
      <c r="U317" s="580"/>
      <c r="V317" s="580"/>
      <c r="W317" s="580"/>
      <c r="X317" s="580"/>
      <c r="Y317" s="580"/>
      <c r="Z317" s="580"/>
      <c r="AA317" s="580"/>
      <c r="AB317" s="580"/>
      <c r="AC317" s="580"/>
      <c r="AD317" s="564"/>
    </row>
    <row r="318" spans="1:30" s="378" customFormat="1">
      <c r="A318" s="489"/>
      <c r="B318" s="490"/>
      <c r="C318" s="490"/>
      <c r="D318" s="491">
        <v>138</v>
      </c>
      <c r="E318" s="453"/>
      <c r="F318" s="492"/>
      <c r="G318" s="492"/>
      <c r="H318" s="492"/>
      <c r="I318" s="492"/>
      <c r="J318" s="492"/>
      <c r="K318" s="492"/>
      <c r="L318" s="492"/>
      <c r="M318" s="492"/>
      <c r="N318" s="492"/>
      <c r="O318" s="492"/>
      <c r="P318" s="492"/>
      <c r="Q318" s="493"/>
      <c r="S318" s="492"/>
      <c r="T318" s="492"/>
      <c r="U318" s="492"/>
      <c r="V318" s="492"/>
      <c r="W318" s="492"/>
      <c r="X318" s="492"/>
      <c r="Y318" s="492"/>
      <c r="Z318" s="492"/>
      <c r="AA318" s="492"/>
      <c r="AB318" s="492"/>
      <c r="AC318" s="492"/>
      <c r="AD318" s="493"/>
    </row>
    <row r="319" spans="1:30" s="378" customFormat="1">
      <c r="A319" s="579">
        <v>15</v>
      </c>
      <c r="B319" s="570" t="s">
        <v>545</v>
      </c>
      <c r="C319" s="570" t="s">
        <v>546</v>
      </c>
      <c r="D319" s="569">
        <v>131</v>
      </c>
      <c r="E319" s="568"/>
      <c r="F319" s="580"/>
      <c r="G319" s="580"/>
      <c r="H319" s="580"/>
      <c r="I319" s="580"/>
      <c r="J319" s="580"/>
      <c r="K319" s="580"/>
      <c r="L319" s="580"/>
      <c r="M319" s="580"/>
      <c r="N319" s="580"/>
      <c r="O319" s="580"/>
      <c r="P319" s="580"/>
      <c r="Q319" s="564"/>
      <c r="S319" s="580"/>
      <c r="T319" s="580"/>
      <c r="U319" s="580"/>
      <c r="V319" s="580"/>
      <c r="W319" s="580"/>
      <c r="X319" s="580"/>
      <c r="Y319" s="580"/>
      <c r="Z319" s="580"/>
      <c r="AA319" s="580"/>
      <c r="AB319" s="580"/>
      <c r="AC319" s="580"/>
      <c r="AD319" s="564"/>
    </row>
    <row r="320" spans="1:30" s="378" customFormat="1">
      <c r="A320" s="489"/>
      <c r="B320" s="490"/>
      <c r="C320" s="490"/>
      <c r="D320" s="491">
        <v>138</v>
      </c>
      <c r="E320" s="453"/>
      <c r="F320" s="492"/>
      <c r="G320" s="492"/>
      <c r="H320" s="492"/>
      <c r="I320" s="492"/>
      <c r="J320" s="492"/>
      <c r="K320" s="492"/>
      <c r="L320" s="492"/>
      <c r="M320" s="492"/>
      <c r="N320" s="492"/>
      <c r="O320" s="492"/>
      <c r="P320" s="492"/>
      <c r="Q320" s="493"/>
      <c r="S320" s="492"/>
      <c r="T320" s="492"/>
      <c r="U320" s="492"/>
      <c r="V320" s="492"/>
      <c r="W320" s="492"/>
      <c r="X320" s="492"/>
      <c r="Y320" s="492"/>
      <c r="Z320" s="492"/>
      <c r="AA320" s="492"/>
      <c r="AB320" s="492"/>
      <c r="AC320" s="492"/>
      <c r="AD320" s="493"/>
    </row>
    <row r="321" spans="1:30" s="378" customFormat="1">
      <c r="A321" s="579">
        <v>16</v>
      </c>
      <c r="B321" s="570" t="s">
        <v>547</v>
      </c>
      <c r="C321" s="570" t="s">
        <v>548</v>
      </c>
      <c r="D321" s="569">
        <v>131</v>
      </c>
      <c r="E321" s="568"/>
      <c r="F321" s="580"/>
      <c r="G321" s="580"/>
      <c r="H321" s="580"/>
      <c r="I321" s="580"/>
      <c r="J321" s="580"/>
      <c r="K321" s="580"/>
      <c r="L321" s="580"/>
      <c r="M321" s="580"/>
      <c r="N321" s="580"/>
      <c r="O321" s="580"/>
      <c r="P321" s="580"/>
      <c r="Q321" s="564"/>
      <c r="S321" s="580"/>
      <c r="T321" s="580"/>
      <c r="U321" s="580"/>
      <c r="V321" s="580"/>
      <c r="W321" s="580"/>
      <c r="X321" s="580"/>
      <c r="Y321" s="580"/>
      <c r="Z321" s="580"/>
      <c r="AA321" s="580"/>
      <c r="AB321" s="580"/>
      <c r="AC321" s="580"/>
      <c r="AD321" s="564"/>
    </row>
    <row r="322" spans="1:30" s="378" customFormat="1">
      <c r="A322" s="489"/>
      <c r="B322" s="490"/>
      <c r="C322" s="490"/>
      <c r="D322" s="491">
        <v>138</v>
      </c>
      <c r="E322" s="453"/>
      <c r="F322" s="492"/>
      <c r="G322" s="492"/>
      <c r="H322" s="492"/>
      <c r="I322" s="492"/>
      <c r="J322" s="492"/>
      <c r="K322" s="492"/>
      <c r="L322" s="492"/>
      <c r="M322" s="492"/>
      <c r="N322" s="492"/>
      <c r="O322" s="492"/>
      <c r="P322" s="492"/>
      <c r="Q322" s="493"/>
      <c r="S322" s="492"/>
      <c r="T322" s="492"/>
      <c r="U322" s="492"/>
      <c r="V322" s="492"/>
      <c r="W322" s="492"/>
      <c r="X322" s="492"/>
      <c r="Y322" s="492"/>
      <c r="Z322" s="492"/>
      <c r="AA322" s="492"/>
      <c r="AB322" s="492"/>
      <c r="AC322" s="492"/>
      <c r="AD322" s="493"/>
    </row>
    <row r="323" spans="1:30" s="378" customFormat="1">
      <c r="A323" s="579">
        <v>17</v>
      </c>
      <c r="B323" s="570" t="s">
        <v>549</v>
      </c>
      <c r="C323" s="570" t="s">
        <v>550</v>
      </c>
      <c r="D323" s="569">
        <v>131</v>
      </c>
      <c r="E323" s="568"/>
      <c r="F323" s="580"/>
      <c r="G323" s="580"/>
      <c r="H323" s="580"/>
      <c r="I323" s="580"/>
      <c r="J323" s="580"/>
      <c r="K323" s="580"/>
      <c r="L323" s="580"/>
      <c r="M323" s="580"/>
      <c r="N323" s="580"/>
      <c r="O323" s="580"/>
      <c r="P323" s="580"/>
      <c r="Q323" s="564"/>
      <c r="S323" s="580"/>
      <c r="T323" s="580"/>
      <c r="U323" s="580"/>
      <c r="V323" s="580"/>
      <c r="W323" s="580"/>
      <c r="X323" s="580"/>
      <c r="Y323" s="580"/>
      <c r="Z323" s="580"/>
      <c r="AA323" s="580"/>
      <c r="AB323" s="580"/>
      <c r="AC323" s="580"/>
      <c r="AD323" s="564"/>
    </row>
    <row r="324" spans="1:30" s="378" customFormat="1">
      <c r="A324" s="489"/>
      <c r="B324" s="490"/>
      <c r="C324" s="490"/>
      <c r="D324" s="491">
        <v>138</v>
      </c>
      <c r="E324" s="453"/>
      <c r="F324" s="492"/>
      <c r="G324" s="492"/>
      <c r="H324" s="492"/>
      <c r="I324" s="492"/>
      <c r="J324" s="492"/>
      <c r="K324" s="492"/>
      <c r="L324" s="492"/>
      <c r="M324" s="492"/>
      <c r="N324" s="492"/>
      <c r="O324" s="492"/>
      <c r="P324" s="492"/>
      <c r="Q324" s="493"/>
      <c r="S324" s="492"/>
      <c r="T324" s="492"/>
      <c r="U324" s="492"/>
      <c r="V324" s="492"/>
      <c r="W324" s="492"/>
      <c r="X324" s="492"/>
      <c r="Y324" s="492"/>
      <c r="Z324" s="492"/>
      <c r="AA324" s="492"/>
      <c r="AB324" s="492"/>
      <c r="AC324" s="492"/>
      <c r="AD324" s="493"/>
    </row>
    <row r="325" spans="1:30" s="378" customFormat="1">
      <c r="A325" s="579">
        <v>18</v>
      </c>
      <c r="B325" s="570" t="s">
        <v>551</v>
      </c>
      <c r="C325" s="570" t="s">
        <v>552</v>
      </c>
      <c r="D325" s="569">
        <v>131</v>
      </c>
      <c r="E325" s="568"/>
      <c r="F325" s="580"/>
      <c r="G325" s="580"/>
      <c r="H325" s="580"/>
      <c r="I325" s="580"/>
      <c r="J325" s="580"/>
      <c r="K325" s="580"/>
      <c r="L325" s="580"/>
      <c r="M325" s="580"/>
      <c r="N325" s="580"/>
      <c r="O325" s="580"/>
      <c r="P325" s="580"/>
      <c r="Q325" s="564"/>
      <c r="S325" s="580"/>
      <c r="T325" s="580"/>
      <c r="U325" s="580"/>
      <c r="V325" s="580"/>
      <c r="W325" s="580"/>
      <c r="X325" s="580"/>
      <c r="Y325" s="580"/>
      <c r="Z325" s="580"/>
      <c r="AA325" s="580"/>
      <c r="AB325" s="580"/>
      <c r="AC325" s="580"/>
      <c r="AD325" s="564"/>
    </row>
    <row r="326" spans="1:30" s="378" customFormat="1">
      <c r="A326" s="489"/>
      <c r="B326" s="490"/>
      <c r="C326" s="490"/>
      <c r="D326" s="491">
        <v>138</v>
      </c>
      <c r="E326" s="453"/>
      <c r="F326" s="492"/>
      <c r="G326" s="492"/>
      <c r="H326" s="492"/>
      <c r="I326" s="492"/>
      <c r="J326" s="492"/>
      <c r="K326" s="492"/>
      <c r="L326" s="492"/>
      <c r="M326" s="492"/>
      <c r="N326" s="492"/>
      <c r="O326" s="492"/>
      <c r="P326" s="492"/>
      <c r="Q326" s="493"/>
      <c r="S326" s="492"/>
      <c r="T326" s="492"/>
      <c r="U326" s="492"/>
      <c r="V326" s="492"/>
      <c r="W326" s="492"/>
      <c r="X326" s="492"/>
      <c r="Y326" s="492"/>
      <c r="Z326" s="492"/>
      <c r="AA326" s="492"/>
      <c r="AB326" s="492"/>
      <c r="AC326" s="492"/>
      <c r="AD326" s="493"/>
    </row>
    <row r="327" spans="1:30" s="378" customFormat="1">
      <c r="A327" s="579">
        <v>19</v>
      </c>
      <c r="B327" s="560" t="s">
        <v>553</v>
      </c>
      <c r="C327" s="560" t="s">
        <v>554</v>
      </c>
      <c r="D327" s="569">
        <v>131</v>
      </c>
      <c r="E327" s="568"/>
      <c r="F327" s="580"/>
      <c r="G327" s="580"/>
      <c r="H327" s="580"/>
      <c r="I327" s="580"/>
      <c r="J327" s="580"/>
      <c r="K327" s="580"/>
      <c r="L327" s="580"/>
      <c r="M327" s="580"/>
      <c r="N327" s="580"/>
      <c r="O327" s="580"/>
      <c r="P327" s="580"/>
      <c r="Q327" s="564"/>
      <c r="S327" s="580"/>
      <c r="T327" s="580"/>
      <c r="U327" s="580"/>
      <c r="V327" s="580"/>
      <c r="W327" s="580"/>
      <c r="X327" s="580"/>
      <c r="Y327" s="580"/>
      <c r="Z327" s="580"/>
      <c r="AA327" s="580"/>
      <c r="AB327" s="580"/>
      <c r="AC327" s="580"/>
      <c r="AD327" s="564"/>
    </row>
    <row r="328" spans="1:30" s="378" customFormat="1">
      <c r="A328" s="489"/>
      <c r="B328" s="490"/>
      <c r="C328" s="490"/>
      <c r="D328" s="491">
        <v>138</v>
      </c>
      <c r="E328" s="453"/>
      <c r="F328" s="492"/>
      <c r="G328" s="492"/>
      <c r="H328" s="492"/>
      <c r="I328" s="492"/>
      <c r="J328" s="492"/>
      <c r="K328" s="492"/>
      <c r="L328" s="492"/>
      <c r="M328" s="492"/>
      <c r="N328" s="492"/>
      <c r="O328" s="492"/>
      <c r="P328" s="492"/>
      <c r="Q328" s="493"/>
      <c r="S328" s="492"/>
      <c r="T328" s="492"/>
      <c r="U328" s="492"/>
      <c r="V328" s="492"/>
      <c r="W328" s="492"/>
      <c r="X328" s="492"/>
      <c r="Y328" s="492"/>
      <c r="Z328" s="492"/>
      <c r="AA328" s="492"/>
      <c r="AB328" s="492"/>
      <c r="AC328" s="492"/>
      <c r="AD328" s="493"/>
    </row>
    <row r="329" spans="1:30" s="378" customFormat="1">
      <c r="A329" s="579">
        <v>20</v>
      </c>
      <c r="B329" s="570" t="s">
        <v>555</v>
      </c>
      <c r="C329" s="570" t="s">
        <v>556</v>
      </c>
      <c r="D329" s="569">
        <v>131</v>
      </c>
      <c r="E329" s="568"/>
      <c r="F329" s="580"/>
      <c r="G329" s="580"/>
      <c r="H329" s="580"/>
      <c r="I329" s="580"/>
      <c r="J329" s="580"/>
      <c r="K329" s="580"/>
      <c r="L329" s="580"/>
      <c r="M329" s="580"/>
      <c r="N329" s="580"/>
      <c r="O329" s="580"/>
      <c r="P329" s="580"/>
      <c r="Q329" s="564"/>
      <c r="S329" s="580"/>
      <c r="T329" s="580"/>
      <c r="U329" s="580"/>
      <c r="V329" s="580"/>
      <c r="W329" s="580"/>
      <c r="X329" s="580"/>
      <c r="Y329" s="580"/>
      <c r="Z329" s="580"/>
      <c r="AA329" s="580"/>
      <c r="AB329" s="580"/>
      <c r="AC329" s="580"/>
      <c r="AD329" s="564"/>
    </row>
    <row r="330" spans="1:30" s="378" customFormat="1">
      <c r="A330" s="489"/>
      <c r="B330" s="490"/>
      <c r="C330" s="490"/>
      <c r="D330" s="491">
        <v>138</v>
      </c>
      <c r="E330" s="453"/>
      <c r="F330" s="492"/>
      <c r="G330" s="492"/>
      <c r="H330" s="492"/>
      <c r="I330" s="492"/>
      <c r="J330" s="492"/>
      <c r="K330" s="492"/>
      <c r="L330" s="492"/>
      <c r="M330" s="492"/>
      <c r="N330" s="492"/>
      <c r="O330" s="492"/>
      <c r="P330" s="492"/>
      <c r="Q330" s="493"/>
      <c r="S330" s="492"/>
      <c r="T330" s="492"/>
      <c r="U330" s="492"/>
      <c r="V330" s="492"/>
      <c r="W330" s="492"/>
      <c r="X330" s="492"/>
      <c r="Y330" s="492"/>
      <c r="Z330" s="492"/>
      <c r="AA330" s="492"/>
      <c r="AB330" s="492"/>
      <c r="AC330" s="492"/>
      <c r="AD330" s="493"/>
    </row>
    <row r="331" spans="1:30" s="378" customFormat="1">
      <c r="A331" s="579">
        <v>21</v>
      </c>
      <c r="B331" s="570" t="s">
        <v>557</v>
      </c>
      <c r="C331" s="570" t="s">
        <v>558</v>
      </c>
      <c r="D331" s="569">
        <v>131</v>
      </c>
      <c r="E331" s="568"/>
      <c r="F331" s="580"/>
      <c r="G331" s="580"/>
      <c r="H331" s="580"/>
      <c r="I331" s="580"/>
      <c r="J331" s="580"/>
      <c r="K331" s="580"/>
      <c r="L331" s="580"/>
      <c r="M331" s="580"/>
      <c r="N331" s="580"/>
      <c r="O331" s="580"/>
      <c r="P331" s="580"/>
      <c r="Q331" s="564"/>
      <c r="S331" s="580"/>
      <c r="T331" s="580"/>
      <c r="U331" s="580"/>
      <c r="V331" s="580"/>
      <c r="W331" s="580"/>
      <c r="X331" s="580"/>
      <c r="Y331" s="580"/>
      <c r="Z331" s="580"/>
      <c r="AA331" s="580"/>
      <c r="AB331" s="580"/>
      <c r="AC331" s="580"/>
      <c r="AD331" s="564"/>
    </row>
    <row r="332" spans="1:30" s="378" customFormat="1">
      <c r="A332" s="489"/>
      <c r="B332" s="490"/>
      <c r="C332" s="490"/>
      <c r="D332" s="491">
        <v>138</v>
      </c>
      <c r="E332" s="453"/>
      <c r="F332" s="492"/>
      <c r="G332" s="492"/>
      <c r="H332" s="492"/>
      <c r="I332" s="492"/>
      <c r="J332" s="492"/>
      <c r="K332" s="492"/>
      <c r="L332" s="492"/>
      <c r="M332" s="492"/>
      <c r="N332" s="492"/>
      <c r="O332" s="492"/>
      <c r="P332" s="492"/>
      <c r="Q332" s="493"/>
      <c r="S332" s="492"/>
      <c r="T332" s="492"/>
      <c r="U332" s="492"/>
      <c r="V332" s="492"/>
      <c r="W332" s="492"/>
      <c r="X332" s="492"/>
      <c r="Y332" s="492"/>
      <c r="Z332" s="492"/>
      <c r="AA332" s="492"/>
      <c r="AB332" s="492"/>
      <c r="AC332" s="492"/>
      <c r="AD332" s="493"/>
    </row>
    <row r="333" spans="1:30" s="378" customFormat="1">
      <c r="A333" s="579">
        <v>22</v>
      </c>
      <c r="B333" s="570" t="s">
        <v>559</v>
      </c>
      <c r="C333" s="570" t="s">
        <v>560</v>
      </c>
      <c r="D333" s="569">
        <v>131</v>
      </c>
      <c r="E333" s="568"/>
      <c r="F333" s="580"/>
      <c r="G333" s="580"/>
      <c r="H333" s="580"/>
      <c r="I333" s="580"/>
      <c r="J333" s="580"/>
      <c r="K333" s="580"/>
      <c r="L333" s="580"/>
      <c r="M333" s="580"/>
      <c r="N333" s="580"/>
      <c r="O333" s="580"/>
      <c r="P333" s="580"/>
      <c r="Q333" s="564"/>
      <c r="S333" s="580"/>
      <c r="T333" s="580"/>
      <c r="U333" s="580"/>
      <c r="V333" s="580"/>
      <c r="W333" s="580"/>
      <c r="X333" s="580"/>
      <c r="Y333" s="580"/>
      <c r="Z333" s="580"/>
      <c r="AA333" s="580"/>
      <c r="AB333" s="580"/>
      <c r="AC333" s="580"/>
      <c r="AD333" s="564"/>
    </row>
    <row r="334" spans="1:30" s="378" customFormat="1">
      <c r="A334" s="480"/>
      <c r="B334" s="499"/>
      <c r="C334" s="518"/>
      <c r="D334" s="497">
        <v>138</v>
      </c>
      <c r="E334" s="477"/>
      <c r="F334" s="463"/>
      <c r="G334" s="463"/>
      <c r="H334" s="463"/>
      <c r="I334" s="463"/>
      <c r="J334" s="463"/>
      <c r="K334" s="463"/>
      <c r="L334" s="463"/>
      <c r="M334" s="463"/>
      <c r="N334" s="463"/>
      <c r="O334" s="463"/>
      <c r="P334" s="463"/>
      <c r="Q334" s="463"/>
      <c r="S334" s="463"/>
      <c r="T334" s="463"/>
      <c r="U334" s="463"/>
      <c r="V334" s="463"/>
      <c r="W334" s="463"/>
      <c r="X334" s="463"/>
      <c r="Y334" s="463"/>
      <c r="Z334" s="463"/>
      <c r="AA334" s="463"/>
      <c r="AB334" s="463"/>
      <c r="AC334" s="463"/>
      <c r="AD334" s="463"/>
    </row>
    <row r="335" spans="1:30" s="378" customFormat="1">
      <c r="A335" s="454" t="s">
        <v>561</v>
      </c>
      <c r="B335" s="394" t="s">
        <v>617</v>
      </c>
      <c r="C335" s="394"/>
      <c r="D335" s="456"/>
      <c r="E335" s="456"/>
      <c r="F335" s="488" t="s">
        <v>615</v>
      </c>
      <c r="G335" s="488" t="s">
        <v>483</v>
      </c>
      <c r="H335" s="488" t="s">
        <v>484</v>
      </c>
      <c r="I335" s="488" t="s">
        <v>485</v>
      </c>
      <c r="J335" s="488" t="s">
        <v>486</v>
      </c>
      <c r="K335" s="488" t="s">
        <v>487</v>
      </c>
      <c r="L335" s="488" t="s">
        <v>488</v>
      </c>
      <c r="M335" s="488" t="s">
        <v>489</v>
      </c>
      <c r="N335" s="488" t="s">
        <v>490</v>
      </c>
      <c r="O335" s="488" t="s">
        <v>491</v>
      </c>
      <c r="P335" s="488" t="s">
        <v>492</v>
      </c>
      <c r="Q335" s="488" t="s">
        <v>493</v>
      </c>
      <c r="S335" s="488" t="s">
        <v>482</v>
      </c>
      <c r="T335" s="488" t="s">
        <v>483</v>
      </c>
      <c r="U335" s="488" t="s">
        <v>484</v>
      </c>
      <c r="V335" s="488" t="s">
        <v>485</v>
      </c>
      <c r="W335" s="488" t="s">
        <v>486</v>
      </c>
      <c r="X335" s="488" t="s">
        <v>487</v>
      </c>
      <c r="Y335" s="488" t="s">
        <v>488</v>
      </c>
      <c r="Z335" s="488" t="s">
        <v>489</v>
      </c>
      <c r="AA335" s="488" t="s">
        <v>490</v>
      </c>
      <c r="AB335" s="488" t="s">
        <v>491</v>
      </c>
      <c r="AC335" s="488" t="s">
        <v>492</v>
      </c>
      <c r="AD335" s="488" t="s">
        <v>493</v>
      </c>
    </row>
    <row r="336" spans="1:30" s="378" customFormat="1">
      <c r="A336" s="579">
        <v>1</v>
      </c>
      <c r="B336" s="570" t="s">
        <v>498</v>
      </c>
      <c r="C336" s="570" t="s">
        <v>499</v>
      </c>
      <c r="D336" s="569">
        <v>131</v>
      </c>
      <c r="E336" s="568"/>
      <c r="F336" s="563"/>
      <c r="G336" s="568"/>
      <c r="H336" s="568"/>
      <c r="I336" s="568"/>
      <c r="J336" s="568"/>
      <c r="K336" s="568"/>
      <c r="L336" s="568"/>
      <c r="M336" s="568"/>
      <c r="N336" s="568"/>
      <c r="O336" s="568"/>
      <c r="P336" s="568"/>
      <c r="Q336" s="568"/>
      <c r="S336" s="563"/>
      <c r="T336" s="568"/>
      <c r="U336" s="568"/>
      <c r="V336" s="568"/>
      <c r="W336" s="568"/>
      <c r="X336" s="568"/>
      <c r="Y336" s="568"/>
      <c r="Z336" s="568"/>
      <c r="AA336" s="568"/>
      <c r="AB336" s="568"/>
      <c r="AC336" s="568"/>
      <c r="AD336" s="568"/>
    </row>
    <row r="337" spans="1:30" s="378" customFormat="1">
      <c r="A337" s="498">
        <v>2</v>
      </c>
      <c r="B337" s="499" t="s">
        <v>509</v>
      </c>
      <c r="C337" s="499" t="s">
        <v>510</v>
      </c>
      <c r="D337" s="410">
        <v>131</v>
      </c>
      <c r="E337" s="406"/>
      <c r="F337" s="438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S337" s="438"/>
      <c r="T337" s="406"/>
      <c r="U337" s="406"/>
      <c r="V337" s="406"/>
      <c r="W337" s="406"/>
      <c r="X337" s="406"/>
      <c r="Y337" s="406"/>
      <c r="Z337" s="406"/>
      <c r="AA337" s="406"/>
      <c r="AB337" s="406"/>
      <c r="AC337" s="406"/>
      <c r="AD337" s="406"/>
    </row>
    <row r="338" spans="1:30" s="378" customFormat="1">
      <c r="A338" s="498">
        <v>3</v>
      </c>
      <c r="B338" s="431" t="s">
        <v>515</v>
      </c>
      <c r="C338" s="431" t="s">
        <v>516</v>
      </c>
      <c r="D338" s="410">
        <v>131</v>
      </c>
      <c r="E338" s="406"/>
      <c r="F338" s="438"/>
      <c r="G338" s="406"/>
      <c r="H338" s="421"/>
      <c r="I338" s="406"/>
      <c r="J338" s="406"/>
      <c r="K338" s="406"/>
      <c r="L338" s="406"/>
      <c r="M338" s="406"/>
      <c r="N338" s="406"/>
      <c r="O338" s="406"/>
      <c r="P338" s="406"/>
      <c r="Q338" s="406"/>
      <c r="S338" s="438"/>
      <c r="T338" s="406"/>
      <c r="U338" s="421"/>
      <c r="V338" s="406"/>
      <c r="W338" s="406"/>
      <c r="X338" s="406"/>
      <c r="Y338" s="406"/>
      <c r="Z338" s="406"/>
      <c r="AA338" s="406"/>
      <c r="AB338" s="406"/>
      <c r="AC338" s="406"/>
      <c r="AD338" s="406"/>
    </row>
    <row r="339" spans="1:30" s="378" customFormat="1">
      <c r="A339" s="498">
        <v>4</v>
      </c>
      <c r="B339" s="431" t="s">
        <v>518</v>
      </c>
      <c r="C339" s="431" t="s">
        <v>519</v>
      </c>
      <c r="D339" s="410">
        <v>131</v>
      </c>
      <c r="E339" s="406"/>
      <c r="F339" s="438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S339" s="438"/>
      <c r="T339" s="406"/>
      <c r="U339" s="406"/>
      <c r="V339" s="406"/>
      <c r="W339" s="406"/>
      <c r="X339" s="406"/>
      <c r="Y339" s="406"/>
      <c r="Z339" s="406"/>
      <c r="AA339" s="406"/>
      <c r="AB339" s="406"/>
      <c r="AC339" s="406"/>
      <c r="AD339" s="406"/>
    </row>
    <row r="340" spans="1:30" s="378" customFormat="1">
      <c r="A340" s="498">
        <v>5</v>
      </c>
      <c r="B340" s="431" t="s">
        <v>521</v>
      </c>
      <c r="C340" s="431" t="s">
        <v>522</v>
      </c>
      <c r="D340" s="410">
        <v>131</v>
      </c>
      <c r="E340" s="406"/>
      <c r="F340" s="438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S340" s="438"/>
      <c r="T340" s="406"/>
      <c r="U340" s="406"/>
      <c r="V340" s="406"/>
      <c r="W340" s="406"/>
      <c r="X340" s="406"/>
      <c r="Y340" s="406"/>
      <c r="Z340" s="406"/>
      <c r="AA340" s="406"/>
      <c r="AB340" s="406"/>
      <c r="AC340" s="406"/>
      <c r="AD340" s="406"/>
    </row>
    <row r="341" spans="1:30" s="378" customFormat="1">
      <c r="A341" s="498">
        <v>6</v>
      </c>
      <c r="B341" s="431" t="s">
        <v>524</v>
      </c>
      <c r="C341" s="431" t="s">
        <v>525</v>
      </c>
      <c r="D341" s="410">
        <v>131</v>
      </c>
      <c r="E341" s="406"/>
      <c r="F341" s="438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S341" s="438"/>
      <c r="T341" s="406"/>
      <c r="U341" s="406"/>
      <c r="V341" s="406"/>
      <c r="W341" s="406"/>
      <c r="X341" s="406"/>
      <c r="Y341" s="406"/>
      <c r="Z341" s="406"/>
      <c r="AA341" s="406"/>
      <c r="AB341" s="406"/>
      <c r="AC341" s="406"/>
      <c r="AD341" s="406"/>
    </row>
    <row r="342" spans="1:30" s="378" customFormat="1">
      <c r="A342" s="498">
        <v>7</v>
      </c>
      <c r="B342" s="435" t="s">
        <v>528</v>
      </c>
      <c r="C342" s="435" t="s">
        <v>529</v>
      </c>
      <c r="D342" s="410">
        <v>131</v>
      </c>
      <c r="E342" s="406"/>
      <c r="F342" s="438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S342" s="438"/>
      <c r="T342" s="406"/>
      <c r="U342" s="406"/>
      <c r="V342" s="406"/>
      <c r="W342" s="406"/>
      <c r="X342" s="406"/>
      <c r="Y342" s="406"/>
      <c r="Z342" s="406"/>
      <c r="AA342" s="406"/>
      <c r="AB342" s="406"/>
      <c r="AC342" s="406"/>
      <c r="AD342" s="406"/>
    </row>
    <row r="343" spans="1:30" s="378" customFormat="1">
      <c r="A343" s="498">
        <v>8</v>
      </c>
      <c r="B343" s="431" t="s">
        <v>530</v>
      </c>
      <c r="C343" s="431" t="s">
        <v>531</v>
      </c>
      <c r="D343" s="410">
        <v>131</v>
      </c>
      <c r="E343" s="406"/>
      <c r="F343" s="438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S343" s="438"/>
      <c r="T343" s="406"/>
      <c r="U343" s="406"/>
      <c r="V343" s="406"/>
      <c r="W343" s="406"/>
      <c r="X343" s="406"/>
      <c r="Y343" s="406"/>
      <c r="Z343" s="406"/>
      <c r="AA343" s="406"/>
      <c r="AB343" s="406"/>
      <c r="AC343" s="406"/>
      <c r="AD343" s="406"/>
    </row>
    <row r="344" spans="1:30" s="378" customFormat="1">
      <c r="A344" s="498">
        <v>9</v>
      </c>
      <c r="B344" s="431" t="s">
        <v>533</v>
      </c>
      <c r="C344" s="431" t="s">
        <v>534</v>
      </c>
      <c r="D344" s="410">
        <v>131</v>
      </c>
      <c r="E344" s="406"/>
      <c r="F344" s="438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S344" s="438"/>
      <c r="T344" s="406"/>
      <c r="U344" s="406"/>
      <c r="V344" s="406"/>
      <c r="W344" s="406"/>
      <c r="X344" s="406"/>
      <c r="Y344" s="406"/>
      <c r="Z344" s="406"/>
      <c r="AA344" s="406"/>
      <c r="AB344" s="406"/>
      <c r="AC344" s="406"/>
      <c r="AD344" s="406"/>
    </row>
    <row r="345" spans="1:30" s="378" customFormat="1">
      <c r="A345" s="498">
        <v>10</v>
      </c>
      <c r="B345" s="431" t="s">
        <v>535</v>
      </c>
      <c r="C345" s="431" t="s">
        <v>536</v>
      </c>
      <c r="D345" s="410">
        <v>131</v>
      </c>
      <c r="E345" s="406"/>
      <c r="F345" s="438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S345" s="438"/>
      <c r="T345" s="406"/>
      <c r="U345" s="406"/>
      <c r="V345" s="406"/>
      <c r="W345" s="406"/>
      <c r="X345" s="406"/>
      <c r="Y345" s="406"/>
      <c r="Z345" s="406"/>
      <c r="AA345" s="406"/>
      <c r="AB345" s="406"/>
      <c r="AC345" s="406"/>
      <c r="AD345" s="406"/>
    </row>
    <row r="346" spans="1:30" s="378" customFormat="1">
      <c r="A346" s="498">
        <v>11</v>
      </c>
      <c r="B346" s="431" t="s">
        <v>537</v>
      </c>
      <c r="C346" s="431" t="s">
        <v>538</v>
      </c>
      <c r="D346" s="410">
        <v>131</v>
      </c>
      <c r="E346" s="406"/>
      <c r="F346" s="438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S346" s="438"/>
      <c r="T346" s="406"/>
      <c r="U346" s="406"/>
      <c r="V346" s="406"/>
      <c r="W346" s="406"/>
      <c r="X346" s="406"/>
      <c r="Y346" s="406"/>
      <c r="Z346" s="406"/>
      <c r="AA346" s="406"/>
      <c r="AB346" s="406"/>
      <c r="AC346" s="406"/>
      <c r="AD346" s="406"/>
    </row>
    <row r="347" spans="1:30" s="378" customFormat="1">
      <c r="A347" s="498">
        <v>12</v>
      </c>
      <c r="B347" s="431" t="s">
        <v>539</v>
      </c>
      <c r="C347" s="431" t="s">
        <v>540</v>
      </c>
      <c r="D347" s="410">
        <v>131</v>
      </c>
      <c r="E347" s="406"/>
      <c r="F347" s="438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S347" s="438"/>
      <c r="T347" s="406"/>
      <c r="U347" s="406"/>
      <c r="V347" s="406"/>
      <c r="W347" s="406"/>
      <c r="X347" s="406"/>
      <c r="Y347" s="406"/>
      <c r="Z347" s="406"/>
      <c r="AA347" s="406"/>
      <c r="AB347" s="406"/>
      <c r="AC347" s="406"/>
      <c r="AD347" s="406"/>
    </row>
    <row r="348" spans="1:30" s="378" customFormat="1">
      <c r="A348" s="498">
        <v>13</v>
      </c>
      <c r="B348" s="431" t="s">
        <v>541</v>
      </c>
      <c r="C348" s="431" t="s">
        <v>542</v>
      </c>
      <c r="D348" s="410">
        <v>131</v>
      </c>
      <c r="E348" s="406"/>
      <c r="F348" s="438"/>
      <c r="G348" s="406"/>
      <c r="H348" s="406"/>
      <c r="I348" s="406"/>
      <c r="J348" s="406"/>
      <c r="K348" s="406"/>
      <c r="L348" s="421"/>
      <c r="M348" s="421"/>
      <c r="N348" s="406"/>
      <c r="O348" s="406"/>
      <c r="P348" s="406"/>
      <c r="Q348" s="406"/>
      <c r="S348" s="438"/>
      <c r="T348" s="406"/>
      <c r="U348" s="406"/>
      <c r="V348" s="406"/>
      <c r="W348" s="406"/>
      <c r="X348" s="406"/>
      <c r="Y348" s="421"/>
      <c r="Z348" s="421"/>
      <c r="AA348" s="406"/>
      <c r="AB348" s="406"/>
      <c r="AC348" s="406"/>
      <c r="AD348" s="406"/>
    </row>
    <row r="349" spans="1:30" s="378" customFormat="1">
      <c r="A349" s="498">
        <v>14</v>
      </c>
      <c r="B349" s="433" t="s">
        <v>543</v>
      </c>
      <c r="C349" s="433" t="s">
        <v>544</v>
      </c>
      <c r="D349" s="410">
        <v>131</v>
      </c>
      <c r="E349" s="409"/>
      <c r="F349" s="464"/>
      <c r="G349" s="409"/>
      <c r="H349" s="409"/>
      <c r="I349" s="409"/>
      <c r="J349" s="409"/>
      <c r="K349" s="409"/>
      <c r="L349" s="450"/>
      <c r="M349" s="450"/>
      <c r="N349" s="409"/>
      <c r="O349" s="409"/>
      <c r="P349" s="409"/>
      <c r="Q349" s="409"/>
      <c r="S349" s="464"/>
      <c r="T349" s="409"/>
      <c r="U349" s="409"/>
      <c r="V349" s="409"/>
      <c r="W349" s="409"/>
      <c r="X349" s="409"/>
      <c r="Y349" s="450"/>
      <c r="Z349" s="450"/>
      <c r="AA349" s="409"/>
      <c r="AB349" s="409"/>
      <c r="AC349" s="409"/>
      <c r="AD349" s="409"/>
    </row>
    <row r="350" spans="1:30" s="378" customFormat="1">
      <c r="A350" s="498">
        <v>15</v>
      </c>
      <c r="B350" s="433" t="s">
        <v>545</v>
      </c>
      <c r="C350" s="433" t="s">
        <v>546</v>
      </c>
      <c r="D350" s="410">
        <v>131</v>
      </c>
      <c r="E350" s="409"/>
      <c r="F350" s="464"/>
      <c r="G350" s="409"/>
      <c r="H350" s="450"/>
      <c r="I350" s="409"/>
      <c r="J350" s="409"/>
      <c r="K350" s="409"/>
      <c r="L350" s="450"/>
      <c r="M350" s="450"/>
      <c r="N350" s="409"/>
      <c r="O350" s="409"/>
      <c r="P350" s="409"/>
      <c r="Q350" s="409"/>
      <c r="S350" s="464"/>
      <c r="T350" s="409"/>
      <c r="U350" s="450"/>
      <c r="V350" s="409"/>
      <c r="W350" s="409"/>
      <c r="X350" s="409"/>
      <c r="Y350" s="450"/>
      <c r="Z350" s="450"/>
      <c r="AA350" s="409"/>
      <c r="AB350" s="409"/>
      <c r="AC350" s="409"/>
      <c r="AD350" s="409"/>
    </row>
    <row r="351" spans="1:30" s="378" customFormat="1">
      <c r="A351" s="498">
        <v>16</v>
      </c>
      <c r="B351" s="433" t="s">
        <v>547</v>
      </c>
      <c r="C351" s="433" t="s">
        <v>548</v>
      </c>
      <c r="D351" s="410">
        <v>131</v>
      </c>
      <c r="E351" s="409"/>
      <c r="F351" s="464"/>
      <c r="G351" s="409"/>
      <c r="H351" s="409"/>
      <c r="I351" s="409"/>
      <c r="J351" s="409"/>
      <c r="K351" s="409"/>
      <c r="L351" s="450"/>
      <c r="M351" s="450"/>
      <c r="N351" s="409"/>
      <c r="O351" s="409"/>
      <c r="P351" s="409"/>
      <c r="Q351" s="409"/>
      <c r="S351" s="464"/>
      <c r="T351" s="409"/>
      <c r="U351" s="409"/>
      <c r="V351" s="409"/>
      <c r="W351" s="409"/>
      <c r="X351" s="409"/>
      <c r="Y351" s="450"/>
      <c r="Z351" s="450"/>
      <c r="AA351" s="409"/>
      <c r="AB351" s="409"/>
      <c r="AC351" s="409"/>
      <c r="AD351" s="409"/>
    </row>
    <row r="352" spans="1:30" s="378" customFormat="1">
      <c r="A352" s="498">
        <v>17</v>
      </c>
      <c r="B352" s="433" t="s">
        <v>549</v>
      </c>
      <c r="C352" s="433" t="s">
        <v>550</v>
      </c>
      <c r="D352" s="410">
        <v>131</v>
      </c>
      <c r="E352" s="409"/>
      <c r="F352" s="464"/>
      <c r="G352" s="409"/>
      <c r="H352" s="409"/>
      <c r="I352" s="409"/>
      <c r="J352" s="409"/>
      <c r="K352" s="409"/>
      <c r="L352" s="450"/>
      <c r="M352" s="450"/>
      <c r="N352" s="409"/>
      <c r="O352" s="409"/>
      <c r="P352" s="409"/>
      <c r="Q352" s="409"/>
      <c r="S352" s="464"/>
      <c r="T352" s="409"/>
      <c r="U352" s="409"/>
      <c r="V352" s="409"/>
      <c r="W352" s="409"/>
      <c r="X352" s="409"/>
      <c r="Y352" s="450"/>
      <c r="Z352" s="450"/>
      <c r="AA352" s="409"/>
      <c r="AB352" s="409"/>
      <c r="AC352" s="409"/>
      <c r="AD352" s="409"/>
    </row>
    <row r="353" spans="1:30" s="378" customFormat="1">
      <c r="A353" s="498">
        <v>18</v>
      </c>
      <c r="B353" s="431" t="s">
        <v>551</v>
      </c>
      <c r="C353" s="431" t="s">
        <v>552</v>
      </c>
      <c r="D353" s="410">
        <v>131</v>
      </c>
      <c r="E353" s="409"/>
      <c r="F353" s="464"/>
      <c r="G353" s="409"/>
      <c r="H353" s="409"/>
      <c r="I353" s="409"/>
      <c r="J353" s="409"/>
      <c r="K353" s="409"/>
      <c r="L353" s="450"/>
      <c r="M353" s="450"/>
      <c r="N353" s="409"/>
      <c r="O353" s="409"/>
      <c r="P353" s="409"/>
      <c r="Q353" s="409"/>
      <c r="S353" s="464"/>
      <c r="T353" s="409"/>
      <c r="U353" s="409"/>
      <c r="V353" s="409"/>
      <c r="W353" s="409"/>
      <c r="X353" s="409"/>
      <c r="Y353" s="450"/>
      <c r="Z353" s="450"/>
      <c r="AA353" s="409"/>
      <c r="AB353" s="409"/>
      <c r="AC353" s="409"/>
      <c r="AD353" s="409"/>
    </row>
    <row r="354" spans="1:30" s="378" customFormat="1">
      <c r="A354" s="498">
        <v>19</v>
      </c>
      <c r="B354" s="435" t="s">
        <v>553</v>
      </c>
      <c r="C354" s="435" t="s">
        <v>554</v>
      </c>
      <c r="D354" s="410">
        <v>131</v>
      </c>
      <c r="E354" s="409"/>
      <c r="F354" s="464"/>
      <c r="G354" s="409"/>
      <c r="H354" s="409"/>
      <c r="I354" s="409"/>
      <c r="J354" s="409"/>
      <c r="K354" s="409"/>
      <c r="L354" s="450"/>
      <c r="M354" s="450"/>
      <c r="N354" s="409"/>
      <c r="O354" s="409"/>
      <c r="P354" s="409"/>
      <c r="Q354" s="409"/>
      <c r="S354" s="464"/>
      <c r="T354" s="409"/>
      <c r="U354" s="409"/>
      <c r="V354" s="409"/>
      <c r="W354" s="409"/>
      <c r="X354" s="409"/>
      <c r="Y354" s="450"/>
      <c r="Z354" s="450"/>
      <c r="AA354" s="409"/>
      <c r="AB354" s="409"/>
      <c r="AC354" s="409"/>
      <c r="AD354" s="409"/>
    </row>
    <row r="355" spans="1:30" s="378" customFormat="1">
      <c r="A355" s="498">
        <v>20</v>
      </c>
      <c r="B355" s="433" t="s">
        <v>555</v>
      </c>
      <c r="C355" s="433" t="s">
        <v>556</v>
      </c>
      <c r="D355" s="410">
        <v>131</v>
      </c>
      <c r="E355" s="409"/>
      <c r="F355" s="464"/>
      <c r="G355" s="409"/>
      <c r="H355" s="409"/>
      <c r="I355" s="409"/>
      <c r="J355" s="409"/>
      <c r="K355" s="409"/>
      <c r="L355" s="450"/>
      <c r="M355" s="450"/>
      <c r="N355" s="409"/>
      <c r="O355" s="409"/>
      <c r="P355" s="409"/>
      <c r="Q355" s="409"/>
      <c r="S355" s="464"/>
      <c r="T355" s="409"/>
      <c r="U355" s="409"/>
      <c r="V355" s="409"/>
      <c r="W355" s="409"/>
      <c r="X355" s="409"/>
      <c r="Y355" s="450"/>
      <c r="Z355" s="450"/>
      <c r="AA355" s="409"/>
      <c r="AB355" s="409"/>
      <c r="AC355" s="409"/>
      <c r="AD355" s="409"/>
    </row>
    <row r="356" spans="1:30" s="378" customFormat="1">
      <c r="A356" s="498">
        <v>21</v>
      </c>
      <c r="B356" s="433" t="s">
        <v>557</v>
      </c>
      <c r="C356" s="433" t="s">
        <v>558</v>
      </c>
      <c r="D356" s="410">
        <v>131</v>
      </c>
      <c r="E356" s="409"/>
      <c r="F356" s="464"/>
      <c r="G356" s="409"/>
      <c r="H356" s="409"/>
      <c r="I356" s="409"/>
      <c r="J356" s="409"/>
      <c r="K356" s="409"/>
      <c r="L356" s="450"/>
      <c r="M356" s="450"/>
      <c r="N356" s="409"/>
      <c r="O356" s="409"/>
      <c r="P356" s="409"/>
      <c r="Q356" s="409"/>
      <c r="S356" s="464"/>
      <c r="T356" s="409"/>
      <c r="U356" s="409"/>
      <c r="V356" s="409"/>
      <c r="W356" s="409"/>
      <c r="X356" s="409"/>
      <c r="Y356" s="450"/>
      <c r="Z356" s="450"/>
      <c r="AA356" s="409"/>
      <c r="AB356" s="409"/>
      <c r="AC356" s="409"/>
      <c r="AD356" s="409"/>
    </row>
    <row r="357" spans="1:30" s="378" customFormat="1">
      <c r="A357" s="498">
        <v>22</v>
      </c>
      <c r="B357" s="433" t="s">
        <v>559</v>
      </c>
      <c r="C357" s="433" t="s">
        <v>560</v>
      </c>
      <c r="D357" s="410">
        <v>131</v>
      </c>
      <c r="E357" s="409"/>
      <c r="F357" s="464"/>
      <c r="G357" s="409"/>
      <c r="H357" s="409"/>
      <c r="I357" s="409"/>
      <c r="J357" s="409"/>
      <c r="K357" s="409"/>
      <c r="L357" s="450"/>
      <c r="M357" s="450"/>
      <c r="N357" s="409"/>
      <c r="O357" s="409"/>
      <c r="P357" s="409"/>
      <c r="Q357" s="409"/>
      <c r="S357" s="464"/>
      <c r="T357" s="409"/>
      <c r="U357" s="409"/>
      <c r="V357" s="409"/>
      <c r="W357" s="409"/>
      <c r="X357" s="409"/>
      <c r="Y357" s="450"/>
      <c r="Z357" s="450"/>
      <c r="AA357" s="409"/>
      <c r="AB357" s="409"/>
      <c r="AC357" s="409"/>
      <c r="AD357" s="409"/>
    </row>
    <row r="358" spans="1:30" s="378" customFormat="1">
      <c r="A358" s="494"/>
      <c r="B358" s="495"/>
      <c r="C358" s="495"/>
      <c r="D358" s="415"/>
      <c r="E358" s="415"/>
      <c r="F358" s="419"/>
      <c r="G358" s="415"/>
      <c r="H358" s="415"/>
      <c r="I358" s="415"/>
      <c r="J358" s="415"/>
      <c r="K358" s="415"/>
      <c r="L358" s="415"/>
      <c r="M358" s="415"/>
      <c r="N358" s="415"/>
      <c r="O358" s="415"/>
      <c r="P358" s="415"/>
      <c r="Q358" s="415"/>
      <c r="S358" s="419"/>
      <c r="T358" s="415"/>
      <c r="U358" s="415"/>
      <c r="V358" s="415"/>
      <c r="W358" s="415"/>
      <c r="X358" s="415"/>
      <c r="Y358" s="415"/>
      <c r="Z358" s="415"/>
      <c r="AA358" s="415"/>
      <c r="AB358" s="415"/>
      <c r="AC358" s="415"/>
      <c r="AD358" s="415"/>
    </row>
    <row r="359" spans="1:30" s="378" customFormat="1">
      <c r="A359" s="454" t="s">
        <v>582</v>
      </c>
      <c r="B359" s="394" t="s">
        <v>618</v>
      </c>
      <c r="C359" s="517"/>
      <c r="D359" s="400"/>
      <c r="E359" s="400"/>
      <c r="F359" s="488" t="s">
        <v>615</v>
      </c>
      <c r="G359" s="488" t="s">
        <v>483</v>
      </c>
      <c r="H359" s="488" t="s">
        <v>484</v>
      </c>
      <c r="I359" s="488" t="s">
        <v>485</v>
      </c>
      <c r="J359" s="488" t="s">
        <v>486</v>
      </c>
      <c r="K359" s="488" t="s">
        <v>487</v>
      </c>
      <c r="L359" s="488" t="s">
        <v>488</v>
      </c>
      <c r="M359" s="488" t="s">
        <v>489</v>
      </c>
      <c r="N359" s="488" t="s">
        <v>490</v>
      </c>
      <c r="O359" s="488" t="s">
        <v>491</v>
      </c>
      <c r="P359" s="488" t="s">
        <v>492</v>
      </c>
      <c r="Q359" s="488" t="s">
        <v>493</v>
      </c>
      <c r="S359" s="488" t="s">
        <v>482</v>
      </c>
      <c r="T359" s="488" t="s">
        <v>483</v>
      </c>
      <c r="U359" s="488" t="s">
        <v>484</v>
      </c>
      <c r="V359" s="488" t="s">
        <v>485</v>
      </c>
      <c r="W359" s="488" t="s">
        <v>486</v>
      </c>
      <c r="X359" s="488" t="s">
        <v>487</v>
      </c>
      <c r="Y359" s="488" t="s">
        <v>488</v>
      </c>
      <c r="Z359" s="488" t="s">
        <v>489</v>
      </c>
      <c r="AA359" s="488" t="s">
        <v>490</v>
      </c>
      <c r="AB359" s="488" t="s">
        <v>491</v>
      </c>
      <c r="AC359" s="488" t="s">
        <v>492</v>
      </c>
      <c r="AD359" s="488" t="s">
        <v>493</v>
      </c>
    </row>
    <row r="360" spans="1:30" s="378" customFormat="1">
      <c r="A360" s="558">
        <v>1</v>
      </c>
      <c r="B360" s="570" t="s">
        <v>498</v>
      </c>
      <c r="C360" s="570" t="s">
        <v>499</v>
      </c>
      <c r="D360" s="569">
        <v>331</v>
      </c>
      <c r="E360" s="568"/>
      <c r="F360" s="581">
        <v>14941193345</v>
      </c>
      <c r="G360" s="564"/>
      <c r="H360" s="564">
        <v>13770000000</v>
      </c>
      <c r="I360" s="564">
        <v>13770000000</v>
      </c>
      <c r="J360" s="564">
        <v>13770000000</v>
      </c>
      <c r="K360" s="564">
        <v>23530862005</v>
      </c>
      <c r="L360" s="564">
        <v>1390843083</v>
      </c>
      <c r="M360" s="564">
        <v>1534377566</v>
      </c>
      <c r="N360" s="564">
        <v>143534483</v>
      </c>
      <c r="O360" s="564">
        <v>287068966</v>
      </c>
      <c r="P360" s="564">
        <v>143534483</v>
      </c>
      <c r="Q360" s="564">
        <v>1512521754</v>
      </c>
      <c r="S360" s="581">
        <v>1656056237</v>
      </c>
      <c r="T360" s="564">
        <v>1799590720</v>
      </c>
      <c r="U360" s="564">
        <v>143534483</v>
      </c>
      <c r="V360" s="564">
        <v>143534483</v>
      </c>
      <c r="W360" s="564">
        <v>7739534483</v>
      </c>
      <c r="X360" s="564">
        <v>143534483</v>
      </c>
      <c r="Y360" s="564"/>
      <c r="Z360" s="564"/>
      <c r="AA360" s="564"/>
      <c r="AB360" s="564"/>
      <c r="AC360" s="564"/>
      <c r="AD360" s="564"/>
    </row>
    <row r="361" spans="1:30" s="378" customFormat="1">
      <c r="A361" s="414"/>
      <c r="B361" s="495"/>
      <c r="C361" s="495"/>
      <c r="D361" s="458">
        <v>338</v>
      </c>
      <c r="E361" s="500"/>
      <c r="F361" s="542"/>
      <c r="G361" s="463"/>
      <c r="H361" s="463"/>
      <c r="I361" s="463"/>
      <c r="J361" s="463"/>
      <c r="K361" s="463"/>
      <c r="L361" s="463"/>
      <c r="M361" s="463"/>
      <c r="N361" s="463"/>
      <c r="O361" s="463"/>
      <c r="P361" s="463"/>
      <c r="Q361" s="463"/>
      <c r="S361" s="542"/>
      <c r="T361" s="463"/>
      <c r="U361" s="463"/>
      <c r="V361" s="463"/>
      <c r="W361" s="463"/>
      <c r="X361" s="463"/>
      <c r="Y361" s="463"/>
      <c r="Z361" s="463"/>
      <c r="AA361" s="463"/>
      <c r="AB361" s="463"/>
      <c r="AC361" s="463"/>
      <c r="AD361" s="463"/>
    </row>
    <row r="362" spans="1:30" s="378" customFormat="1">
      <c r="A362" s="558">
        <v>2</v>
      </c>
      <c r="B362" s="570" t="s">
        <v>509</v>
      </c>
      <c r="C362" s="570" t="s">
        <v>510</v>
      </c>
      <c r="D362" s="569">
        <v>331</v>
      </c>
      <c r="E362" s="568"/>
      <c r="F362" s="581"/>
      <c r="G362" s="564"/>
      <c r="H362" s="564"/>
      <c r="I362" s="564"/>
      <c r="J362" s="564"/>
      <c r="K362" s="564"/>
      <c r="L362" s="564"/>
      <c r="M362" s="564"/>
      <c r="N362" s="564"/>
      <c r="O362" s="564"/>
      <c r="P362" s="564"/>
      <c r="Q362" s="564"/>
      <c r="S362" s="581"/>
      <c r="T362" s="564"/>
      <c r="U362" s="564"/>
      <c r="V362" s="564"/>
      <c r="W362" s="564"/>
      <c r="X362" s="564"/>
      <c r="Y362" s="564"/>
      <c r="Z362" s="564"/>
      <c r="AA362" s="564"/>
      <c r="AB362" s="564"/>
      <c r="AC362" s="564"/>
      <c r="AD362" s="564"/>
    </row>
    <row r="363" spans="1:30" s="378" customFormat="1">
      <c r="A363" s="414"/>
      <c r="B363" s="495"/>
      <c r="C363" s="495"/>
      <c r="D363" s="458">
        <v>338</v>
      </c>
      <c r="E363" s="500"/>
      <c r="F363" s="542"/>
      <c r="G363" s="463"/>
      <c r="H363" s="463"/>
      <c r="I363" s="463"/>
      <c r="J363" s="463"/>
      <c r="K363" s="463"/>
      <c r="L363" s="463"/>
      <c r="M363" s="463"/>
      <c r="N363" s="463"/>
      <c r="O363" s="463"/>
      <c r="P363" s="463"/>
      <c r="Q363" s="463"/>
      <c r="S363" s="542"/>
      <c r="T363" s="463"/>
      <c r="U363" s="463"/>
      <c r="V363" s="463"/>
      <c r="W363" s="463"/>
      <c r="X363" s="463"/>
      <c r="Y363" s="463"/>
      <c r="Z363" s="463"/>
      <c r="AA363" s="463"/>
      <c r="AB363" s="463"/>
      <c r="AC363" s="463"/>
      <c r="AD363" s="463"/>
    </row>
    <row r="364" spans="1:30" s="378" customFormat="1">
      <c r="A364" s="558">
        <v>3</v>
      </c>
      <c r="B364" s="570" t="s">
        <v>515</v>
      </c>
      <c r="C364" s="570" t="s">
        <v>516</v>
      </c>
      <c r="D364" s="569">
        <v>331</v>
      </c>
      <c r="E364" s="568"/>
      <c r="F364" s="581">
        <v>1900961880</v>
      </c>
      <c r="G364" s="564">
        <v>4471450792</v>
      </c>
      <c r="H364" s="564">
        <v>3404532274</v>
      </c>
      <c r="I364" s="564">
        <v>2096366713</v>
      </c>
      <c r="J364" s="564">
        <v>3854967097</v>
      </c>
      <c r="K364" s="564">
        <v>2761990748</v>
      </c>
      <c r="L364" s="564"/>
      <c r="M364" s="564">
        <v>193241719</v>
      </c>
      <c r="N364" s="564">
        <v>351372328</v>
      </c>
      <c r="O364" s="564">
        <v>2285647821</v>
      </c>
      <c r="P364" s="564">
        <v>1690212778</v>
      </c>
      <c r="Q364" s="564"/>
      <c r="S364" s="581">
        <v>1497872250</v>
      </c>
      <c r="T364" s="564">
        <v>1361117282</v>
      </c>
      <c r="U364" s="564">
        <v>1212091020</v>
      </c>
      <c r="V364" s="564">
        <v>1409977394</v>
      </c>
      <c r="W364" s="564">
        <v>2761970702</v>
      </c>
      <c r="X364" s="564">
        <v>2499201000</v>
      </c>
      <c r="Y364" s="564"/>
      <c r="Z364" s="564"/>
      <c r="AA364" s="564"/>
      <c r="AB364" s="564"/>
      <c r="AC364" s="564"/>
      <c r="AD364" s="564"/>
    </row>
    <row r="365" spans="1:30" s="378" customFormat="1">
      <c r="A365" s="414"/>
      <c r="B365" s="495"/>
      <c r="C365" s="495"/>
      <c r="D365" s="458">
        <v>338</v>
      </c>
      <c r="E365" s="500"/>
      <c r="F365" s="542"/>
      <c r="G365" s="463"/>
      <c r="H365" s="463"/>
      <c r="I365" s="463"/>
      <c r="J365" s="463"/>
      <c r="K365" s="463"/>
      <c r="L365" s="463"/>
      <c r="M365" s="463"/>
      <c r="N365" s="463"/>
      <c r="O365" s="463"/>
      <c r="P365" s="463"/>
      <c r="Q365" s="463"/>
      <c r="S365" s="542"/>
      <c r="T365" s="463"/>
      <c r="U365" s="463"/>
      <c r="V365" s="463"/>
      <c r="W365" s="463"/>
      <c r="X365" s="463"/>
      <c r="Y365" s="463"/>
      <c r="Z365" s="463"/>
      <c r="AA365" s="463"/>
      <c r="AB365" s="463"/>
      <c r="AC365" s="463"/>
      <c r="AD365" s="463"/>
    </row>
    <row r="366" spans="1:30" s="378" customFormat="1">
      <c r="A366" s="558">
        <v>4</v>
      </c>
      <c r="B366" s="570" t="s">
        <v>518</v>
      </c>
      <c r="C366" s="570" t="s">
        <v>519</v>
      </c>
      <c r="D366" s="569">
        <v>331</v>
      </c>
      <c r="E366" s="568"/>
      <c r="F366" s="581">
        <v>624740061</v>
      </c>
      <c r="G366" s="564">
        <v>1592331685</v>
      </c>
      <c r="H366" s="564">
        <v>1660428913</v>
      </c>
      <c r="I366" s="564">
        <v>751518257</v>
      </c>
      <c r="J366" s="564">
        <v>1162962399</v>
      </c>
      <c r="K366" s="564">
        <v>700013132</v>
      </c>
      <c r="L366" s="564">
        <v>741100042</v>
      </c>
      <c r="M366" s="564">
        <v>638884855</v>
      </c>
      <c r="N366" s="564">
        <v>131365259</v>
      </c>
      <c r="O366" s="564">
        <v>1427085540</v>
      </c>
      <c r="P366" s="564">
        <v>1705247640</v>
      </c>
      <c r="Q366" s="564">
        <v>1352106540</v>
      </c>
      <c r="S366" s="581">
        <v>913880092</v>
      </c>
      <c r="T366" s="564">
        <v>1881969790</v>
      </c>
      <c r="U366" s="564">
        <v>2972149886</v>
      </c>
      <c r="V366" s="564">
        <v>2367061764</v>
      </c>
      <c r="W366" s="564">
        <v>3593965006</v>
      </c>
      <c r="X366" s="564">
        <v>2990399375</v>
      </c>
      <c r="Y366" s="564"/>
      <c r="Z366" s="564"/>
      <c r="AA366" s="564"/>
      <c r="AB366" s="564"/>
      <c r="AC366" s="564"/>
      <c r="AD366" s="564"/>
    </row>
    <row r="367" spans="1:30" s="378" customFormat="1">
      <c r="A367" s="414"/>
      <c r="B367" s="495"/>
      <c r="C367" s="495"/>
      <c r="D367" s="458">
        <v>338</v>
      </c>
      <c r="E367" s="500"/>
      <c r="F367" s="542"/>
      <c r="G367" s="463"/>
      <c r="H367" s="463"/>
      <c r="I367" s="463"/>
      <c r="J367" s="463"/>
      <c r="K367" s="463"/>
      <c r="L367" s="463"/>
      <c r="M367" s="463"/>
      <c r="N367" s="463"/>
      <c r="O367" s="463"/>
      <c r="P367" s="463"/>
      <c r="Q367" s="463"/>
      <c r="S367" s="542"/>
      <c r="T367" s="463"/>
      <c r="U367" s="463"/>
      <c r="V367" s="463"/>
      <c r="W367" s="463"/>
      <c r="X367" s="463"/>
      <c r="Y367" s="463"/>
      <c r="Z367" s="463"/>
      <c r="AA367" s="463"/>
      <c r="AB367" s="463"/>
      <c r="AC367" s="463"/>
      <c r="AD367" s="463"/>
    </row>
    <row r="368" spans="1:30" s="378" customFormat="1">
      <c r="A368" s="558">
        <v>5</v>
      </c>
      <c r="B368" s="570" t="s">
        <v>521</v>
      </c>
      <c r="C368" s="570" t="s">
        <v>522</v>
      </c>
      <c r="D368" s="569">
        <v>331</v>
      </c>
      <c r="E368" s="568"/>
      <c r="F368" s="581">
        <v>97050744</v>
      </c>
      <c r="G368" s="564">
        <v>564379901</v>
      </c>
      <c r="H368" s="564">
        <v>959417668</v>
      </c>
      <c r="I368" s="564">
        <v>805835898</v>
      </c>
      <c r="J368" s="564">
        <v>2248660211</v>
      </c>
      <c r="K368" s="564">
        <v>905393181</v>
      </c>
      <c r="L368" s="564">
        <v>905948197</v>
      </c>
      <c r="M368" s="564">
        <v>21469630</v>
      </c>
      <c r="N368" s="564">
        <v>502553255</v>
      </c>
      <c r="O368" s="564">
        <v>1440037055</v>
      </c>
      <c r="P368" s="564">
        <v>1712124540</v>
      </c>
      <c r="Q368" s="564">
        <v>1967294520</v>
      </c>
      <c r="S368" s="581">
        <v>130705920</v>
      </c>
      <c r="T368" s="564">
        <v>2136557371</v>
      </c>
      <c r="U368" s="564">
        <v>4506468999</v>
      </c>
      <c r="V368" s="564">
        <v>1945280816</v>
      </c>
      <c r="W368" s="564">
        <v>1482666995</v>
      </c>
      <c r="X368" s="564">
        <v>1943875984</v>
      </c>
      <c r="Y368" s="564"/>
      <c r="Z368" s="564"/>
      <c r="AA368" s="564"/>
      <c r="AB368" s="564"/>
      <c r="AC368" s="564"/>
      <c r="AD368" s="564"/>
    </row>
    <row r="369" spans="1:30" s="378" customFormat="1">
      <c r="A369" s="414"/>
      <c r="B369" s="495"/>
      <c r="C369" s="495"/>
      <c r="D369" s="458">
        <v>338</v>
      </c>
      <c r="E369" s="500"/>
      <c r="F369" s="542"/>
      <c r="G369" s="463"/>
      <c r="H369" s="463"/>
      <c r="I369" s="463"/>
      <c r="J369" s="463"/>
      <c r="K369" s="463"/>
      <c r="L369" s="463"/>
      <c r="M369" s="463"/>
      <c r="N369" s="463"/>
      <c r="O369" s="463"/>
      <c r="P369" s="463"/>
      <c r="Q369" s="463"/>
      <c r="S369" s="542"/>
      <c r="T369" s="463"/>
      <c r="U369" s="463"/>
      <c r="V369" s="463"/>
      <c r="W369" s="463"/>
      <c r="X369" s="463"/>
      <c r="Y369" s="463"/>
      <c r="Z369" s="463"/>
      <c r="AA369" s="463"/>
      <c r="AB369" s="463"/>
      <c r="AC369" s="463"/>
      <c r="AD369" s="463"/>
    </row>
    <row r="370" spans="1:30" s="378" customFormat="1">
      <c r="A370" s="558">
        <v>6</v>
      </c>
      <c r="B370" s="570" t="s">
        <v>524</v>
      </c>
      <c r="C370" s="570" t="s">
        <v>525</v>
      </c>
      <c r="D370" s="569">
        <v>331</v>
      </c>
      <c r="E370" s="568"/>
      <c r="F370" s="581"/>
      <c r="G370" s="564"/>
      <c r="H370" s="564"/>
      <c r="I370" s="564"/>
      <c r="J370" s="564"/>
      <c r="K370" s="564"/>
      <c r="L370" s="564"/>
      <c r="M370" s="564"/>
      <c r="N370" s="564"/>
      <c r="O370" s="564"/>
      <c r="P370" s="564"/>
      <c r="Q370" s="564"/>
      <c r="S370" s="581"/>
      <c r="T370" s="564"/>
      <c r="U370" s="564"/>
      <c r="V370" s="564"/>
      <c r="W370" s="564"/>
      <c r="X370" s="564"/>
      <c r="Y370" s="564"/>
      <c r="Z370" s="564"/>
      <c r="AA370" s="564"/>
      <c r="AB370" s="564"/>
      <c r="AC370" s="564"/>
      <c r="AD370" s="564"/>
    </row>
    <row r="371" spans="1:30" s="378" customFormat="1">
      <c r="A371" s="414"/>
      <c r="B371" s="495"/>
      <c r="C371" s="495"/>
      <c r="D371" s="458">
        <v>338</v>
      </c>
      <c r="E371" s="415"/>
      <c r="F371" s="542"/>
      <c r="G371" s="463"/>
      <c r="H371" s="463"/>
      <c r="I371" s="463"/>
      <c r="J371" s="463"/>
      <c r="K371" s="463"/>
      <c r="L371" s="463"/>
      <c r="M371" s="463"/>
      <c r="N371" s="463"/>
      <c r="O371" s="463"/>
      <c r="P371" s="463"/>
      <c r="Q371" s="463"/>
      <c r="S371" s="542"/>
      <c r="T371" s="463"/>
      <c r="U371" s="463"/>
      <c r="V371" s="463"/>
      <c r="W371" s="463"/>
      <c r="X371" s="463"/>
      <c r="Y371" s="463"/>
      <c r="Z371" s="463"/>
      <c r="AA371" s="463"/>
      <c r="AB371" s="463"/>
      <c r="AC371" s="463"/>
      <c r="AD371" s="463"/>
    </row>
    <row r="372" spans="1:30" s="378" customFormat="1">
      <c r="A372" s="558">
        <v>7</v>
      </c>
      <c r="B372" s="560" t="s">
        <v>528</v>
      </c>
      <c r="C372" s="560" t="s">
        <v>529</v>
      </c>
      <c r="D372" s="569">
        <v>331</v>
      </c>
      <c r="E372" s="582"/>
      <c r="F372" s="581"/>
      <c r="G372" s="564"/>
      <c r="H372" s="564"/>
      <c r="I372" s="564"/>
      <c r="J372" s="564"/>
      <c r="K372" s="564"/>
      <c r="L372" s="564"/>
      <c r="M372" s="564"/>
      <c r="N372" s="564"/>
      <c r="O372" s="564"/>
      <c r="P372" s="564"/>
      <c r="Q372" s="564"/>
      <c r="S372" s="581"/>
      <c r="T372" s="564"/>
      <c r="U372" s="564"/>
      <c r="V372" s="564"/>
      <c r="W372" s="564"/>
      <c r="X372" s="564"/>
      <c r="Y372" s="564"/>
      <c r="Z372" s="564"/>
      <c r="AA372" s="564"/>
      <c r="AB372" s="564"/>
      <c r="AC372" s="564"/>
      <c r="AD372" s="564"/>
    </row>
    <row r="373" spans="1:30" s="378" customFormat="1">
      <c r="A373" s="414"/>
      <c r="B373" s="495"/>
      <c r="C373" s="495"/>
      <c r="D373" s="458">
        <v>338</v>
      </c>
      <c r="E373" s="501"/>
      <c r="F373" s="542"/>
      <c r="G373" s="463"/>
      <c r="H373" s="463"/>
      <c r="I373" s="463"/>
      <c r="J373" s="463"/>
      <c r="K373" s="463"/>
      <c r="L373" s="463"/>
      <c r="M373" s="463"/>
      <c r="N373" s="463"/>
      <c r="O373" s="463"/>
      <c r="P373" s="463"/>
      <c r="Q373" s="463"/>
      <c r="S373" s="542"/>
      <c r="T373" s="463"/>
      <c r="U373" s="463"/>
      <c r="V373" s="463"/>
      <c r="W373" s="463"/>
      <c r="X373" s="463"/>
      <c r="Y373" s="463"/>
      <c r="Z373" s="463"/>
      <c r="AA373" s="463"/>
      <c r="AB373" s="463"/>
      <c r="AC373" s="463"/>
      <c r="AD373" s="463"/>
    </row>
    <row r="374" spans="1:30" s="378" customFormat="1">
      <c r="A374" s="558">
        <v>8</v>
      </c>
      <c r="B374" s="570" t="s">
        <v>530</v>
      </c>
      <c r="C374" s="570" t="s">
        <v>531</v>
      </c>
      <c r="D374" s="569">
        <v>331</v>
      </c>
      <c r="E374" s="568"/>
      <c r="F374" s="581"/>
      <c r="G374" s="564"/>
      <c r="H374" s="564"/>
      <c r="I374" s="564"/>
      <c r="J374" s="564"/>
      <c r="K374" s="564"/>
      <c r="L374" s="564">
        <v>14580000</v>
      </c>
      <c r="M374" s="564"/>
      <c r="N374" s="564"/>
      <c r="O374" s="564"/>
      <c r="P374" s="564"/>
      <c r="Q374" s="564"/>
      <c r="S374" s="581"/>
      <c r="T374" s="564">
        <v>29160000</v>
      </c>
      <c r="U374" s="564"/>
      <c r="V374" s="564"/>
      <c r="W374" s="564"/>
      <c r="X374" s="564"/>
      <c r="Y374" s="564"/>
      <c r="Z374" s="564"/>
      <c r="AA374" s="564"/>
      <c r="AB374" s="564"/>
      <c r="AC374" s="564"/>
      <c r="AD374" s="564"/>
    </row>
    <row r="375" spans="1:30" s="378" customFormat="1">
      <c r="A375" s="414"/>
      <c r="B375" s="495"/>
      <c r="C375" s="495"/>
      <c r="D375" s="458">
        <v>338</v>
      </c>
      <c r="E375" s="500"/>
      <c r="F375" s="542"/>
      <c r="G375" s="463"/>
      <c r="H375" s="463"/>
      <c r="I375" s="463"/>
      <c r="J375" s="463"/>
      <c r="K375" s="463"/>
      <c r="L375" s="463"/>
      <c r="M375" s="463"/>
      <c r="N375" s="463"/>
      <c r="O375" s="463"/>
      <c r="P375" s="463"/>
      <c r="Q375" s="463"/>
      <c r="S375" s="542"/>
      <c r="T375" s="463"/>
      <c r="U375" s="463"/>
      <c r="V375" s="463"/>
      <c r="W375" s="463"/>
      <c r="X375" s="463"/>
      <c r="Y375" s="463"/>
      <c r="Z375" s="463"/>
      <c r="AA375" s="463"/>
      <c r="AB375" s="463"/>
      <c r="AC375" s="463"/>
      <c r="AD375" s="463"/>
    </row>
    <row r="376" spans="1:30" s="378" customFormat="1">
      <c r="A376" s="558">
        <v>9</v>
      </c>
      <c r="B376" s="570" t="s">
        <v>533</v>
      </c>
      <c r="C376" s="570" t="s">
        <v>534</v>
      </c>
      <c r="D376" s="569">
        <v>331</v>
      </c>
      <c r="E376" s="568"/>
      <c r="F376" s="581"/>
      <c r="G376" s="564"/>
      <c r="H376" s="564"/>
      <c r="I376" s="564"/>
      <c r="J376" s="564"/>
      <c r="K376" s="564"/>
      <c r="L376" s="564"/>
      <c r="M376" s="564"/>
      <c r="N376" s="564"/>
      <c r="O376" s="564"/>
      <c r="P376" s="564"/>
      <c r="Q376" s="564"/>
      <c r="S376" s="581"/>
      <c r="T376" s="564"/>
      <c r="U376" s="564"/>
      <c r="V376" s="564"/>
      <c r="W376" s="564"/>
      <c r="X376" s="564"/>
      <c r="Y376" s="564"/>
      <c r="Z376" s="564"/>
      <c r="AA376" s="564"/>
      <c r="AB376" s="564"/>
      <c r="AC376" s="564"/>
      <c r="AD376" s="564"/>
    </row>
    <row r="377" spans="1:30" s="378" customFormat="1">
      <c r="A377" s="414"/>
      <c r="B377" s="495"/>
      <c r="C377" s="495"/>
      <c r="D377" s="458">
        <v>338</v>
      </c>
      <c r="E377" s="500"/>
      <c r="F377" s="542"/>
      <c r="G377" s="463"/>
      <c r="H377" s="463"/>
      <c r="I377" s="463"/>
      <c r="J377" s="463"/>
      <c r="K377" s="463"/>
      <c r="L377" s="463"/>
      <c r="M377" s="463"/>
      <c r="N377" s="463"/>
      <c r="O377" s="463"/>
      <c r="P377" s="463"/>
      <c r="Q377" s="463"/>
      <c r="S377" s="542"/>
      <c r="T377" s="463"/>
      <c r="U377" s="463"/>
      <c r="V377" s="463"/>
      <c r="W377" s="463"/>
      <c r="X377" s="463"/>
      <c r="Y377" s="463"/>
      <c r="Z377" s="463"/>
      <c r="AA377" s="463"/>
      <c r="AB377" s="463"/>
      <c r="AC377" s="463"/>
      <c r="AD377" s="463"/>
    </row>
    <row r="378" spans="1:30" s="378" customFormat="1">
      <c r="A378" s="558">
        <v>10</v>
      </c>
      <c r="B378" s="570" t="s">
        <v>535</v>
      </c>
      <c r="C378" s="570" t="s">
        <v>536</v>
      </c>
      <c r="D378" s="569">
        <v>331</v>
      </c>
      <c r="E378" s="568"/>
      <c r="F378" s="581"/>
      <c r="G378" s="564"/>
      <c r="H378" s="564"/>
      <c r="I378" s="564"/>
      <c r="J378" s="564"/>
      <c r="K378" s="564"/>
      <c r="L378" s="564"/>
      <c r="M378" s="564"/>
      <c r="N378" s="564"/>
      <c r="O378" s="564"/>
      <c r="P378" s="564"/>
      <c r="Q378" s="564"/>
      <c r="S378" s="581"/>
      <c r="T378" s="564"/>
      <c r="U378" s="564"/>
      <c r="V378" s="564"/>
      <c r="W378" s="564"/>
      <c r="X378" s="564"/>
      <c r="Y378" s="564"/>
      <c r="Z378" s="564"/>
      <c r="AA378" s="564"/>
      <c r="AB378" s="564"/>
      <c r="AC378" s="564"/>
      <c r="AD378" s="564"/>
    </row>
    <row r="379" spans="1:30" s="378" customFormat="1">
      <c r="A379" s="414"/>
      <c r="B379" s="495"/>
      <c r="C379" s="495"/>
      <c r="D379" s="458">
        <v>338</v>
      </c>
      <c r="E379" s="500"/>
      <c r="F379" s="542"/>
      <c r="G379" s="463"/>
      <c r="H379" s="463"/>
      <c r="I379" s="463"/>
      <c r="J379" s="463"/>
      <c r="K379" s="463"/>
      <c r="L379" s="463"/>
      <c r="M379" s="463"/>
      <c r="N379" s="463"/>
      <c r="O379" s="463"/>
      <c r="P379" s="463"/>
      <c r="Q379" s="463"/>
      <c r="S379" s="542"/>
      <c r="T379" s="463"/>
      <c r="U379" s="463"/>
      <c r="V379" s="463"/>
      <c r="W379" s="463"/>
      <c r="X379" s="463"/>
      <c r="Y379" s="463"/>
      <c r="Z379" s="463"/>
      <c r="AA379" s="463"/>
      <c r="AB379" s="463"/>
      <c r="AC379" s="463"/>
      <c r="AD379" s="463"/>
    </row>
    <row r="380" spans="1:30" s="378" customFormat="1">
      <c r="A380" s="558">
        <v>11</v>
      </c>
      <c r="B380" s="570" t="s">
        <v>537</v>
      </c>
      <c r="C380" s="570" t="s">
        <v>538</v>
      </c>
      <c r="D380" s="569">
        <v>331</v>
      </c>
      <c r="E380" s="568"/>
      <c r="F380" s="581"/>
      <c r="G380" s="564"/>
      <c r="H380" s="564"/>
      <c r="I380" s="564"/>
      <c r="J380" s="564">
        <v>7725240</v>
      </c>
      <c r="K380" s="564">
        <v>1328075560</v>
      </c>
      <c r="L380" s="564"/>
      <c r="M380" s="564"/>
      <c r="N380" s="564"/>
      <c r="O380" s="564"/>
      <c r="P380" s="564">
        <v>1388420000</v>
      </c>
      <c r="Q380" s="564">
        <v>202000000</v>
      </c>
      <c r="S380" s="581">
        <v>202000000</v>
      </c>
      <c r="T380" s="564"/>
      <c r="U380" s="564"/>
      <c r="V380" s="564"/>
      <c r="W380" s="564">
        <v>88000000</v>
      </c>
      <c r="X380" s="564"/>
      <c r="Y380" s="564"/>
      <c r="Z380" s="564"/>
      <c r="AA380" s="564"/>
      <c r="AB380" s="564"/>
      <c r="AC380" s="564"/>
      <c r="AD380" s="564"/>
    </row>
    <row r="381" spans="1:30" s="378" customFormat="1">
      <c r="A381" s="414"/>
      <c r="B381" s="495"/>
      <c r="C381" s="495"/>
      <c r="D381" s="458">
        <v>338</v>
      </c>
      <c r="E381" s="500"/>
      <c r="F381" s="542"/>
      <c r="G381" s="463"/>
      <c r="H381" s="463"/>
      <c r="I381" s="463"/>
      <c r="J381" s="463"/>
      <c r="K381" s="463"/>
      <c r="L381" s="463"/>
      <c r="M381" s="463"/>
      <c r="N381" s="463"/>
      <c r="O381" s="463"/>
      <c r="P381" s="463"/>
      <c r="Q381" s="463"/>
      <c r="S381" s="542"/>
      <c r="T381" s="463"/>
      <c r="U381" s="463"/>
      <c r="V381" s="463"/>
      <c r="W381" s="463"/>
      <c r="X381" s="463"/>
      <c r="Y381" s="463"/>
      <c r="Z381" s="463"/>
      <c r="AA381" s="463"/>
      <c r="AB381" s="463"/>
      <c r="AC381" s="463"/>
      <c r="AD381" s="463"/>
    </row>
    <row r="382" spans="1:30" s="378" customFormat="1">
      <c r="A382" s="558">
        <v>12</v>
      </c>
      <c r="B382" s="570" t="s">
        <v>539</v>
      </c>
      <c r="C382" s="570" t="s">
        <v>540</v>
      </c>
      <c r="D382" s="569">
        <v>331</v>
      </c>
      <c r="E382" s="568"/>
      <c r="F382" s="581"/>
      <c r="G382" s="564"/>
      <c r="H382" s="564"/>
      <c r="I382" s="564"/>
      <c r="J382" s="564"/>
      <c r="K382" s="564"/>
      <c r="L382" s="564"/>
      <c r="M382" s="564"/>
      <c r="N382" s="564"/>
      <c r="O382" s="564"/>
      <c r="P382" s="564"/>
      <c r="Q382" s="564"/>
      <c r="S382" s="581"/>
      <c r="T382" s="564"/>
      <c r="U382" s="564"/>
      <c r="V382" s="564"/>
      <c r="W382" s="564"/>
      <c r="X382" s="564"/>
      <c r="Y382" s="564"/>
      <c r="Z382" s="564"/>
      <c r="AA382" s="564"/>
      <c r="AB382" s="564"/>
      <c r="AC382" s="564"/>
      <c r="AD382" s="564"/>
    </row>
    <row r="383" spans="1:30" s="378" customFormat="1">
      <c r="A383" s="414"/>
      <c r="B383" s="495"/>
      <c r="C383" s="495"/>
      <c r="D383" s="458">
        <v>338</v>
      </c>
      <c r="E383" s="500"/>
      <c r="F383" s="542"/>
      <c r="G383" s="463"/>
      <c r="H383" s="463"/>
      <c r="I383" s="463"/>
      <c r="J383" s="463"/>
      <c r="K383" s="463"/>
      <c r="L383" s="463"/>
      <c r="M383" s="463"/>
      <c r="N383" s="463"/>
      <c r="O383" s="463"/>
      <c r="P383" s="463"/>
      <c r="Q383" s="463"/>
      <c r="S383" s="542"/>
      <c r="T383" s="463"/>
      <c r="U383" s="463"/>
      <c r="V383" s="463"/>
      <c r="W383" s="463"/>
      <c r="X383" s="463"/>
      <c r="Y383" s="463"/>
      <c r="Z383" s="463"/>
      <c r="AA383" s="463"/>
      <c r="AB383" s="463"/>
      <c r="AC383" s="463"/>
      <c r="AD383" s="463"/>
    </row>
    <row r="384" spans="1:30" s="378" customFormat="1">
      <c r="A384" s="558">
        <v>13</v>
      </c>
      <c r="B384" s="570" t="s">
        <v>541</v>
      </c>
      <c r="C384" s="570" t="s">
        <v>542</v>
      </c>
      <c r="D384" s="569">
        <v>331</v>
      </c>
      <c r="E384" s="568"/>
      <c r="F384" s="581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S384" s="581"/>
      <c r="T384" s="564"/>
      <c r="U384" s="564"/>
      <c r="V384" s="564"/>
      <c r="W384" s="564"/>
      <c r="X384" s="564"/>
      <c r="Y384" s="564"/>
      <c r="Z384" s="564"/>
      <c r="AA384" s="564"/>
      <c r="AB384" s="564"/>
      <c r="AC384" s="564"/>
      <c r="AD384" s="564"/>
    </row>
    <row r="385" spans="1:30" s="378" customFormat="1">
      <c r="A385" s="414"/>
      <c r="B385" s="495"/>
      <c r="C385" s="495"/>
      <c r="D385" s="458">
        <v>338</v>
      </c>
      <c r="E385" s="500"/>
      <c r="F385" s="542"/>
      <c r="G385" s="463"/>
      <c r="H385" s="463"/>
      <c r="I385" s="463"/>
      <c r="J385" s="463"/>
      <c r="K385" s="463"/>
      <c r="L385" s="463"/>
      <c r="M385" s="463"/>
      <c r="N385" s="463"/>
      <c r="O385" s="463"/>
      <c r="P385" s="463"/>
      <c r="Q385" s="463"/>
      <c r="S385" s="542"/>
      <c r="T385" s="463"/>
      <c r="U385" s="463"/>
      <c r="V385" s="463"/>
      <c r="W385" s="463"/>
      <c r="X385" s="463"/>
      <c r="Y385" s="463"/>
      <c r="Z385" s="463"/>
      <c r="AA385" s="463"/>
      <c r="AB385" s="463"/>
      <c r="AC385" s="463"/>
      <c r="AD385" s="463"/>
    </row>
    <row r="386" spans="1:30" s="378" customFormat="1">
      <c r="A386" s="558">
        <v>14</v>
      </c>
      <c r="B386" s="570" t="s">
        <v>543</v>
      </c>
      <c r="C386" s="570" t="s">
        <v>544</v>
      </c>
      <c r="D386" s="569">
        <v>331</v>
      </c>
      <c r="E386" s="568"/>
      <c r="F386" s="581"/>
      <c r="G386" s="564"/>
      <c r="H386" s="564"/>
      <c r="I386" s="564"/>
      <c r="J386" s="564"/>
      <c r="K386" s="564"/>
      <c r="L386" s="564"/>
      <c r="M386" s="564"/>
      <c r="N386" s="564"/>
      <c r="O386" s="564"/>
      <c r="P386" s="564"/>
      <c r="Q386" s="564"/>
      <c r="S386" s="581"/>
      <c r="T386" s="564"/>
      <c r="U386" s="564"/>
      <c r="V386" s="564"/>
      <c r="W386" s="564"/>
      <c r="X386" s="564"/>
      <c r="Y386" s="564"/>
      <c r="Z386" s="564"/>
      <c r="AA386" s="564"/>
      <c r="AB386" s="564"/>
      <c r="AC386" s="564"/>
      <c r="AD386" s="564"/>
    </row>
    <row r="387" spans="1:30" s="378" customFormat="1">
      <c r="A387" s="414"/>
      <c r="B387" s="495"/>
      <c r="C387" s="495"/>
      <c r="D387" s="458">
        <v>338</v>
      </c>
      <c r="E387" s="500"/>
      <c r="F387" s="542"/>
      <c r="G387" s="463"/>
      <c r="H387" s="463"/>
      <c r="I387" s="463"/>
      <c r="J387" s="463"/>
      <c r="K387" s="463"/>
      <c r="L387" s="463"/>
      <c r="M387" s="463"/>
      <c r="N387" s="463"/>
      <c r="O387" s="463"/>
      <c r="P387" s="463"/>
      <c r="Q387" s="463"/>
      <c r="S387" s="542"/>
      <c r="T387" s="463"/>
      <c r="U387" s="463"/>
      <c r="V387" s="463"/>
      <c r="W387" s="463"/>
      <c r="X387" s="463"/>
      <c r="Y387" s="463"/>
      <c r="Z387" s="463"/>
      <c r="AA387" s="463"/>
      <c r="AB387" s="463"/>
      <c r="AC387" s="463"/>
      <c r="AD387" s="463"/>
    </row>
    <row r="388" spans="1:30" s="378" customFormat="1">
      <c r="A388" s="558">
        <v>15</v>
      </c>
      <c r="B388" s="570" t="s">
        <v>545</v>
      </c>
      <c r="C388" s="570" t="s">
        <v>546</v>
      </c>
      <c r="D388" s="569">
        <v>331</v>
      </c>
      <c r="E388" s="568"/>
      <c r="F388" s="581"/>
      <c r="G388" s="564"/>
      <c r="H388" s="564"/>
      <c r="I388" s="564"/>
      <c r="J388" s="564">
        <v>1849999923</v>
      </c>
      <c r="K388" s="564"/>
      <c r="L388" s="564"/>
      <c r="M388" s="564"/>
      <c r="N388" s="564"/>
      <c r="O388" s="564"/>
      <c r="P388" s="564"/>
      <c r="Q388" s="564"/>
      <c r="S388" s="581"/>
      <c r="T388" s="564"/>
      <c r="U388" s="564">
        <v>3850000000</v>
      </c>
      <c r="V388" s="564">
        <v>7700000000</v>
      </c>
      <c r="W388" s="564">
        <v>11550000000</v>
      </c>
      <c r="X388" s="564">
        <v>3850000000</v>
      </c>
      <c r="Y388" s="564"/>
      <c r="Z388" s="564"/>
      <c r="AA388" s="564"/>
      <c r="AB388" s="564"/>
      <c r="AC388" s="564"/>
      <c r="AD388" s="564"/>
    </row>
    <row r="389" spans="1:30" s="378" customFormat="1">
      <c r="A389" s="414"/>
      <c r="B389" s="495"/>
      <c r="C389" s="495"/>
      <c r="D389" s="458">
        <v>338</v>
      </c>
      <c r="E389" s="500"/>
      <c r="F389" s="542"/>
      <c r="G389" s="463"/>
      <c r="H389" s="463"/>
      <c r="I389" s="463"/>
      <c r="J389" s="463"/>
      <c r="K389" s="463"/>
      <c r="L389" s="463"/>
      <c r="M389" s="463"/>
      <c r="N389" s="463"/>
      <c r="O389" s="463"/>
      <c r="P389" s="463"/>
      <c r="Q389" s="463"/>
      <c r="S389" s="542"/>
      <c r="T389" s="463"/>
      <c r="U389" s="463"/>
      <c r="V389" s="463"/>
      <c r="W389" s="463"/>
      <c r="X389" s="463"/>
      <c r="Y389" s="463"/>
      <c r="Z389" s="463"/>
      <c r="AA389" s="463"/>
      <c r="AB389" s="463"/>
      <c r="AC389" s="463"/>
      <c r="AD389" s="463"/>
    </row>
    <row r="390" spans="1:30" s="378" customFormat="1">
      <c r="A390" s="558">
        <v>16</v>
      </c>
      <c r="B390" s="570" t="s">
        <v>547</v>
      </c>
      <c r="C390" s="570" t="s">
        <v>548</v>
      </c>
      <c r="D390" s="569">
        <v>331</v>
      </c>
      <c r="E390" s="568"/>
      <c r="F390" s="581">
        <v>161100000</v>
      </c>
      <c r="G390" s="564">
        <v>86400000</v>
      </c>
      <c r="H390" s="564">
        <v>144720000</v>
      </c>
      <c r="I390" s="564">
        <v>144720000</v>
      </c>
      <c r="J390" s="564">
        <v>172800000</v>
      </c>
      <c r="K390" s="564">
        <v>172800000</v>
      </c>
      <c r="L390" s="564">
        <v>172800000</v>
      </c>
      <c r="M390" s="564">
        <v>172800000</v>
      </c>
      <c r="N390" s="564">
        <v>172800000</v>
      </c>
      <c r="O390" s="564">
        <v>172800000</v>
      </c>
      <c r="P390" s="564">
        <v>172800000</v>
      </c>
      <c r="Q390" s="564">
        <v>172800000</v>
      </c>
      <c r="S390" s="581">
        <v>172800000</v>
      </c>
      <c r="T390" s="564">
        <v>172800000</v>
      </c>
      <c r="U390" s="564">
        <v>172800000</v>
      </c>
      <c r="V390" s="564">
        <v>219760000</v>
      </c>
      <c r="W390" s="564">
        <v>176000000</v>
      </c>
      <c r="X390" s="564">
        <v>176000000</v>
      </c>
      <c r="Y390" s="564"/>
      <c r="Z390" s="564"/>
      <c r="AA390" s="564"/>
      <c r="AB390" s="564"/>
      <c r="AC390" s="564"/>
      <c r="AD390" s="564"/>
    </row>
    <row r="391" spans="1:30" s="378" customFormat="1">
      <c r="A391" s="414"/>
      <c r="B391" s="495"/>
      <c r="C391" s="495"/>
      <c r="D391" s="458">
        <v>338</v>
      </c>
      <c r="E391" s="500"/>
      <c r="F391" s="542"/>
      <c r="G391" s="463"/>
      <c r="H391" s="463"/>
      <c r="I391" s="463"/>
      <c r="J391" s="463"/>
      <c r="K391" s="463"/>
      <c r="L391" s="463"/>
      <c r="M391" s="463"/>
      <c r="N391" s="463"/>
      <c r="O391" s="463"/>
      <c r="P391" s="463"/>
      <c r="Q391" s="463"/>
      <c r="S391" s="542"/>
      <c r="T391" s="463"/>
      <c r="U391" s="463"/>
      <c r="V391" s="463"/>
      <c r="W391" s="463"/>
      <c r="X391" s="463"/>
      <c r="Y391" s="463"/>
      <c r="Z391" s="463"/>
      <c r="AA391" s="463"/>
      <c r="AB391" s="463"/>
      <c r="AC391" s="463"/>
      <c r="AD391" s="463"/>
    </row>
    <row r="392" spans="1:30" s="378" customFormat="1">
      <c r="A392" s="558">
        <v>17</v>
      </c>
      <c r="B392" s="570" t="s">
        <v>549</v>
      </c>
      <c r="C392" s="570" t="s">
        <v>550</v>
      </c>
      <c r="D392" s="569">
        <v>331</v>
      </c>
      <c r="E392" s="568"/>
      <c r="F392" s="581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S392" s="581"/>
      <c r="T392" s="564"/>
      <c r="U392" s="564"/>
      <c r="V392" s="564"/>
      <c r="W392" s="564"/>
      <c r="X392" s="564"/>
      <c r="Y392" s="564"/>
      <c r="Z392" s="564"/>
      <c r="AA392" s="564"/>
      <c r="AB392" s="564"/>
      <c r="AC392" s="564"/>
      <c r="AD392" s="564"/>
    </row>
    <row r="393" spans="1:30" s="378" customFormat="1">
      <c r="A393" s="414"/>
      <c r="B393" s="495"/>
      <c r="C393" s="495"/>
      <c r="D393" s="458">
        <v>338</v>
      </c>
      <c r="E393" s="500"/>
      <c r="F393" s="542"/>
      <c r="G393" s="463"/>
      <c r="H393" s="463"/>
      <c r="I393" s="463"/>
      <c r="J393" s="463"/>
      <c r="K393" s="463"/>
      <c r="L393" s="463"/>
      <c r="M393" s="463"/>
      <c r="N393" s="463"/>
      <c r="O393" s="463"/>
      <c r="P393" s="463"/>
      <c r="Q393" s="463"/>
      <c r="S393" s="542"/>
      <c r="T393" s="463"/>
      <c r="U393" s="463"/>
      <c r="V393" s="463"/>
      <c r="W393" s="463"/>
      <c r="X393" s="463"/>
      <c r="Y393" s="463"/>
      <c r="Z393" s="463"/>
      <c r="AA393" s="463"/>
      <c r="AB393" s="463"/>
      <c r="AC393" s="463"/>
      <c r="AD393" s="463"/>
    </row>
    <row r="394" spans="1:30" s="378" customFormat="1">
      <c r="A394" s="558">
        <v>18</v>
      </c>
      <c r="B394" s="570" t="s">
        <v>551</v>
      </c>
      <c r="C394" s="570" t="s">
        <v>552</v>
      </c>
      <c r="D394" s="569">
        <v>331</v>
      </c>
      <c r="E394" s="568"/>
      <c r="F394" s="581"/>
      <c r="G394" s="564"/>
      <c r="H394" s="564"/>
      <c r="I394" s="564"/>
      <c r="J394" s="564"/>
      <c r="K394" s="564"/>
      <c r="L394" s="564"/>
      <c r="M394" s="564"/>
      <c r="N394" s="564"/>
      <c r="O394" s="564"/>
      <c r="P394" s="564"/>
      <c r="Q394" s="564"/>
      <c r="S394" s="581"/>
      <c r="T394" s="564"/>
      <c r="U394" s="564"/>
      <c r="V394" s="564"/>
      <c r="W394" s="564"/>
      <c r="X394" s="564"/>
      <c r="Y394" s="564"/>
      <c r="Z394" s="564"/>
      <c r="AA394" s="564"/>
      <c r="AB394" s="564"/>
      <c r="AC394" s="564"/>
      <c r="AD394" s="564"/>
    </row>
    <row r="395" spans="1:30" s="378" customFormat="1">
      <c r="A395" s="414"/>
      <c r="B395" s="495"/>
      <c r="C395" s="495"/>
      <c r="D395" s="458">
        <v>338</v>
      </c>
      <c r="E395" s="500"/>
      <c r="F395" s="542"/>
      <c r="G395" s="463"/>
      <c r="H395" s="463"/>
      <c r="I395" s="463"/>
      <c r="J395" s="463"/>
      <c r="K395" s="463"/>
      <c r="L395" s="463"/>
      <c r="M395" s="463"/>
      <c r="N395" s="463"/>
      <c r="O395" s="463"/>
      <c r="P395" s="463"/>
      <c r="Q395" s="463"/>
      <c r="S395" s="542"/>
      <c r="T395" s="463"/>
      <c r="U395" s="463"/>
      <c r="V395" s="463"/>
      <c r="W395" s="463"/>
      <c r="X395" s="463"/>
      <c r="Y395" s="463"/>
      <c r="Z395" s="463"/>
      <c r="AA395" s="463"/>
      <c r="AB395" s="463"/>
      <c r="AC395" s="463"/>
      <c r="AD395" s="463"/>
    </row>
    <row r="396" spans="1:30" s="378" customFormat="1">
      <c r="A396" s="558">
        <v>19</v>
      </c>
      <c r="B396" s="560" t="s">
        <v>553</v>
      </c>
      <c r="C396" s="560" t="s">
        <v>554</v>
      </c>
      <c r="D396" s="569">
        <v>331</v>
      </c>
      <c r="E396" s="568"/>
      <c r="F396" s="581"/>
      <c r="G396" s="564"/>
      <c r="H396" s="564"/>
      <c r="I396" s="564"/>
      <c r="J396" s="564"/>
      <c r="K396" s="564"/>
      <c r="L396" s="564"/>
      <c r="M396" s="564"/>
      <c r="N396" s="564"/>
      <c r="O396" s="564"/>
      <c r="P396" s="564"/>
      <c r="Q396" s="564"/>
      <c r="S396" s="581"/>
      <c r="T396" s="564"/>
      <c r="U396" s="564"/>
      <c r="V396" s="564"/>
      <c r="W396" s="564"/>
      <c r="X396" s="564"/>
      <c r="Y396" s="564"/>
      <c r="Z396" s="564"/>
      <c r="AA396" s="564"/>
      <c r="AB396" s="564"/>
      <c r="AC396" s="564"/>
      <c r="AD396" s="564"/>
    </row>
    <row r="397" spans="1:30" s="378" customFormat="1">
      <c r="A397" s="414"/>
      <c r="B397" s="495"/>
      <c r="C397" s="495"/>
      <c r="D397" s="458">
        <v>338</v>
      </c>
      <c r="E397" s="500"/>
      <c r="F397" s="542"/>
      <c r="G397" s="463"/>
      <c r="H397" s="463"/>
      <c r="I397" s="463"/>
      <c r="J397" s="463"/>
      <c r="K397" s="463"/>
      <c r="L397" s="463"/>
      <c r="M397" s="463"/>
      <c r="N397" s="463"/>
      <c r="O397" s="463"/>
      <c r="P397" s="463"/>
      <c r="Q397" s="463"/>
      <c r="S397" s="542"/>
      <c r="T397" s="463"/>
      <c r="U397" s="463"/>
      <c r="V397" s="463"/>
      <c r="W397" s="463"/>
      <c r="X397" s="463"/>
      <c r="Y397" s="463"/>
      <c r="Z397" s="463"/>
      <c r="AA397" s="463"/>
      <c r="AB397" s="463"/>
      <c r="AC397" s="463"/>
      <c r="AD397" s="463"/>
    </row>
    <row r="398" spans="1:30" s="378" customFormat="1">
      <c r="A398" s="558">
        <v>20</v>
      </c>
      <c r="B398" s="570" t="s">
        <v>555</v>
      </c>
      <c r="C398" s="570" t="s">
        <v>556</v>
      </c>
      <c r="D398" s="569">
        <v>331</v>
      </c>
      <c r="E398" s="568"/>
      <c r="F398" s="581"/>
      <c r="G398" s="564"/>
      <c r="H398" s="564"/>
      <c r="I398" s="564"/>
      <c r="J398" s="564"/>
      <c r="K398" s="564"/>
      <c r="L398" s="564"/>
      <c r="M398" s="564"/>
      <c r="N398" s="564"/>
      <c r="O398" s="564"/>
      <c r="P398" s="564"/>
      <c r="Q398" s="564"/>
      <c r="S398" s="581"/>
      <c r="T398" s="564"/>
      <c r="U398" s="564"/>
      <c r="V398" s="564"/>
      <c r="W398" s="564"/>
      <c r="X398" s="564"/>
      <c r="Y398" s="564"/>
      <c r="Z398" s="564"/>
      <c r="AA398" s="564"/>
      <c r="AB398" s="564"/>
      <c r="AC398" s="564"/>
      <c r="AD398" s="564"/>
    </row>
    <row r="399" spans="1:30" s="378" customFormat="1">
      <c r="A399" s="414"/>
      <c r="B399" s="495"/>
      <c r="C399" s="495"/>
      <c r="D399" s="458">
        <v>338</v>
      </c>
      <c r="E399" s="415"/>
      <c r="F399" s="542"/>
      <c r="G399" s="463"/>
      <c r="H399" s="463"/>
      <c r="I399" s="463"/>
      <c r="J399" s="463"/>
      <c r="K399" s="463"/>
      <c r="L399" s="463"/>
      <c r="M399" s="463"/>
      <c r="N399" s="463"/>
      <c r="O399" s="463"/>
      <c r="P399" s="463"/>
      <c r="Q399" s="463"/>
      <c r="S399" s="542"/>
      <c r="T399" s="463"/>
      <c r="U399" s="463"/>
      <c r="V399" s="463"/>
      <c r="W399" s="463"/>
      <c r="X399" s="463"/>
      <c r="Y399" s="463"/>
      <c r="Z399" s="463"/>
      <c r="AA399" s="463"/>
      <c r="AB399" s="463"/>
      <c r="AC399" s="463"/>
      <c r="AD399" s="463"/>
    </row>
    <row r="400" spans="1:30" s="378" customFormat="1">
      <c r="A400" s="558">
        <v>21</v>
      </c>
      <c r="B400" s="570" t="s">
        <v>557</v>
      </c>
      <c r="C400" s="570" t="s">
        <v>558</v>
      </c>
      <c r="D400" s="569">
        <v>331</v>
      </c>
      <c r="E400" s="568"/>
      <c r="F400" s="581"/>
      <c r="G400" s="564"/>
      <c r="H400" s="564"/>
      <c r="I400" s="564"/>
      <c r="J400" s="564"/>
      <c r="K400" s="564"/>
      <c r="L400" s="564"/>
      <c r="M400" s="564"/>
      <c r="N400" s="564"/>
      <c r="O400" s="564"/>
      <c r="P400" s="564"/>
      <c r="Q400" s="564"/>
      <c r="S400" s="581"/>
      <c r="T400" s="564"/>
      <c r="U400" s="564"/>
      <c r="V400" s="564"/>
      <c r="W400" s="564"/>
      <c r="X400" s="564"/>
      <c r="Y400" s="564"/>
      <c r="Z400" s="564"/>
      <c r="AA400" s="564"/>
      <c r="AB400" s="564"/>
      <c r="AC400" s="564"/>
      <c r="AD400" s="564"/>
    </row>
    <row r="401" spans="1:30" s="378" customFormat="1">
      <c r="A401" s="414"/>
      <c r="B401" s="495"/>
      <c r="C401" s="495"/>
      <c r="D401" s="458">
        <v>338</v>
      </c>
      <c r="E401" s="415"/>
      <c r="F401" s="542"/>
      <c r="G401" s="463"/>
      <c r="H401" s="463"/>
      <c r="I401" s="463"/>
      <c r="J401" s="463"/>
      <c r="K401" s="463"/>
      <c r="L401" s="463"/>
      <c r="M401" s="463"/>
      <c r="N401" s="463"/>
      <c r="O401" s="463"/>
      <c r="P401" s="463"/>
      <c r="Q401" s="463"/>
      <c r="S401" s="542"/>
      <c r="T401" s="463"/>
      <c r="U401" s="463"/>
      <c r="V401" s="463"/>
      <c r="W401" s="463"/>
      <c r="X401" s="463"/>
      <c r="Y401" s="463"/>
      <c r="Z401" s="463"/>
      <c r="AA401" s="463"/>
      <c r="AB401" s="463"/>
      <c r="AC401" s="463"/>
      <c r="AD401" s="463"/>
    </row>
    <row r="402" spans="1:30" s="378" customFormat="1">
      <c r="A402" s="398">
        <v>22</v>
      </c>
      <c r="B402" s="399" t="s">
        <v>559</v>
      </c>
      <c r="C402" s="399" t="s">
        <v>560</v>
      </c>
      <c r="D402" s="401">
        <v>331</v>
      </c>
      <c r="E402" s="400"/>
      <c r="F402" s="543"/>
      <c r="G402" s="403"/>
      <c r="H402" s="403"/>
      <c r="I402" s="403"/>
      <c r="J402" s="403"/>
      <c r="K402" s="403"/>
      <c r="L402" s="403"/>
      <c r="M402" s="403"/>
      <c r="N402" s="403"/>
      <c r="O402" s="403"/>
      <c r="P402" s="403"/>
      <c r="Q402" s="403"/>
      <c r="S402" s="543"/>
      <c r="T402" s="403"/>
      <c r="U402" s="403"/>
      <c r="V402" s="403"/>
      <c r="W402" s="403"/>
      <c r="X402" s="403"/>
      <c r="Y402" s="403"/>
      <c r="Z402" s="403"/>
      <c r="AA402" s="403"/>
      <c r="AB402" s="403"/>
      <c r="AC402" s="403"/>
      <c r="AD402" s="403"/>
    </row>
    <row r="403" spans="1:30" s="378" customFormat="1">
      <c r="A403" s="473"/>
      <c r="B403" s="495"/>
      <c r="C403" s="495"/>
      <c r="D403" s="458">
        <v>338</v>
      </c>
      <c r="E403" s="415"/>
      <c r="F403" s="542"/>
      <c r="G403" s="463"/>
      <c r="H403" s="463"/>
      <c r="I403" s="463"/>
      <c r="J403" s="463"/>
      <c r="K403" s="463"/>
      <c r="L403" s="463"/>
      <c r="M403" s="463"/>
      <c r="N403" s="463"/>
      <c r="O403" s="463"/>
      <c r="P403" s="463"/>
      <c r="Q403" s="463"/>
      <c r="S403" s="542"/>
      <c r="T403" s="463"/>
      <c r="U403" s="463"/>
      <c r="V403" s="463"/>
      <c r="W403" s="463"/>
      <c r="X403" s="463"/>
      <c r="Y403" s="463"/>
      <c r="Z403" s="463"/>
      <c r="AA403" s="463"/>
      <c r="AB403" s="463"/>
      <c r="AC403" s="463"/>
      <c r="AD403" s="463"/>
    </row>
    <row r="404" spans="1:30" s="378" customFormat="1">
      <c r="A404" s="454" t="s">
        <v>591</v>
      </c>
      <c r="B404" s="394" t="s">
        <v>619</v>
      </c>
      <c r="C404" s="394"/>
      <c r="D404" s="456"/>
      <c r="E404" s="400"/>
      <c r="F404" s="488" t="s">
        <v>615</v>
      </c>
      <c r="G404" s="488" t="s">
        <v>483</v>
      </c>
      <c r="H404" s="488" t="s">
        <v>484</v>
      </c>
      <c r="I404" s="488" t="s">
        <v>485</v>
      </c>
      <c r="J404" s="488" t="s">
        <v>486</v>
      </c>
      <c r="K404" s="488" t="s">
        <v>487</v>
      </c>
      <c r="L404" s="488" t="s">
        <v>488</v>
      </c>
      <c r="M404" s="488" t="s">
        <v>489</v>
      </c>
      <c r="N404" s="488" t="s">
        <v>490</v>
      </c>
      <c r="O404" s="488" t="s">
        <v>491</v>
      </c>
      <c r="P404" s="488" t="s">
        <v>492</v>
      </c>
      <c r="Q404" s="488" t="s">
        <v>493</v>
      </c>
      <c r="S404" s="488" t="s">
        <v>482</v>
      </c>
      <c r="T404" s="488" t="s">
        <v>483</v>
      </c>
      <c r="U404" s="488" t="s">
        <v>484</v>
      </c>
      <c r="V404" s="488" t="s">
        <v>485</v>
      </c>
      <c r="W404" s="488" t="s">
        <v>486</v>
      </c>
      <c r="X404" s="488" t="s">
        <v>487</v>
      </c>
      <c r="Y404" s="488" t="s">
        <v>488</v>
      </c>
      <c r="Z404" s="488" t="s">
        <v>489</v>
      </c>
      <c r="AA404" s="488" t="s">
        <v>490</v>
      </c>
      <c r="AB404" s="488" t="s">
        <v>491</v>
      </c>
      <c r="AC404" s="488" t="s">
        <v>492</v>
      </c>
      <c r="AD404" s="488" t="s">
        <v>493</v>
      </c>
    </row>
    <row r="405" spans="1:30" s="378" customFormat="1">
      <c r="A405" s="558">
        <v>1</v>
      </c>
      <c r="B405" s="568" t="s">
        <v>498</v>
      </c>
      <c r="C405" s="568" t="s">
        <v>499</v>
      </c>
      <c r="D405" s="569">
        <v>331</v>
      </c>
      <c r="E405" s="568"/>
      <c r="F405" s="581"/>
      <c r="G405" s="564"/>
      <c r="H405" s="564"/>
      <c r="I405" s="564">
        <v>9200000000</v>
      </c>
      <c r="J405" s="564">
        <v>9200000000</v>
      </c>
      <c r="K405" s="564">
        <v>9200000000</v>
      </c>
      <c r="L405" s="564"/>
      <c r="M405" s="564"/>
      <c r="N405" s="564"/>
      <c r="O405" s="564"/>
      <c r="P405" s="564"/>
      <c r="Q405" s="564"/>
      <c r="S405" s="581"/>
      <c r="T405" s="564"/>
      <c r="U405" s="564"/>
      <c r="V405" s="564"/>
      <c r="W405" s="564"/>
      <c r="X405" s="564"/>
      <c r="Y405" s="564"/>
      <c r="Z405" s="564"/>
      <c r="AA405" s="564"/>
      <c r="AB405" s="564"/>
      <c r="AC405" s="564"/>
      <c r="AD405" s="564"/>
    </row>
    <row r="406" spans="1:30" s="378" customFormat="1">
      <c r="A406" s="423">
        <v>2</v>
      </c>
      <c r="B406" s="406" t="s">
        <v>509</v>
      </c>
      <c r="C406" s="406" t="s">
        <v>510</v>
      </c>
      <c r="D406" s="410">
        <v>331</v>
      </c>
      <c r="E406" s="406"/>
      <c r="F406" s="544"/>
      <c r="G406" s="421"/>
      <c r="H406" s="421"/>
      <c r="I406" s="421"/>
      <c r="J406" s="421"/>
      <c r="K406" s="421"/>
      <c r="L406" s="421"/>
      <c r="M406" s="421"/>
      <c r="N406" s="421"/>
      <c r="O406" s="421"/>
      <c r="P406" s="421"/>
      <c r="Q406" s="421"/>
      <c r="S406" s="544"/>
      <c r="T406" s="421"/>
      <c r="U406" s="421"/>
      <c r="V406" s="421"/>
      <c r="W406" s="421"/>
      <c r="X406" s="421"/>
      <c r="Y406" s="421"/>
      <c r="Z406" s="421"/>
      <c r="AA406" s="421"/>
      <c r="AB406" s="421"/>
      <c r="AC406" s="421"/>
      <c r="AD406" s="421"/>
    </row>
    <row r="407" spans="1:30" s="378" customFormat="1">
      <c r="A407" s="423">
        <v>3</v>
      </c>
      <c r="B407" s="431" t="s">
        <v>515</v>
      </c>
      <c r="C407" s="431" t="s">
        <v>516</v>
      </c>
      <c r="D407" s="410">
        <v>331</v>
      </c>
      <c r="E407" s="406"/>
      <c r="F407" s="544">
        <v>3400000000</v>
      </c>
      <c r="G407" s="421">
        <v>5000000000</v>
      </c>
      <c r="H407" s="421">
        <v>3900000000</v>
      </c>
      <c r="I407" s="421">
        <v>3900000000</v>
      </c>
      <c r="J407" s="421">
        <v>2552000000</v>
      </c>
      <c r="K407" s="421">
        <v>3288000000</v>
      </c>
      <c r="L407" s="421">
        <v>8166523891</v>
      </c>
      <c r="M407" s="421">
        <v>11056700000</v>
      </c>
      <c r="N407" s="421">
        <v>10733700000</v>
      </c>
      <c r="O407" s="421">
        <v>10180672232</v>
      </c>
      <c r="P407" s="421">
        <v>6180672232</v>
      </c>
      <c r="Q407" s="421">
        <v>9128405156</v>
      </c>
      <c r="S407" s="544">
        <v>13942237927</v>
      </c>
      <c r="T407" s="421">
        <v>16272437927</v>
      </c>
      <c r="U407" s="421">
        <v>18043437927</v>
      </c>
      <c r="V407" s="421">
        <v>16043437927</v>
      </c>
      <c r="W407" s="421">
        <v>15043437927</v>
      </c>
      <c r="X407" s="421">
        <v>14043437927</v>
      </c>
      <c r="Y407" s="421"/>
      <c r="Z407" s="421"/>
      <c r="AA407" s="421"/>
      <c r="AB407" s="421"/>
      <c r="AC407" s="421"/>
      <c r="AD407" s="421"/>
    </row>
    <row r="408" spans="1:30" s="378" customFormat="1">
      <c r="A408" s="423">
        <v>4</v>
      </c>
      <c r="B408" s="431" t="s">
        <v>518</v>
      </c>
      <c r="C408" s="431" t="s">
        <v>519</v>
      </c>
      <c r="D408" s="410">
        <v>331</v>
      </c>
      <c r="E408" s="406"/>
      <c r="F408" s="544"/>
      <c r="G408" s="421"/>
      <c r="H408" s="421"/>
      <c r="I408" s="421"/>
      <c r="J408" s="421"/>
      <c r="K408" s="421"/>
      <c r="L408" s="544"/>
      <c r="M408" s="421">
        <v>384000000</v>
      </c>
      <c r="N408" s="421">
        <v>384000000</v>
      </c>
      <c r="O408" s="421">
        <v>384000000</v>
      </c>
      <c r="P408" s="421"/>
      <c r="Q408" s="421"/>
      <c r="S408" s="544"/>
      <c r="T408" s="421"/>
      <c r="U408" s="421"/>
      <c r="V408" s="421"/>
      <c r="W408" s="421"/>
      <c r="X408" s="421"/>
      <c r="Y408" s="544"/>
      <c r="Z408" s="421"/>
      <c r="AA408" s="421"/>
      <c r="AB408" s="421"/>
      <c r="AC408" s="421"/>
      <c r="AD408" s="421"/>
    </row>
    <row r="409" spans="1:30" s="378" customFormat="1">
      <c r="A409" s="405">
        <v>5</v>
      </c>
      <c r="B409" s="431" t="s">
        <v>521</v>
      </c>
      <c r="C409" s="431" t="s">
        <v>522</v>
      </c>
      <c r="D409" s="410">
        <v>331</v>
      </c>
      <c r="E409" s="406"/>
      <c r="F409" s="544"/>
      <c r="G409" s="421">
        <v>1500000000</v>
      </c>
      <c r="H409" s="421">
        <v>1500000000</v>
      </c>
      <c r="I409" s="421">
        <v>1500000000</v>
      </c>
      <c r="J409" s="421">
        <v>1500000000</v>
      </c>
      <c r="K409" s="421">
        <v>1500000000</v>
      </c>
      <c r="L409" s="421">
        <v>1637016306</v>
      </c>
      <c r="M409" s="421">
        <v>1500000000</v>
      </c>
      <c r="N409" s="421"/>
      <c r="O409" s="421"/>
      <c r="P409" s="421"/>
      <c r="Q409" s="421"/>
      <c r="S409" s="544"/>
      <c r="T409" s="421"/>
      <c r="U409" s="421"/>
      <c r="V409" s="421"/>
      <c r="W409" s="421"/>
      <c r="X409" s="421"/>
      <c r="Y409" s="421"/>
      <c r="Z409" s="421"/>
      <c r="AA409" s="421"/>
      <c r="AB409" s="421"/>
      <c r="AC409" s="421"/>
      <c r="AD409" s="421"/>
    </row>
    <row r="410" spans="1:30" s="378" customFormat="1">
      <c r="A410" s="423">
        <v>6</v>
      </c>
      <c r="B410" s="431" t="s">
        <v>524</v>
      </c>
      <c r="C410" s="431" t="s">
        <v>525</v>
      </c>
      <c r="D410" s="410">
        <v>331</v>
      </c>
      <c r="E410" s="406"/>
      <c r="F410" s="544"/>
      <c r="G410" s="421"/>
      <c r="H410" s="421"/>
      <c r="I410" s="421"/>
      <c r="J410" s="421"/>
      <c r="K410" s="421"/>
      <c r="L410" s="421"/>
      <c r="M410" s="421"/>
      <c r="N410" s="421"/>
      <c r="O410" s="421"/>
      <c r="P410" s="421"/>
      <c r="Q410" s="421"/>
      <c r="S410" s="544"/>
      <c r="T410" s="421"/>
      <c r="U410" s="421"/>
      <c r="V410" s="421"/>
      <c r="W410" s="421"/>
      <c r="X410" s="421"/>
      <c r="Y410" s="421"/>
      <c r="Z410" s="421"/>
      <c r="AA410" s="421"/>
      <c r="AB410" s="421"/>
      <c r="AC410" s="421"/>
      <c r="AD410" s="421"/>
    </row>
    <row r="411" spans="1:30" s="378" customFormat="1">
      <c r="A411" s="423">
        <v>7</v>
      </c>
      <c r="B411" s="435" t="s">
        <v>528</v>
      </c>
      <c r="C411" s="435" t="s">
        <v>529</v>
      </c>
      <c r="D411" s="410">
        <v>331</v>
      </c>
      <c r="E411" s="406"/>
      <c r="F411" s="544"/>
      <c r="G411" s="421"/>
      <c r="H411" s="421"/>
      <c r="I411" s="421"/>
      <c r="J411" s="421"/>
      <c r="K411" s="421"/>
      <c r="L411" s="421"/>
      <c r="M411" s="421"/>
      <c r="N411" s="421"/>
      <c r="O411" s="421"/>
      <c r="P411" s="421"/>
      <c r="Q411" s="421"/>
      <c r="S411" s="544"/>
      <c r="T411" s="421"/>
      <c r="U411" s="421"/>
      <c r="V411" s="421"/>
      <c r="W411" s="421"/>
      <c r="X411" s="421"/>
      <c r="Y411" s="421"/>
      <c r="Z411" s="421"/>
      <c r="AA411" s="421"/>
      <c r="AB411" s="421"/>
      <c r="AC411" s="421"/>
      <c r="AD411" s="421"/>
    </row>
    <row r="412" spans="1:30" s="378" customFormat="1">
      <c r="A412" s="423">
        <v>8</v>
      </c>
      <c r="B412" s="431" t="s">
        <v>530</v>
      </c>
      <c r="C412" s="431" t="s">
        <v>531</v>
      </c>
      <c r="D412" s="410">
        <v>331</v>
      </c>
      <c r="E412" s="406"/>
      <c r="F412" s="544"/>
      <c r="G412" s="421"/>
      <c r="H412" s="421"/>
      <c r="I412" s="421"/>
      <c r="J412" s="421"/>
      <c r="K412" s="421"/>
      <c r="L412" s="421"/>
      <c r="M412" s="421"/>
      <c r="N412" s="421"/>
      <c r="O412" s="421"/>
      <c r="P412" s="421"/>
      <c r="Q412" s="421"/>
      <c r="S412" s="544"/>
      <c r="T412" s="421"/>
      <c r="U412" s="421"/>
      <c r="V412" s="421"/>
      <c r="W412" s="421"/>
      <c r="X412" s="421"/>
      <c r="Y412" s="421"/>
      <c r="Z412" s="421"/>
      <c r="AA412" s="421"/>
      <c r="AB412" s="421"/>
      <c r="AC412" s="421"/>
      <c r="AD412" s="421"/>
    </row>
    <row r="413" spans="1:30" s="378" customFormat="1">
      <c r="A413" s="423">
        <v>9</v>
      </c>
      <c r="B413" s="431" t="s">
        <v>533</v>
      </c>
      <c r="C413" s="431" t="s">
        <v>534</v>
      </c>
      <c r="D413" s="410">
        <v>331</v>
      </c>
      <c r="E413" s="406"/>
      <c r="F413" s="544"/>
      <c r="G413" s="421"/>
      <c r="H413" s="421"/>
      <c r="I413" s="421"/>
      <c r="J413" s="421"/>
      <c r="K413" s="421"/>
      <c r="L413" s="421"/>
      <c r="M413" s="421"/>
      <c r="N413" s="421"/>
      <c r="O413" s="421"/>
      <c r="P413" s="421"/>
      <c r="Q413" s="421"/>
      <c r="S413" s="544"/>
      <c r="T413" s="421"/>
      <c r="U413" s="421"/>
      <c r="V413" s="421"/>
      <c r="W413" s="421"/>
      <c r="X413" s="421"/>
      <c r="Y413" s="421"/>
      <c r="Z413" s="421"/>
      <c r="AA413" s="421"/>
      <c r="AB413" s="421"/>
      <c r="AC413" s="421"/>
      <c r="AD413" s="421"/>
    </row>
    <row r="414" spans="1:30" s="378" customFormat="1">
      <c r="A414" s="423">
        <v>10</v>
      </c>
      <c r="B414" s="406" t="s">
        <v>535</v>
      </c>
      <c r="C414" s="406" t="s">
        <v>536</v>
      </c>
      <c r="D414" s="410">
        <v>331</v>
      </c>
      <c r="E414" s="406"/>
      <c r="F414" s="544"/>
      <c r="G414" s="421"/>
      <c r="H414" s="421"/>
      <c r="I414" s="421"/>
      <c r="J414" s="421"/>
      <c r="K414" s="421"/>
      <c r="L414" s="421"/>
      <c r="M414" s="421"/>
      <c r="N414" s="421"/>
      <c r="O414" s="421"/>
      <c r="P414" s="421"/>
      <c r="Q414" s="421"/>
      <c r="S414" s="544"/>
      <c r="T414" s="421"/>
      <c r="U414" s="421"/>
      <c r="V414" s="421"/>
      <c r="W414" s="421"/>
      <c r="X414" s="421"/>
      <c r="Y414" s="421"/>
      <c r="Z414" s="421"/>
      <c r="AA414" s="421"/>
      <c r="AB414" s="421"/>
      <c r="AC414" s="421"/>
      <c r="AD414" s="421"/>
    </row>
    <row r="415" spans="1:30" s="378" customFormat="1">
      <c r="A415" s="423">
        <v>11</v>
      </c>
      <c r="B415" s="431" t="s">
        <v>537</v>
      </c>
      <c r="C415" s="431" t="s">
        <v>538</v>
      </c>
      <c r="D415" s="410">
        <v>331</v>
      </c>
      <c r="E415" s="406"/>
      <c r="F415" s="544">
        <v>726400000</v>
      </c>
      <c r="G415" s="421">
        <v>726400000</v>
      </c>
      <c r="H415" s="421">
        <v>418000000</v>
      </c>
      <c r="I415" s="421"/>
      <c r="J415" s="421">
        <v>484000000</v>
      </c>
      <c r="K415" s="421">
        <v>484000000</v>
      </c>
      <c r="L415" s="421"/>
      <c r="M415" s="421">
        <v>504880000</v>
      </c>
      <c r="N415" s="421">
        <v>504880000</v>
      </c>
      <c r="O415" s="421">
        <v>504880000</v>
      </c>
      <c r="P415" s="421"/>
      <c r="Q415" s="421"/>
      <c r="S415" s="544">
        <v>1832000000</v>
      </c>
      <c r="T415" s="421">
        <v>2114000000</v>
      </c>
      <c r="U415" s="421">
        <v>2114000000</v>
      </c>
      <c r="V415" s="421">
        <v>2138933740</v>
      </c>
      <c r="W415" s="421">
        <v>2370933740</v>
      </c>
      <c r="X415" s="421">
        <v>2604933740</v>
      </c>
      <c r="Y415" s="421"/>
      <c r="Z415" s="421"/>
      <c r="AA415" s="421"/>
      <c r="AB415" s="421"/>
      <c r="AC415" s="421"/>
      <c r="AD415" s="421"/>
    </row>
    <row r="416" spans="1:30" s="378" customFormat="1">
      <c r="A416" s="423">
        <v>12</v>
      </c>
      <c r="B416" s="431" t="s">
        <v>539</v>
      </c>
      <c r="C416" s="431" t="s">
        <v>540</v>
      </c>
      <c r="D416" s="410">
        <v>331</v>
      </c>
      <c r="E416" s="406"/>
      <c r="F416" s="544"/>
      <c r="G416" s="421"/>
      <c r="H416" s="421"/>
      <c r="I416" s="421"/>
      <c r="J416" s="421"/>
      <c r="K416" s="421"/>
      <c r="L416" s="421"/>
      <c r="M416" s="421"/>
      <c r="N416" s="421"/>
      <c r="O416" s="421"/>
      <c r="P416" s="421"/>
      <c r="Q416" s="421"/>
      <c r="S416" s="544"/>
      <c r="T416" s="421"/>
      <c r="U416" s="421"/>
      <c r="V416" s="421"/>
      <c r="W416" s="421"/>
      <c r="X416" s="421"/>
      <c r="Y416" s="421"/>
      <c r="Z416" s="421"/>
      <c r="AA416" s="421"/>
      <c r="AB416" s="421"/>
      <c r="AC416" s="421"/>
      <c r="AD416" s="421"/>
    </row>
    <row r="417" spans="1:30" s="378" customFormat="1">
      <c r="A417" s="423">
        <v>13</v>
      </c>
      <c r="B417" s="406" t="s">
        <v>541</v>
      </c>
      <c r="C417" s="406" t="s">
        <v>542</v>
      </c>
      <c r="D417" s="410">
        <v>331</v>
      </c>
      <c r="E417" s="406"/>
      <c r="F417" s="545"/>
      <c r="G417" s="421"/>
      <c r="H417" s="421"/>
      <c r="I417" s="421"/>
      <c r="J417" s="421"/>
      <c r="K417" s="421"/>
      <c r="L417" s="421"/>
      <c r="M417" s="421"/>
      <c r="N417" s="421"/>
      <c r="O417" s="421"/>
      <c r="P417" s="421"/>
      <c r="Q417" s="421"/>
      <c r="S417" s="545"/>
      <c r="T417" s="421"/>
      <c r="U417" s="421"/>
      <c r="V417" s="421"/>
      <c r="W417" s="421"/>
      <c r="X417" s="421"/>
      <c r="Y417" s="421"/>
      <c r="Z417" s="421"/>
      <c r="AA417" s="421"/>
      <c r="AB417" s="421"/>
      <c r="AC417" s="421"/>
      <c r="AD417" s="421"/>
    </row>
    <row r="418" spans="1:30" s="378" customFormat="1">
      <c r="A418" s="423">
        <v>14</v>
      </c>
      <c r="B418" s="406" t="s">
        <v>543</v>
      </c>
      <c r="C418" s="406" t="s">
        <v>544</v>
      </c>
      <c r="D418" s="410">
        <v>331</v>
      </c>
      <c r="E418" s="406"/>
      <c r="F418" s="545"/>
      <c r="G418" s="421"/>
      <c r="H418" s="421"/>
      <c r="I418" s="421"/>
      <c r="J418" s="421"/>
      <c r="K418" s="421"/>
      <c r="L418" s="421"/>
      <c r="M418" s="421"/>
      <c r="N418" s="421"/>
      <c r="O418" s="421"/>
      <c r="P418" s="421"/>
      <c r="Q418" s="421"/>
      <c r="S418" s="545"/>
      <c r="T418" s="421"/>
      <c r="U418" s="421"/>
      <c r="V418" s="421"/>
      <c r="W418" s="421"/>
      <c r="X418" s="421"/>
      <c r="Y418" s="421"/>
      <c r="Z418" s="421"/>
      <c r="AA418" s="421"/>
      <c r="AB418" s="421"/>
      <c r="AC418" s="421"/>
      <c r="AD418" s="421"/>
    </row>
    <row r="419" spans="1:30" s="378" customFormat="1">
      <c r="A419" s="423">
        <v>15</v>
      </c>
      <c r="B419" s="406" t="s">
        <v>545</v>
      </c>
      <c r="C419" s="406" t="s">
        <v>546</v>
      </c>
      <c r="D419" s="410">
        <v>331</v>
      </c>
      <c r="E419" s="406"/>
      <c r="F419" s="545">
        <v>14825000077</v>
      </c>
      <c r="G419" s="421">
        <v>11910000077</v>
      </c>
      <c r="H419" s="421">
        <v>5850000077</v>
      </c>
      <c r="I419" s="421">
        <v>2000000077</v>
      </c>
      <c r="J419" s="421"/>
      <c r="K419" s="421">
        <v>4300000077</v>
      </c>
      <c r="L419" s="421">
        <v>12990000077</v>
      </c>
      <c r="M419" s="421">
        <v>9140000077</v>
      </c>
      <c r="N419" s="421">
        <v>15290000077</v>
      </c>
      <c r="O419" s="421">
        <v>11440000077</v>
      </c>
      <c r="P419" s="421">
        <v>7590000077</v>
      </c>
      <c r="Q419" s="421">
        <v>12740000077</v>
      </c>
      <c r="S419" s="545">
        <v>11390000077</v>
      </c>
      <c r="T419" s="421">
        <v>7540000077</v>
      </c>
      <c r="U419" s="421">
        <v>16590000077</v>
      </c>
      <c r="V419" s="421">
        <f>U419</f>
        <v>16590000077</v>
      </c>
      <c r="W419" s="421">
        <f>V419</f>
        <v>16590000077</v>
      </c>
      <c r="X419" s="421">
        <v>15040000077</v>
      </c>
      <c r="Y419" s="421"/>
      <c r="Z419" s="421"/>
      <c r="AA419" s="421"/>
      <c r="AB419" s="421"/>
      <c r="AC419" s="421"/>
      <c r="AD419" s="421"/>
    </row>
    <row r="420" spans="1:30" s="378" customFormat="1">
      <c r="A420" s="423">
        <v>16</v>
      </c>
      <c r="B420" s="406" t="s">
        <v>547</v>
      </c>
      <c r="C420" s="406" t="s">
        <v>548</v>
      </c>
      <c r="D420" s="410">
        <v>331</v>
      </c>
      <c r="E420" s="406"/>
      <c r="F420" s="545"/>
      <c r="G420" s="421"/>
      <c r="H420" s="421"/>
      <c r="I420" s="421"/>
      <c r="J420" s="421"/>
      <c r="K420" s="421"/>
      <c r="L420" s="421"/>
      <c r="M420" s="421"/>
      <c r="N420" s="421"/>
      <c r="O420" s="421"/>
      <c r="P420" s="421"/>
      <c r="Q420" s="421"/>
      <c r="S420" s="545"/>
      <c r="T420" s="421"/>
      <c r="U420" s="421"/>
      <c r="V420" s="421"/>
      <c r="W420" s="421"/>
      <c r="X420" s="421"/>
      <c r="Y420" s="421"/>
      <c r="Z420" s="421"/>
      <c r="AA420" s="421"/>
      <c r="AB420" s="421"/>
      <c r="AC420" s="421"/>
      <c r="AD420" s="421"/>
    </row>
    <row r="421" spans="1:30" s="378" customFormat="1">
      <c r="A421" s="423">
        <v>17</v>
      </c>
      <c r="B421" s="406" t="s">
        <v>549</v>
      </c>
      <c r="C421" s="406" t="s">
        <v>550</v>
      </c>
      <c r="D421" s="410">
        <v>331</v>
      </c>
      <c r="E421" s="406"/>
      <c r="F421" s="545"/>
      <c r="G421" s="421"/>
      <c r="H421" s="421"/>
      <c r="I421" s="421"/>
      <c r="J421" s="421"/>
      <c r="K421" s="421"/>
      <c r="L421" s="421"/>
      <c r="M421" s="421"/>
      <c r="N421" s="421"/>
      <c r="O421" s="421"/>
      <c r="P421" s="421"/>
      <c r="Q421" s="421"/>
      <c r="S421" s="545"/>
      <c r="T421" s="421"/>
      <c r="U421" s="421"/>
      <c r="V421" s="421"/>
      <c r="W421" s="421"/>
      <c r="X421" s="421"/>
      <c r="Y421" s="421"/>
      <c r="Z421" s="421"/>
      <c r="AA421" s="421"/>
      <c r="AB421" s="421"/>
      <c r="AC421" s="421"/>
      <c r="AD421" s="421"/>
    </row>
    <row r="422" spans="1:30" s="378" customFormat="1">
      <c r="A422" s="423">
        <v>18</v>
      </c>
      <c r="B422" s="406" t="s">
        <v>551</v>
      </c>
      <c r="C422" s="406" t="s">
        <v>552</v>
      </c>
      <c r="D422" s="410">
        <v>331</v>
      </c>
      <c r="E422" s="406"/>
      <c r="F422" s="545"/>
      <c r="G422" s="421"/>
      <c r="H422" s="421"/>
      <c r="I422" s="421"/>
      <c r="J422" s="421"/>
      <c r="K422" s="421"/>
      <c r="L422" s="421"/>
      <c r="M422" s="421"/>
      <c r="N422" s="421"/>
      <c r="O422" s="421"/>
      <c r="P422" s="421"/>
      <c r="Q422" s="421"/>
      <c r="S422" s="545"/>
      <c r="T422" s="421"/>
      <c r="U422" s="421"/>
      <c r="V422" s="421"/>
      <c r="W422" s="421"/>
      <c r="X422" s="421"/>
      <c r="Y422" s="421"/>
      <c r="Z422" s="421"/>
      <c r="AA422" s="421"/>
      <c r="AB422" s="421"/>
      <c r="AC422" s="421"/>
      <c r="AD422" s="421"/>
    </row>
    <row r="423" spans="1:30" s="378" customFormat="1">
      <c r="A423" s="423">
        <v>19</v>
      </c>
      <c r="B423" s="435" t="s">
        <v>553</v>
      </c>
      <c r="C423" s="435" t="s">
        <v>554</v>
      </c>
      <c r="D423" s="410">
        <v>331</v>
      </c>
      <c r="E423" s="406"/>
      <c r="F423" s="545"/>
      <c r="G423" s="421"/>
      <c r="H423" s="421"/>
      <c r="I423" s="421"/>
      <c r="J423" s="421"/>
      <c r="K423" s="421"/>
      <c r="L423" s="421"/>
      <c r="M423" s="421"/>
      <c r="N423" s="421"/>
      <c r="O423" s="421"/>
      <c r="P423" s="421"/>
      <c r="Q423" s="421"/>
      <c r="S423" s="545"/>
      <c r="T423" s="421"/>
      <c r="U423" s="421"/>
      <c r="V423" s="421"/>
      <c r="W423" s="421"/>
      <c r="X423" s="421"/>
      <c r="Y423" s="421"/>
      <c r="Z423" s="421"/>
      <c r="AA423" s="421"/>
      <c r="AB423" s="421"/>
      <c r="AC423" s="421"/>
      <c r="AD423" s="421"/>
    </row>
    <row r="424" spans="1:30" s="378" customFormat="1">
      <c r="A424" s="423">
        <v>20</v>
      </c>
      <c r="B424" s="406" t="s">
        <v>555</v>
      </c>
      <c r="C424" s="406" t="s">
        <v>556</v>
      </c>
      <c r="D424" s="410">
        <v>331</v>
      </c>
      <c r="E424" s="406"/>
      <c r="F424" s="545"/>
      <c r="G424" s="421"/>
      <c r="H424" s="421"/>
      <c r="I424" s="421"/>
      <c r="J424" s="421"/>
      <c r="K424" s="421"/>
      <c r="L424" s="421"/>
      <c r="M424" s="421"/>
      <c r="N424" s="421"/>
      <c r="O424" s="421"/>
      <c r="P424" s="421"/>
      <c r="Q424" s="421"/>
      <c r="S424" s="545"/>
      <c r="T424" s="421"/>
      <c r="U424" s="421"/>
      <c r="V424" s="421"/>
      <c r="W424" s="421"/>
      <c r="X424" s="421"/>
      <c r="Y424" s="421"/>
      <c r="Z424" s="421"/>
      <c r="AA424" s="421"/>
      <c r="AB424" s="421"/>
      <c r="AC424" s="421"/>
      <c r="AD424" s="421"/>
    </row>
    <row r="425" spans="1:30" s="378" customFormat="1">
      <c r="A425" s="423">
        <v>21</v>
      </c>
      <c r="B425" s="406" t="s">
        <v>557</v>
      </c>
      <c r="C425" s="406" t="s">
        <v>558</v>
      </c>
      <c r="D425" s="410">
        <v>331</v>
      </c>
      <c r="E425" s="406"/>
      <c r="F425" s="545"/>
      <c r="G425" s="421"/>
      <c r="H425" s="421"/>
      <c r="I425" s="421"/>
      <c r="J425" s="421"/>
      <c r="K425" s="421"/>
      <c r="L425" s="421"/>
      <c r="M425" s="421"/>
      <c r="N425" s="421"/>
      <c r="O425" s="421"/>
      <c r="P425" s="421"/>
      <c r="Q425" s="421"/>
      <c r="S425" s="545"/>
      <c r="T425" s="421"/>
      <c r="U425" s="421"/>
      <c r="V425" s="421"/>
      <c r="W425" s="421"/>
      <c r="X425" s="421"/>
      <c r="Y425" s="421"/>
      <c r="Z425" s="421"/>
      <c r="AA425" s="421"/>
      <c r="AB425" s="421"/>
      <c r="AC425" s="421"/>
      <c r="AD425" s="421"/>
    </row>
    <row r="426" spans="1:30" s="378" customFormat="1">
      <c r="A426" s="423">
        <v>22</v>
      </c>
      <c r="B426" s="406" t="s">
        <v>559</v>
      </c>
      <c r="C426" s="406" t="s">
        <v>560</v>
      </c>
      <c r="D426" s="410">
        <v>331</v>
      </c>
      <c r="E426" s="406"/>
      <c r="F426" s="545"/>
      <c r="G426" s="421"/>
      <c r="H426" s="421"/>
      <c r="I426" s="421"/>
      <c r="J426" s="421"/>
      <c r="K426" s="421"/>
      <c r="L426" s="421"/>
      <c r="M426" s="421"/>
      <c r="N426" s="421"/>
      <c r="O426" s="421"/>
      <c r="P426" s="421"/>
      <c r="Q426" s="421"/>
      <c r="S426" s="545"/>
      <c r="T426" s="421"/>
      <c r="U426" s="421"/>
      <c r="V426" s="421"/>
      <c r="W426" s="421"/>
      <c r="X426" s="421"/>
      <c r="Y426" s="421"/>
      <c r="Z426" s="421"/>
      <c r="AA426" s="421"/>
      <c r="AB426" s="421"/>
      <c r="AC426" s="421"/>
      <c r="AD426" s="421"/>
    </row>
    <row r="427" spans="1:30" s="378" customFormat="1">
      <c r="A427" s="473"/>
      <c r="B427" s="415"/>
      <c r="C427" s="415"/>
      <c r="D427" s="415"/>
      <c r="E427" s="415"/>
      <c r="F427" s="542"/>
      <c r="G427" s="463"/>
      <c r="H427" s="463"/>
      <c r="I427" s="463"/>
      <c r="J427" s="463"/>
      <c r="K427" s="463"/>
      <c r="L427" s="463"/>
      <c r="M427" s="463"/>
      <c r="N427" s="463"/>
      <c r="O427" s="463"/>
      <c r="P427" s="463"/>
      <c r="Q427" s="463"/>
      <c r="S427" s="542"/>
      <c r="T427" s="463"/>
      <c r="U427" s="463"/>
      <c r="V427" s="463"/>
      <c r="W427" s="463"/>
      <c r="X427" s="463"/>
      <c r="Y427" s="463"/>
      <c r="Z427" s="463"/>
      <c r="AA427" s="463"/>
      <c r="AB427" s="463"/>
      <c r="AC427" s="463"/>
      <c r="AD427" s="463"/>
    </row>
    <row r="428" spans="1:30" s="378" customFormat="1">
      <c r="A428" s="454" t="s">
        <v>620</v>
      </c>
      <c r="B428" s="394" t="s">
        <v>621</v>
      </c>
      <c r="C428" s="394"/>
      <c r="D428" s="456"/>
      <c r="E428" s="456"/>
      <c r="F428" s="488" t="s">
        <v>615</v>
      </c>
      <c r="G428" s="488" t="s">
        <v>483</v>
      </c>
      <c r="H428" s="488" t="s">
        <v>484</v>
      </c>
      <c r="I428" s="488" t="s">
        <v>485</v>
      </c>
      <c r="J428" s="488" t="s">
        <v>486</v>
      </c>
      <c r="K428" s="488" t="s">
        <v>487</v>
      </c>
      <c r="L428" s="488" t="s">
        <v>488</v>
      </c>
      <c r="M428" s="488" t="s">
        <v>489</v>
      </c>
      <c r="N428" s="488" t="s">
        <v>490</v>
      </c>
      <c r="O428" s="488" t="s">
        <v>491</v>
      </c>
      <c r="P428" s="488" t="s">
        <v>492</v>
      </c>
      <c r="Q428" s="488" t="s">
        <v>493</v>
      </c>
      <c r="S428" s="488" t="s">
        <v>482</v>
      </c>
      <c r="T428" s="488" t="s">
        <v>483</v>
      </c>
      <c r="U428" s="488" t="s">
        <v>484</v>
      </c>
      <c r="V428" s="488" t="s">
        <v>485</v>
      </c>
      <c r="W428" s="488" t="s">
        <v>486</v>
      </c>
      <c r="X428" s="488" t="s">
        <v>487</v>
      </c>
      <c r="Y428" s="488" t="s">
        <v>488</v>
      </c>
      <c r="Z428" s="488" t="s">
        <v>489</v>
      </c>
      <c r="AA428" s="488" t="s">
        <v>490</v>
      </c>
      <c r="AB428" s="488" t="s">
        <v>491</v>
      </c>
      <c r="AC428" s="488" t="s">
        <v>492</v>
      </c>
      <c r="AD428" s="488" t="s">
        <v>493</v>
      </c>
    </row>
    <row r="429" spans="1:30" s="378" customFormat="1">
      <c r="A429" s="467"/>
      <c r="B429" s="502" t="s">
        <v>622</v>
      </c>
      <c r="C429" s="502"/>
      <c r="D429" s="503"/>
      <c r="E429" s="406"/>
      <c r="F429" s="562"/>
      <c r="G429" s="564"/>
      <c r="H429" s="564"/>
      <c r="I429" s="564"/>
      <c r="J429" s="564"/>
      <c r="K429" s="564"/>
      <c r="L429" s="564"/>
      <c r="M429" s="564"/>
      <c r="N429" s="564"/>
      <c r="O429" s="564"/>
      <c r="P429" s="564"/>
      <c r="Q429" s="564"/>
      <c r="S429" s="562"/>
      <c r="T429" s="564"/>
      <c r="U429" s="564"/>
      <c r="V429" s="564"/>
      <c r="W429" s="564"/>
      <c r="X429" s="564"/>
      <c r="Y429" s="564"/>
      <c r="Z429" s="564"/>
      <c r="AA429" s="564"/>
      <c r="AB429" s="564"/>
      <c r="AC429" s="564"/>
      <c r="AD429" s="564"/>
    </row>
    <row r="430" spans="1:30" s="378" customFormat="1">
      <c r="A430" s="423">
        <v>1</v>
      </c>
      <c r="B430" s="499" t="s">
        <v>498</v>
      </c>
      <c r="C430" s="499" t="s">
        <v>499</v>
      </c>
      <c r="D430" s="410">
        <v>128</v>
      </c>
      <c r="E430" s="406"/>
      <c r="F430" s="544">
        <v>20000000000</v>
      </c>
      <c r="G430" s="421">
        <v>5500000000</v>
      </c>
      <c r="H430" s="421">
        <v>17500000000</v>
      </c>
      <c r="I430" s="421">
        <v>32000000000</v>
      </c>
      <c r="J430" s="421">
        <v>42000000000</v>
      </c>
      <c r="K430" s="421">
        <v>42000000000</v>
      </c>
      <c r="L430" s="421">
        <v>42000000000</v>
      </c>
      <c r="M430" s="421">
        <v>42000000000</v>
      </c>
      <c r="N430" s="421"/>
      <c r="O430" s="421">
        <v>10000000000</v>
      </c>
      <c r="P430" s="421"/>
      <c r="Q430" s="421"/>
      <c r="S430" s="544"/>
      <c r="T430" s="421"/>
      <c r="U430" s="421"/>
      <c r="V430" s="421"/>
      <c r="W430" s="421"/>
      <c r="X430" s="421"/>
      <c r="Y430" s="421"/>
      <c r="Z430" s="421"/>
      <c r="AA430" s="421"/>
      <c r="AB430" s="421"/>
      <c r="AC430" s="421"/>
      <c r="AD430" s="421"/>
    </row>
    <row r="431" spans="1:30" s="378" customFormat="1">
      <c r="A431" s="423">
        <v>2</v>
      </c>
      <c r="B431" s="431" t="s">
        <v>509</v>
      </c>
      <c r="C431" s="431" t="s">
        <v>510</v>
      </c>
      <c r="D431" s="410">
        <v>128</v>
      </c>
      <c r="E431" s="406"/>
      <c r="F431" s="544"/>
      <c r="G431" s="421"/>
      <c r="H431" s="421"/>
      <c r="I431" s="421"/>
      <c r="J431" s="421"/>
      <c r="K431" s="421"/>
      <c r="L431" s="421"/>
      <c r="M431" s="421"/>
      <c r="N431" s="421"/>
      <c r="O431" s="421"/>
      <c r="P431" s="421"/>
      <c r="Q431" s="421"/>
      <c r="S431" s="544"/>
      <c r="T431" s="421"/>
      <c r="U431" s="421"/>
      <c r="V431" s="421"/>
      <c r="W431" s="421"/>
      <c r="X431" s="421"/>
      <c r="Y431" s="421"/>
      <c r="Z431" s="421"/>
      <c r="AA431" s="421"/>
      <c r="AB431" s="421"/>
      <c r="AC431" s="421"/>
      <c r="AD431" s="421"/>
    </row>
    <row r="432" spans="1:30" s="378" customFormat="1">
      <c r="A432" s="423">
        <v>3</v>
      </c>
      <c r="B432" s="499" t="s">
        <v>515</v>
      </c>
      <c r="C432" s="499" t="s">
        <v>516</v>
      </c>
      <c r="D432" s="410">
        <v>128</v>
      </c>
      <c r="E432" s="406"/>
      <c r="F432" s="544"/>
      <c r="G432" s="421"/>
      <c r="H432" s="421"/>
      <c r="I432" s="421"/>
      <c r="J432" s="421"/>
      <c r="K432" s="421"/>
      <c r="L432" s="421"/>
      <c r="M432" s="421"/>
      <c r="N432" s="421"/>
      <c r="O432" s="421"/>
      <c r="P432" s="421"/>
      <c r="Q432" s="421"/>
      <c r="S432" s="544"/>
      <c r="T432" s="421"/>
      <c r="U432" s="421"/>
      <c r="V432" s="421"/>
      <c r="W432" s="421"/>
      <c r="X432" s="421"/>
      <c r="Y432" s="421"/>
      <c r="Z432" s="421"/>
      <c r="AA432" s="421"/>
      <c r="AB432" s="421"/>
      <c r="AC432" s="421"/>
      <c r="AD432" s="421"/>
    </row>
    <row r="433" spans="1:30" s="378" customFormat="1">
      <c r="A433" s="423">
        <v>4</v>
      </c>
      <c r="B433" s="499" t="s">
        <v>518</v>
      </c>
      <c r="C433" s="499" t="s">
        <v>519</v>
      </c>
      <c r="D433" s="410">
        <v>128</v>
      </c>
      <c r="E433" s="406"/>
      <c r="F433" s="544"/>
      <c r="G433" s="421"/>
      <c r="H433" s="421"/>
      <c r="I433" s="421"/>
      <c r="J433" s="421"/>
      <c r="K433" s="421"/>
      <c r="L433" s="421"/>
      <c r="M433" s="421"/>
      <c r="N433" s="421"/>
      <c r="O433" s="421"/>
      <c r="P433" s="421"/>
      <c r="Q433" s="421"/>
      <c r="S433" s="544"/>
      <c r="T433" s="421"/>
      <c r="U433" s="421"/>
      <c r="V433" s="421"/>
      <c r="W433" s="421"/>
      <c r="X433" s="421"/>
      <c r="Y433" s="421"/>
      <c r="Z433" s="421"/>
      <c r="AA433" s="421"/>
      <c r="AB433" s="421"/>
      <c r="AC433" s="421"/>
      <c r="AD433" s="421"/>
    </row>
    <row r="434" spans="1:30" s="378" customFormat="1">
      <c r="A434" s="423">
        <v>5</v>
      </c>
      <c r="B434" s="499" t="s">
        <v>521</v>
      </c>
      <c r="C434" s="499" t="s">
        <v>522</v>
      </c>
      <c r="D434" s="410">
        <v>128</v>
      </c>
      <c r="E434" s="406"/>
      <c r="F434" s="544"/>
      <c r="G434" s="421"/>
      <c r="H434" s="421"/>
      <c r="I434" s="421"/>
      <c r="J434" s="421"/>
      <c r="K434" s="421"/>
      <c r="L434" s="421"/>
      <c r="M434" s="421"/>
      <c r="N434" s="421"/>
      <c r="O434" s="421"/>
      <c r="P434" s="421"/>
      <c r="Q434" s="421"/>
      <c r="S434" s="544"/>
      <c r="T434" s="421"/>
      <c r="U434" s="421"/>
      <c r="V434" s="421"/>
      <c r="W434" s="421"/>
      <c r="X434" s="421"/>
      <c r="Y434" s="421"/>
      <c r="Z434" s="421"/>
      <c r="AA434" s="421"/>
      <c r="AB434" s="421"/>
      <c r="AC434" s="421"/>
      <c r="AD434" s="421"/>
    </row>
    <row r="435" spans="1:30" s="378" customFormat="1">
      <c r="A435" s="423">
        <v>6</v>
      </c>
      <c r="B435" s="499" t="s">
        <v>524</v>
      </c>
      <c r="C435" s="499" t="s">
        <v>525</v>
      </c>
      <c r="D435" s="410">
        <v>128</v>
      </c>
      <c r="E435" s="406"/>
      <c r="F435" s="544"/>
      <c r="G435" s="421"/>
      <c r="H435" s="421"/>
      <c r="I435" s="421"/>
      <c r="J435" s="421"/>
      <c r="K435" s="421"/>
      <c r="L435" s="421"/>
      <c r="M435" s="421"/>
      <c r="N435" s="421"/>
      <c r="O435" s="421"/>
      <c r="P435" s="421"/>
      <c r="Q435" s="421"/>
      <c r="S435" s="544"/>
      <c r="T435" s="421"/>
      <c r="U435" s="421"/>
      <c r="V435" s="421"/>
      <c r="W435" s="421"/>
      <c r="X435" s="421"/>
      <c r="Y435" s="421"/>
      <c r="Z435" s="421"/>
      <c r="AA435" s="421"/>
      <c r="AB435" s="421"/>
      <c r="AC435" s="421"/>
      <c r="AD435" s="421"/>
    </row>
    <row r="436" spans="1:30" s="378" customFormat="1">
      <c r="A436" s="423">
        <v>7</v>
      </c>
      <c r="B436" s="435" t="s">
        <v>528</v>
      </c>
      <c r="C436" s="435" t="s">
        <v>529</v>
      </c>
      <c r="D436" s="410">
        <v>128</v>
      </c>
      <c r="E436" s="406"/>
      <c r="F436" s="544"/>
      <c r="G436" s="421"/>
      <c r="H436" s="421"/>
      <c r="I436" s="421"/>
      <c r="J436" s="421"/>
      <c r="K436" s="421"/>
      <c r="L436" s="421"/>
      <c r="M436" s="421"/>
      <c r="N436" s="421"/>
      <c r="O436" s="421"/>
      <c r="P436" s="421"/>
      <c r="Q436" s="421"/>
      <c r="S436" s="544"/>
      <c r="T436" s="421"/>
      <c r="U436" s="421"/>
      <c r="V436" s="421"/>
      <c r="W436" s="421"/>
      <c r="X436" s="421"/>
      <c r="Y436" s="421"/>
      <c r="Z436" s="421"/>
      <c r="AA436" s="421"/>
      <c r="AB436" s="421"/>
      <c r="AC436" s="421"/>
      <c r="AD436" s="421"/>
    </row>
    <row r="437" spans="1:30" s="378" customFormat="1">
      <c r="A437" s="423">
        <v>8</v>
      </c>
      <c r="B437" s="499" t="s">
        <v>530</v>
      </c>
      <c r="C437" s="499" t="s">
        <v>531</v>
      </c>
      <c r="D437" s="410">
        <v>128</v>
      </c>
      <c r="E437" s="406"/>
      <c r="F437" s="544"/>
      <c r="G437" s="421"/>
      <c r="H437" s="421"/>
      <c r="I437" s="421"/>
      <c r="J437" s="421"/>
      <c r="K437" s="421"/>
      <c r="L437" s="421"/>
      <c r="M437" s="421"/>
      <c r="N437" s="421"/>
      <c r="O437" s="421"/>
      <c r="P437" s="421"/>
      <c r="Q437" s="421"/>
      <c r="S437" s="544"/>
      <c r="T437" s="421"/>
      <c r="U437" s="421"/>
      <c r="V437" s="421"/>
      <c r="W437" s="421"/>
      <c r="X437" s="421"/>
      <c r="Y437" s="421"/>
      <c r="Z437" s="421"/>
      <c r="AA437" s="421"/>
      <c r="AB437" s="421"/>
      <c r="AC437" s="421"/>
      <c r="AD437" s="421"/>
    </row>
    <row r="438" spans="1:30" s="378" customFormat="1">
      <c r="A438" s="423">
        <v>9</v>
      </c>
      <c r="B438" s="499" t="s">
        <v>533</v>
      </c>
      <c r="C438" s="499" t="s">
        <v>534</v>
      </c>
      <c r="D438" s="410">
        <v>128</v>
      </c>
      <c r="E438" s="406"/>
      <c r="F438" s="544"/>
      <c r="G438" s="421"/>
      <c r="H438" s="421"/>
      <c r="I438" s="421"/>
      <c r="J438" s="421"/>
      <c r="K438" s="421"/>
      <c r="L438" s="421"/>
      <c r="M438" s="421"/>
      <c r="N438" s="421"/>
      <c r="O438" s="421"/>
      <c r="P438" s="421"/>
      <c r="Q438" s="421"/>
      <c r="S438" s="544"/>
      <c r="T438" s="421"/>
      <c r="U438" s="421"/>
      <c r="V438" s="421"/>
      <c r="W438" s="421"/>
      <c r="X438" s="421"/>
      <c r="Y438" s="421"/>
      <c r="Z438" s="421"/>
      <c r="AA438" s="421"/>
      <c r="AB438" s="421"/>
      <c r="AC438" s="421"/>
      <c r="AD438" s="421"/>
    </row>
    <row r="439" spans="1:30" s="378" customFormat="1">
      <c r="A439" s="423">
        <v>10</v>
      </c>
      <c r="B439" s="499" t="s">
        <v>535</v>
      </c>
      <c r="C439" s="499" t="s">
        <v>536</v>
      </c>
      <c r="D439" s="410">
        <v>128</v>
      </c>
      <c r="E439" s="406"/>
      <c r="F439" s="544"/>
      <c r="G439" s="421"/>
      <c r="H439" s="421"/>
      <c r="I439" s="421"/>
      <c r="J439" s="421"/>
      <c r="K439" s="421"/>
      <c r="L439" s="421"/>
      <c r="M439" s="421"/>
      <c r="N439" s="421"/>
      <c r="O439" s="421"/>
      <c r="P439" s="421"/>
      <c r="Q439" s="421"/>
      <c r="S439" s="544"/>
      <c r="T439" s="421"/>
      <c r="U439" s="421"/>
      <c r="V439" s="421"/>
      <c r="W439" s="421"/>
      <c r="X439" s="421"/>
      <c r="Y439" s="421"/>
      <c r="Z439" s="421"/>
      <c r="AA439" s="421"/>
      <c r="AB439" s="421"/>
      <c r="AC439" s="421"/>
      <c r="AD439" s="421"/>
    </row>
    <row r="440" spans="1:30" s="378" customFormat="1">
      <c r="A440" s="423">
        <v>11</v>
      </c>
      <c r="B440" s="499" t="s">
        <v>537</v>
      </c>
      <c r="C440" s="499" t="s">
        <v>538</v>
      </c>
      <c r="D440" s="410">
        <v>128</v>
      </c>
      <c r="E440" s="406"/>
      <c r="F440" s="544"/>
      <c r="G440" s="421"/>
      <c r="H440" s="421"/>
      <c r="I440" s="421"/>
      <c r="J440" s="421"/>
      <c r="K440" s="421"/>
      <c r="L440" s="421"/>
      <c r="M440" s="421"/>
      <c r="N440" s="421"/>
      <c r="O440" s="421"/>
      <c r="P440" s="421"/>
      <c r="Q440" s="421"/>
      <c r="S440" s="544"/>
      <c r="T440" s="421"/>
      <c r="U440" s="421"/>
      <c r="V440" s="421"/>
      <c r="W440" s="421"/>
      <c r="X440" s="421"/>
      <c r="Y440" s="421"/>
      <c r="Z440" s="421"/>
      <c r="AA440" s="421"/>
      <c r="AB440" s="421"/>
      <c r="AC440" s="421"/>
      <c r="AD440" s="421"/>
    </row>
    <row r="441" spans="1:30" s="378" customFormat="1">
      <c r="A441" s="423">
        <v>12</v>
      </c>
      <c r="B441" s="499" t="s">
        <v>539</v>
      </c>
      <c r="C441" s="499" t="s">
        <v>540</v>
      </c>
      <c r="D441" s="410">
        <v>128</v>
      </c>
      <c r="E441" s="406"/>
      <c r="F441" s="544"/>
      <c r="G441" s="421"/>
      <c r="H441" s="421"/>
      <c r="I441" s="421"/>
      <c r="J441" s="421"/>
      <c r="K441" s="421"/>
      <c r="L441" s="421"/>
      <c r="M441" s="421"/>
      <c r="N441" s="421"/>
      <c r="O441" s="421"/>
      <c r="P441" s="421"/>
      <c r="Q441" s="421"/>
      <c r="S441" s="544"/>
      <c r="T441" s="421"/>
      <c r="U441" s="421"/>
      <c r="V441" s="421"/>
      <c r="W441" s="421"/>
      <c r="X441" s="421"/>
      <c r="Y441" s="421"/>
      <c r="Z441" s="421"/>
      <c r="AA441" s="421"/>
      <c r="AB441" s="421"/>
      <c r="AC441" s="421"/>
      <c r="AD441" s="421"/>
    </row>
    <row r="442" spans="1:30" s="378" customFormat="1">
      <c r="A442" s="423">
        <v>13</v>
      </c>
      <c r="B442" s="499" t="s">
        <v>541</v>
      </c>
      <c r="C442" s="499" t="s">
        <v>542</v>
      </c>
      <c r="D442" s="410">
        <v>128</v>
      </c>
      <c r="E442" s="406"/>
      <c r="F442" s="544"/>
      <c r="G442" s="421"/>
      <c r="H442" s="421"/>
      <c r="I442" s="421"/>
      <c r="J442" s="421"/>
      <c r="K442" s="421"/>
      <c r="L442" s="421"/>
      <c r="M442" s="421"/>
      <c r="N442" s="421"/>
      <c r="O442" s="421"/>
      <c r="P442" s="421"/>
      <c r="Q442" s="421"/>
      <c r="S442" s="544"/>
      <c r="T442" s="421"/>
      <c r="U442" s="421"/>
      <c r="V442" s="421"/>
      <c r="W442" s="421"/>
      <c r="X442" s="421"/>
      <c r="Y442" s="421"/>
      <c r="Z442" s="421"/>
      <c r="AA442" s="421"/>
      <c r="AB442" s="421"/>
      <c r="AC442" s="421"/>
      <c r="AD442" s="421"/>
    </row>
    <row r="443" spans="1:30" s="378" customFormat="1">
      <c r="A443" s="423">
        <v>14</v>
      </c>
      <c r="B443" s="499" t="s">
        <v>543</v>
      </c>
      <c r="C443" s="499" t="s">
        <v>544</v>
      </c>
      <c r="D443" s="410">
        <v>128</v>
      </c>
      <c r="E443" s="406"/>
      <c r="F443" s="544"/>
      <c r="G443" s="421"/>
      <c r="H443" s="421"/>
      <c r="I443" s="421"/>
      <c r="J443" s="421"/>
      <c r="K443" s="421"/>
      <c r="L443" s="421"/>
      <c r="M443" s="421"/>
      <c r="N443" s="421"/>
      <c r="O443" s="421"/>
      <c r="P443" s="421"/>
      <c r="Q443" s="421"/>
      <c r="S443" s="544"/>
      <c r="T443" s="421"/>
      <c r="U443" s="421"/>
      <c r="V443" s="421"/>
      <c r="W443" s="421"/>
      <c r="X443" s="421"/>
      <c r="Y443" s="421"/>
      <c r="Z443" s="421"/>
      <c r="AA443" s="421"/>
      <c r="AB443" s="421"/>
      <c r="AC443" s="421"/>
      <c r="AD443" s="421"/>
    </row>
    <row r="444" spans="1:30" s="378" customFormat="1">
      <c r="A444" s="423">
        <v>15</v>
      </c>
      <c r="B444" s="499" t="s">
        <v>545</v>
      </c>
      <c r="C444" s="499" t="s">
        <v>546</v>
      </c>
      <c r="D444" s="410">
        <v>128</v>
      </c>
      <c r="E444" s="406"/>
      <c r="F444" s="544"/>
      <c r="G444" s="421"/>
      <c r="H444" s="421"/>
      <c r="I444" s="421"/>
      <c r="J444" s="421"/>
      <c r="K444" s="421"/>
      <c r="L444" s="421"/>
      <c r="M444" s="421"/>
      <c r="N444" s="421"/>
      <c r="O444" s="421"/>
      <c r="P444" s="421"/>
      <c r="Q444" s="421"/>
      <c r="S444" s="544"/>
      <c r="T444" s="421"/>
      <c r="U444" s="421"/>
      <c r="V444" s="421"/>
      <c r="W444" s="421"/>
      <c r="X444" s="421"/>
      <c r="Y444" s="421"/>
      <c r="Z444" s="421"/>
      <c r="AA444" s="421"/>
      <c r="AB444" s="421"/>
      <c r="AC444" s="421"/>
      <c r="AD444" s="421"/>
    </row>
    <row r="445" spans="1:30" s="378" customFormat="1">
      <c r="A445" s="423">
        <v>16</v>
      </c>
      <c r="B445" s="499" t="s">
        <v>547</v>
      </c>
      <c r="C445" s="499" t="s">
        <v>548</v>
      </c>
      <c r="D445" s="410">
        <v>128</v>
      </c>
      <c r="E445" s="406"/>
      <c r="F445" s="544"/>
      <c r="G445" s="421"/>
      <c r="H445" s="421"/>
      <c r="I445" s="421"/>
      <c r="J445" s="421"/>
      <c r="K445" s="421"/>
      <c r="L445" s="421"/>
      <c r="M445" s="421"/>
      <c r="N445" s="421"/>
      <c r="O445" s="421"/>
      <c r="P445" s="421"/>
      <c r="Q445" s="421"/>
      <c r="S445" s="544"/>
      <c r="T445" s="421"/>
      <c r="U445" s="421"/>
      <c r="V445" s="421"/>
      <c r="W445" s="421"/>
      <c r="X445" s="421"/>
      <c r="Y445" s="421"/>
      <c r="Z445" s="421"/>
      <c r="AA445" s="421"/>
      <c r="AB445" s="421"/>
      <c r="AC445" s="421"/>
      <c r="AD445" s="421"/>
    </row>
    <row r="446" spans="1:30" s="378" customFormat="1">
      <c r="A446" s="423">
        <v>17</v>
      </c>
      <c r="B446" s="499" t="s">
        <v>549</v>
      </c>
      <c r="C446" s="499" t="s">
        <v>550</v>
      </c>
      <c r="D446" s="410">
        <v>128</v>
      </c>
      <c r="E446" s="406"/>
      <c r="F446" s="544"/>
      <c r="G446" s="421"/>
      <c r="H446" s="421"/>
      <c r="I446" s="421"/>
      <c r="J446" s="421"/>
      <c r="K446" s="421"/>
      <c r="L446" s="421"/>
      <c r="M446" s="421"/>
      <c r="N446" s="421"/>
      <c r="O446" s="421"/>
      <c r="P446" s="421"/>
      <c r="Q446" s="421"/>
      <c r="S446" s="544"/>
      <c r="T446" s="421"/>
      <c r="U446" s="421"/>
      <c r="V446" s="421"/>
      <c r="W446" s="421"/>
      <c r="X446" s="421"/>
      <c r="Y446" s="421"/>
      <c r="Z446" s="421"/>
      <c r="AA446" s="421"/>
      <c r="AB446" s="421"/>
      <c r="AC446" s="421"/>
      <c r="AD446" s="421"/>
    </row>
    <row r="447" spans="1:30" s="378" customFormat="1">
      <c r="A447" s="423">
        <v>18</v>
      </c>
      <c r="B447" s="499" t="s">
        <v>551</v>
      </c>
      <c r="C447" s="499" t="s">
        <v>552</v>
      </c>
      <c r="D447" s="410">
        <v>128</v>
      </c>
      <c r="E447" s="406"/>
      <c r="F447" s="544"/>
      <c r="G447" s="421"/>
      <c r="H447" s="421"/>
      <c r="I447" s="421"/>
      <c r="J447" s="421"/>
      <c r="K447" s="421"/>
      <c r="L447" s="421"/>
      <c r="M447" s="421"/>
      <c r="N447" s="421"/>
      <c r="O447" s="421"/>
      <c r="P447" s="421"/>
      <c r="Q447" s="421"/>
      <c r="S447" s="544"/>
      <c r="T447" s="421"/>
      <c r="U447" s="421"/>
      <c r="V447" s="421"/>
      <c r="W447" s="421"/>
      <c r="X447" s="421"/>
      <c r="Y447" s="421"/>
      <c r="Z447" s="421"/>
      <c r="AA447" s="421"/>
      <c r="AB447" s="421"/>
      <c r="AC447" s="421"/>
      <c r="AD447" s="421"/>
    </row>
    <row r="448" spans="1:30" s="378" customFormat="1">
      <c r="A448" s="423">
        <v>19</v>
      </c>
      <c r="B448" s="435" t="s">
        <v>553</v>
      </c>
      <c r="C448" s="435" t="s">
        <v>554</v>
      </c>
      <c r="D448" s="410">
        <v>128</v>
      </c>
      <c r="E448" s="406"/>
      <c r="F448" s="544"/>
      <c r="G448" s="421"/>
      <c r="H448" s="421"/>
      <c r="I448" s="421"/>
      <c r="J448" s="421"/>
      <c r="K448" s="421"/>
      <c r="L448" s="421"/>
      <c r="M448" s="421"/>
      <c r="N448" s="421"/>
      <c r="O448" s="421"/>
      <c r="P448" s="421"/>
      <c r="Q448" s="421"/>
      <c r="S448" s="544"/>
      <c r="T448" s="421"/>
      <c r="U448" s="421"/>
      <c r="V448" s="421"/>
      <c r="W448" s="421"/>
      <c r="X448" s="421"/>
      <c r="Y448" s="421"/>
      <c r="Z448" s="421"/>
      <c r="AA448" s="421"/>
      <c r="AB448" s="421"/>
      <c r="AC448" s="421"/>
      <c r="AD448" s="421"/>
    </row>
    <row r="449" spans="1:30" s="378" customFormat="1">
      <c r="A449" s="423">
        <v>20</v>
      </c>
      <c r="B449" s="499" t="s">
        <v>555</v>
      </c>
      <c r="C449" s="499" t="s">
        <v>556</v>
      </c>
      <c r="D449" s="410">
        <v>128</v>
      </c>
      <c r="E449" s="406"/>
      <c r="F449" s="544"/>
      <c r="G449" s="421"/>
      <c r="H449" s="421"/>
      <c r="I449" s="421"/>
      <c r="J449" s="421"/>
      <c r="K449" s="421"/>
      <c r="L449" s="421"/>
      <c r="M449" s="421"/>
      <c r="N449" s="421"/>
      <c r="O449" s="421"/>
      <c r="P449" s="421"/>
      <c r="Q449" s="421"/>
      <c r="S449" s="544"/>
      <c r="T449" s="421"/>
      <c r="U449" s="421"/>
      <c r="V449" s="421"/>
      <c r="W449" s="421"/>
      <c r="X449" s="421"/>
      <c r="Y449" s="421"/>
      <c r="Z449" s="421"/>
      <c r="AA449" s="421"/>
      <c r="AB449" s="421"/>
      <c r="AC449" s="421"/>
      <c r="AD449" s="421"/>
    </row>
    <row r="450" spans="1:30" s="378" customFormat="1">
      <c r="A450" s="423">
        <v>21</v>
      </c>
      <c r="B450" s="499" t="s">
        <v>557</v>
      </c>
      <c r="C450" s="499" t="s">
        <v>558</v>
      </c>
      <c r="D450" s="410">
        <v>128</v>
      </c>
      <c r="E450" s="406"/>
      <c r="F450" s="544"/>
      <c r="G450" s="421"/>
      <c r="H450" s="421"/>
      <c r="I450" s="421"/>
      <c r="J450" s="421"/>
      <c r="K450" s="421"/>
      <c r="L450" s="421"/>
      <c r="M450" s="421"/>
      <c r="N450" s="421"/>
      <c r="O450" s="421"/>
      <c r="P450" s="421"/>
      <c r="Q450" s="421"/>
      <c r="S450" s="544"/>
      <c r="T450" s="421"/>
      <c r="U450" s="421"/>
      <c r="V450" s="421"/>
      <c r="W450" s="421"/>
      <c r="X450" s="421"/>
      <c r="Y450" s="421"/>
      <c r="Z450" s="421"/>
      <c r="AA450" s="421"/>
      <c r="AB450" s="421"/>
      <c r="AC450" s="421"/>
      <c r="AD450" s="421"/>
    </row>
    <row r="451" spans="1:30" s="378" customFormat="1">
      <c r="A451" s="423">
        <v>22</v>
      </c>
      <c r="B451" s="499" t="s">
        <v>559</v>
      </c>
      <c r="C451" s="499" t="s">
        <v>560</v>
      </c>
      <c r="D451" s="410">
        <v>128</v>
      </c>
      <c r="E451" s="406"/>
      <c r="F451" s="544"/>
      <c r="G451" s="421"/>
      <c r="H451" s="421"/>
      <c r="I451" s="421"/>
      <c r="J451" s="421"/>
      <c r="K451" s="421"/>
      <c r="L451" s="421"/>
      <c r="M451" s="421"/>
      <c r="N451" s="421"/>
      <c r="O451" s="421"/>
      <c r="P451" s="421"/>
      <c r="Q451" s="421"/>
      <c r="S451" s="544"/>
      <c r="T451" s="421"/>
      <c r="U451" s="421"/>
      <c r="V451" s="421"/>
      <c r="W451" s="421"/>
      <c r="X451" s="421"/>
      <c r="Y451" s="421"/>
      <c r="Z451" s="421"/>
      <c r="AA451" s="421"/>
      <c r="AB451" s="421"/>
      <c r="AC451" s="421"/>
      <c r="AD451" s="421"/>
    </row>
    <row r="452" spans="1:30" s="378" customFormat="1">
      <c r="A452" s="423"/>
      <c r="B452" s="499"/>
      <c r="C452" s="499"/>
      <c r="D452" s="410"/>
      <c r="E452" s="406"/>
      <c r="F452" s="544"/>
      <c r="G452" s="421"/>
      <c r="H452" s="421"/>
      <c r="I452" s="421"/>
      <c r="J452" s="421"/>
      <c r="K452" s="421"/>
      <c r="L452" s="421"/>
      <c r="M452" s="421"/>
      <c r="N452" s="421"/>
      <c r="O452" s="421"/>
      <c r="P452" s="421"/>
      <c r="Q452" s="421"/>
      <c r="S452" s="544"/>
      <c r="T452" s="421"/>
      <c r="U452" s="421"/>
      <c r="V452" s="421"/>
      <c r="W452" s="421"/>
      <c r="X452" s="421"/>
      <c r="Y452" s="421"/>
      <c r="Z452" s="421"/>
      <c r="AA452" s="421"/>
      <c r="AB452" s="421"/>
      <c r="AC452" s="421"/>
      <c r="AD452" s="421"/>
    </row>
    <row r="453" spans="1:30" s="378" customFormat="1">
      <c r="A453" s="467"/>
      <c r="B453" s="502" t="s">
        <v>623</v>
      </c>
      <c r="C453" s="502"/>
      <c r="D453" s="503"/>
      <c r="E453" s="406"/>
      <c r="F453" s="422"/>
      <c r="G453" s="421"/>
      <c r="H453" s="421"/>
      <c r="I453" s="421"/>
      <c r="J453" s="421"/>
      <c r="K453" s="421"/>
      <c r="L453" s="421"/>
      <c r="M453" s="421"/>
      <c r="N453" s="421"/>
      <c r="O453" s="421"/>
      <c r="P453" s="421"/>
      <c r="Q453" s="421"/>
      <c r="S453" s="422"/>
      <c r="T453" s="421"/>
      <c r="U453" s="421"/>
      <c r="V453" s="421"/>
      <c r="W453" s="421"/>
      <c r="X453" s="421"/>
      <c r="Y453" s="421"/>
      <c r="Z453" s="421"/>
      <c r="AA453" s="421"/>
      <c r="AB453" s="421"/>
      <c r="AC453" s="421"/>
      <c r="AD453" s="421"/>
    </row>
    <row r="454" spans="1:30" s="378" customFormat="1">
      <c r="A454" s="425"/>
      <c r="B454" s="406" t="s">
        <v>587</v>
      </c>
      <c r="C454" s="406"/>
      <c r="D454" s="410">
        <v>128</v>
      </c>
      <c r="E454" s="409"/>
      <c r="F454" s="544">
        <v>50000000000</v>
      </c>
      <c r="G454" s="421">
        <v>50000000000</v>
      </c>
      <c r="H454" s="421">
        <v>55000000000</v>
      </c>
      <c r="I454" s="421">
        <v>65000000000</v>
      </c>
      <c r="J454" s="421">
        <v>65000000000</v>
      </c>
      <c r="K454" s="421">
        <v>65000000000</v>
      </c>
      <c r="L454" s="421">
        <v>50000000000</v>
      </c>
      <c r="M454" s="421">
        <v>50000000000</v>
      </c>
      <c r="N454" s="421">
        <v>32000000000</v>
      </c>
      <c r="O454" s="421">
        <v>40000000000</v>
      </c>
      <c r="P454" s="421">
        <v>40000000000</v>
      </c>
      <c r="Q454" s="421">
        <v>35000000000</v>
      </c>
      <c r="S454" s="544">
        <v>35000000000</v>
      </c>
      <c r="T454" s="421">
        <v>35000000000</v>
      </c>
      <c r="U454" s="421">
        <v>32000000000</v>
      </c>
      <c r="V454" s="421">
        <v>32000000000</v>
      </c>
      <c r="W454" s="421">
        <v>42000000000</v>
      </c>
      <c r="X454" s="421">
        <v>62000000000</v>
      </c>
      <c r="Y454" s="421"/>
      <c r="Z454" s="421"/>
      <c r="AA454" s="421"/>
      <c r="AB454" s="421"/>
      <c r="AC454" s="421"/>
      <c r="AD454" s="421"/>
    </row>
    <row r="455" spans="1:30" s="378" customFormat="1">
      <c r="A455" s="425"/>
      <c r="B455" s="518"/>
      <c r="C455" s="518"/>
      <c r="D455" s="497"/>
      <c r="E455" s="409"/>
      <c r="F455" s="542"/>
      <c r="G455" s="463"/>
      <c r="H455" s="463"/>
      <c r="I455" s="463"/>
      <c r="J455" s="463"/>
      <c r="K455" s="463"/>
      <c r="L455" s="463"/>
      <c r="M455" s="463"/>
      <c r="N455" s="463"/>
      <c r="O455" s="463"/>
      <c r="P455" s="463"/>
      <c r="Q455" s="463"/>
      <c r="S455" s="542"/>
      <c r="T455" s="463"/>
      <c r="U455" s="463"/>
      <c r="V455" s="463"/>
      <c r="W455" s="463"/>
      <c r="X455" s="463"/>
      <c r="Y455" s="463"/>
      <c r="Z455" s="463"/>
      <c r="AA455" s="463"/>
      <c r="AB455" s="463"/>
      <c r="AC455" s="463"/>
      <c r="AD455" s="463"/>
    </row>
    <row r="456" spans="1:30" s="378" customFormat="1">
      <c r="A456" s="454" t="s">
        <v>624</v>
      </c>
      <c r="B456" s="394" t="s">
        <v>625</v>
      </c>
      <c r="C456" s="394"/>
      <c r="D456" s="456"/>
      <c r="E456" s="456"/>
      <c r="F456" s="488" t="s">
        <v>615</v>
      </c>
      <c r="G456" s="488" t="s">
        <v>483</v>
      </c>
      <c r="H456" s="488" t="s">
        <v>484</v>
      </c>
      <c r="I456" s="488" t="s">
        <v>485</v>
      </c>
      <c r="J456" s="488" t="s">
        <v>486</v>
      </c>
      <c r="K456" s="488" t="s">
        <v>487</v>
      </c>
      <c r="L456" s="488" t="s">
        <v>488</v>
      </c>
      <c r="M456" s="488" t="s">
        <v>489</v>
      </c>
      <c r="N456" s="488" t="s">
        <v>490</v>
      </c>
      <c r="O456" s="488" t="s">
        <v>491</v>
      </c>
      <c r="P456" s="488" t="s">
        <v>492</v>
      </c>
      <c r="Q456" s="488" t="s">
        <v>493</v>
      </c>
      <c r="S456" s="488" t="s">
        <v>482</v>
      </c>
      <c r="T456" s="488" t="s">
        <v>483</v>
      </c>
      <c r="U456" s="488" t="s">
        <v>484</v>
      </c>
      <c r="V456" s="488" t="s">
        <v>485</v>
      </c>
      <c r="W456" s="488" t="s">
        <v>486</v>
      </c>
      <c r="X456" s="488" t="s">
        <v>487</v>
      </c>
      <c r="Y456" s="488" t="s">
        <v>488</v>
      </c>
      <c r="Z456" s="488" t="s">
        <v>489</v>
      </c>
      <c r="AA456" s="488" t="s">
        <v>490</v>
      </c>
      <c r="AB456" s="488" t="s">
        <v>491</v>
      </c>
      <c r="AC456" s="488" t="s">
        <v>492</v>
      </c>
      <c r="AD456" s="488" t="s">
        <v>493</v>
      </c>
    </row>
    <row r="457" spans="1:30" s="378" customFormat="1">
      <c r="A457" s="467"/>
      <c r="B457" s="504" t="s">
        <v>622</v>
      </c>
      <c r="C457" s="504"/>
      <c r="D457" s="502"/>
      <c r="E457" s="406"/>
      <c r="F457" s="562"/>
      <c r="G457" s="564"/>
      <c r="H457" s="564"/>
      <c r="I457" s="564"/>
      <c r="J457" s="564"/>
      <c r="K457" s="564"/>
      <c r="L457" s="564"/>
      <c r="M457" s="564"/>
      <c r="N457" s="564"/>
      <c r="O457" s="564"/>
      <c r="P457" s="564"/>
      <c r="Q457" s="564"/>
      <c r="S457" s="562"/>
      <c r="T457" s="564"/>
      <c r="U457" s="564"/>
      <c r="V457" s="564"/>
      <c r="W457" s="564"/>
      <c r="X457" s="564"/>
      <c r="Y457" s="564"/>
      <c r="Z457" s="564"/>
      <c r="AA457" s="564"/>
      <c r="AB457" s="564"/>
      <c r="AC457" s="564"/>
      <c r="AD457" s="564"/>
    </row>
    <row r="458" spans="1:30" s="378" customFormat="1">
      <c r="A458" s="423">
        <v>1</v>
      </c>
      <c r="B458" s="435" t="s">
        <v>498</v>
      </c>
      <c r="C458" s="435" t="s">
        <v>499</v>
      </c>
      <c r="D458" s="410">
        <v>341</v>
      </c>
      <c r="E458" s="406"/>
      <c r="F458" s="544"/>
      <c r="G458" s="421"/>
      <c r="H458" s="421"/>
      <c r="I458" s="421"/>
      <c r="J458" s="421"/>
      <c r="K458" s="421"/>
      <c r="L458" s="421"/>
      <c r="M458" s="421"/>
      <c r="N458" s="421"/>
      <c r="O458" s="421"/>
      <c r="P458" s="421"/>
      <c r="Q458" s="421"/>
      <c r="S458" s="544"/>
      <c r="T458" s="421"/>
      <c r="U458" s="421"/>
      <c r="V458" s="421"/>
      <c r="W458" s="421"/>
      <c r="X458" s="421"/>
      <c r="Y458" s="421"/>
      <c r="Z458" s="421"/>
      <c r="AA458" s="421"/>
      <c r="AB458" s="421"/>
      <c r="AC458" s="421"/>
      <c r="AD458" s="421"/>
    </row>
    <row r="459" spans="1:30" s="378" customFormat="1">
      <c r="A459" s="423">
        <v>2</v>
      </c>
      <c r="B459" s="431" t="s">
        <v>509</v>
      </c>
      <c r="C459" s="431" t="s">
        <v>510</v>
      </c>
      <c r="D459" s="410">
        <v>341</v>
      </c>
      <c r="E459" s="406"/>
      <c r="F459" s="544"/>
      <c r="G459" s="421"/>
      <c r="H459" s="421"/>
      <c r="I459" s="421"/>
      <c r="J459" s="421"/>
      <c r="K459" s="421"/>
      <c r="L459" s="421"/>
      <c r="M459" s="421"/>
      <c r="N459" s="421"/>
      <c r="O459" s="421"/>
      <c r="P459" s="421"/>
      <c r="Q459" s="421"/>
      <c r="S459" s="544"/>
      <c r="T459" s="421"/>
      <c r="U459" s="421"/>
      <c r="V459" s="421"/>
      <c r="W459" s="421"/>
      <c r="X459" s="421"/>
      <c r="Y459" s="421"/>
      <c r="Z459" s="421"/>
      <c r="AA459" s="421"/>
      <c r="AB459" s="421"/>
      <c r="AC459" s="421"/>
      <c r="AD459" s="421"/>
    </row>
    <row r="460" spans="1:30" s="378" customFormat="1">
      <c r="A460" s="423">
        <v>3</v>
      </c>
      <c r="B460" s="499" t="s">
        <v>515</v>
      </c>
      <c r="C460" s="499" t="s">
        <v>516</v>
      </c>
      <c r="D460" s="410">
        <v>341</v>
      </c>
      <c r="E460" s="406"/>
      <c r="F460" s="544"/>
      <c r="G460" s="421"/>
      <c r="H460" s="421"/>
      <c r="I460" s="421"/>
      <c r="J460" s="421"/>
      <c r="K460" s="421"/>
      <c r="L460" s="421"/>
      <c r="M460" s="421"/>
      <c r="N460" s="421"/>
      <c r="O460" s="421"/>
      <c r="P460" s="421"/>
      <c r="Q460" s="421"/>
      <c r="S460" s="544"/>
      <c r="T460" s="421"/>
      <c r="U460" s="421"/>
      <c r="V460" s="421"/>
      <c r="W460" s="421"/>
      <c r="X460" s="421"/>
      <c r="Y460" s="421"/>
      <c r="Z460" s="421"/>
      <c r="AA460" s="421"/>
      <c r="AB460" s="421"/>
      <c r="AC460" s="421"/>
      <c r="AD460" s="421"/>
    </row>
    <row r="461" spans="1:30" s="378" customFormat="1">
      <c r="A461" s="423">
        <v>4</v>
      </c>
      <c r="B461" s="499" t="s">
        <v>518</v>
      </c>
      <c r="C461" s="499" t="s">
        <v>519</v>
      </c>
      <c r="D461" s="410">
        <v>341</v>
      </c>
      <c r="E461" s="406"/>
      <c r="F461" s="544"/>
      <c r="G461" s="421"/>
      <c r="H461" s="421"/>
      <c r="I461" s="421"/>
      <c r="J461" s="421"/>
      <c r="K461" s="421"/>
      <c r="L461" s="421"/>
      <c r="M461" s="421"/>
      <c r="N461" s="421"/>
      <c r="O461" s="421"/>
      <c r="P461" s="421"/>
      <c r="Q461" s="421"/>
      <c r="S461" s="544"/>
      <c r="T461" s="421"/>
      <c r="U461" s="421"/>
      <c r="V461" s="421"/>
      <c r="W461" s="421"/>
      <c r="X461" s="421"/>
      <c r="Y461" s="421"/>
      <c r="Z461" s="421"/>
      <c r="AA461" s="421"/>
      <c r="AB461" s="421"/>
      <c r="AC461" s="421"/>
      <c r="AD461" s="421"/>
    </row>
    <row r="462" spans="1:30" s="378" customFormat="1">
      <c r="A462" s="423">
        <v>5</v>
      </c>
      <c r="B462" s="499" t="s">
        <v>521</v>
      </c>
      <c r="C462" s="499" t="s">
        <v>522</v>
      </c>
      <c r="D462" s="410">
        <v>341</v>
      </c>
      <c r="E462" s="406"/>
      <c r="F462" s="544"/>
      <c r="G462" s="421"/>
      <c r="H462" s="421"/>
      <c r="I462" s="421"/>
      <c r="J462" s="421"/>
      <c r="K462" s="421"/>
      <c r="L462" s="421"/>
      <c r="M462" s="421"/>
      <c r="N462" s="421"/>
      <c r="O462" s="421"/>
      <c r="P462" s="421"/>
      <c r="Q462" s="421"/>
      <c r="S462" s="544"/>
      <c r="T462" s="421"/>
      <c r="U462" s="421"/>
      <c r="V462" s="421"/>
      <c r="W462" s="421"/>
      <c r="X462" s="421"/>
      <c r="Y462" s="421"/>
      <c r="Z462" s="421"/>
      <c r="AA462" s="421"/>
      <c r="AB462" s="421"/>
      <c r="AC462" s="421"/>
      <c r="AD462" s="421"/>
    </row>
    <row r="463" spans="1:30" s="378" customFormat="1">
      <c r="A463" s="423">
        <v>6</v>
      </c>
      <c r="B463" s="499" t="s">
        <v>524</v>
      </c>
      <c r="C463" s="499" t="s">
        <v>525</v>
      </c>
      <c r="D463" s="410">
        <v>341</v>
      </c>
      <c r="E463" s="406"/>
      <c r="F463" s="544"/>
      <c r="G463" s="421"/>
      <c r="H463" s="421"/>
      <c r="I463" s="421"/>
      <c r="J463" s="421"/>
      <c r="K463" s="421"/>
      <c r="L463" s="421"/>
      <c r="M463" s="421"/>
      <c r="N463" s="421"/>
      <c r="O463" s="421"/>
      <c r="P463" s="421"/>
      <c r="Q463" s="421"/>
      <c r="S463" s="544"/>
      <c r="T463" s="421"/>
      <c r="U463" s="421"/>
      <c r="V463" s="421"/>
      <c r="W463" s="421"/>
      <c r="X463" s="421"/>
      <c r="Y463" s="421"/>
      <c r="Z463" s="421"/>
      <c r="AA463" s="421"/>
      <c r="AB463" s="421"/>
      <c r="AC463" s="421"/>
      <c r="AD463" s="421"/>
    </row>
    <row r="464" spans="1:30" s="378" customFormat="1">
      <c r="A464" s="423">
        <v>7</v>
      </c>
      <c r="B464" s="435" t="s">
        <v>528</v>
      </c>
      <c r="C464" s="435" t="s">
        <v>529</v>
      </c>
      <c r="D464" s="410">
        <v>341</v>
      </c>
      <c r="E464" s="406"/>
      <c r="F464" s="544"/>
      <c r="G464" s="421"/>
      <c r="H464" s="421"/>
      <c r="I464" s="421"/>
      <c r="J464" s="421"/>
      <c r="K464" s="421"/>
      <c r="L464" s="421"/>
      <c r="M464" s="421"/>
      <c r="N464" s="421"/>
      <c r="O464" s="421"/>
      <c r="P464" s="421"/>
      <c r="Q464" s="421"/>
      <c r="S464" s="544"/>
      <c r="T464" s="421"/>
      <c r="U464" s="421"/>
      <c r="V464" s="421"/>
      <c r="W464" s="421"/>
      <c r="X464" s="421"/>
      <c r="Y464" s="421"/>
      <c r="Z464" s="421"/>
      <c r="AA464" s="421"/>
      <c r="AB464" s="421"/>
      <c r="AC464" s="421"/>
      <c r="AD464" s="421"/>
    </row>
    <row r="465" spans="1:30" s="378" customFormat="1">
      <c r="A465" s="423">
        <v>8</v>
      </c>
      <c r="B465" s="499" t="s">
        <v>530</v>
      </c>
      <c r="C465" s="499" t="s">
        <v>531</v>
      </c>
      <c r="D465" s="410">
        <v>341</v>
      </c>
      <c r="E465" s="406"/>
      <c r="F465" s="544"/>
      <c r="G465" s="421"/>
      <c r="H465" s="421"/>
      <c r="I465" s="421"/>
      <c r="J465" s="421"/>
      <c r="K465" s="421"/>
      <c r="L465" s="421"/>
      <c r="M465" s="421"/>
      <c r="N465" s="421"/>
      <c r="O465" s="421"/>
      <c r="P465" s="421"/>
      <c r="Q465" s="421"/>
      <c r="S465" s="544"/>
      <c r="T465" s="421"/>
      <c r="U465" s="421"/>
      <c r="V465" s="421"/>
      <c r="W465" s="421"/>
      <c r="X465" s="421"/>
      <c r="Y465" s="421"/>
      <c r="Z465" s="421"/>
      <c r="AA465" s="421"/>
      <c r="AB465" s="421"/>
      <c r="AC465" s="421"/>
      <c r="AD465" s="421"/>
    </row>
    <row r="466" spans="1:30" s="378" customFormat="1">
      <c r="A466" s="423">
        <v>9</v>
      </c>
      <c r="B466" s="499" t="s">
        <v>533</v>
      </c>
      <c r="C466" s="499" t="s">
        <v>534</v>
      </c>
      <c r="D466" s="410">
        <v>341</v>
      </c>
      <c r="E466" s="406"/>
      <c r="F466" s="544"/>
      <c r="G466" s="421"/>
      <c r="H466" s="421"/>
      <c r="I466" s="421"/>
      <c r="J466" s="421"/>
      <c r="K466" s="421"/>
      <c r="L466" s="421"/>
      <c r="M466" s="421"/>
      <c r="N466" s="421"/>
      <c r="O466" s="421"/>
      <c r="P466" s="421"/>
      <c r="Q466" s="421"/>
      <c r="S466" s="544"/>
      <c r="T466" s="421"/>
      <c r="U466" s="421"/>
      <c r="V466" s="421"/>
      <c r="W466" s="421"/>
      <c r="X466" s="421"/>
      <c r="Y466" s="421"/>
      <c r="Z466" s="421"/>
      <c r="AA466" s="421"/>
      <c r="AB466" s="421"/>
      <c r="AC466" s="421"/>
      <c r="AD466" s="421"/>
    </row>
    <row r="467" spans="1:30" s="378" customFormat="1">
      <c r="A467" s="423">
        <v>10</v>
      </c>
      <c r="B467" s="499" t="s">
        <v>535</v>
      </c>
      <c r="C467" s="499" t="s">
        <v>536</v>
      </c>
      <c r="D467" s="410">
        <v>341</v>
      </c>
      <c r="E467" s="406"/>
      <c r="F467" s="544"/>
      <c r="G467" s="421"/>
      <c r="H467" s="421"/>
      <c r="I467" s="421"/>
      <c r="J467" s="421"/>
      <c r="K467" s="421"/>
      <c r="L467" s="421"/>
      <c r="M467" s="421"/>
      <c r="N467" s="421"/>
      <c r="O467" s="421"/>
      <c r="P467" s="421"/>
      <c r="Q467" s="421"/>
      <c r="S467" s="544"/>
      <c r="T467" s="421"/>
      <c r="U467" s="421"/>
      <c r="V467" s="421"/>
      <c r="W467" s="421"/>
      <c r="X467" s="421"/>
      <c r="Y467" s="421"/>
      <c r="Z467" s="421"/>
      <c r="AA467" s="421"/>
      <c r="AB467" s="421"/>
      <c r="AC467" s="421"/>
      <c r="AD467" s="421"/>
    </row>
    <row r="468" spans="1:30" s="378" customFormat="1">
      <c r="A468" s="423">
        <v>11</v>
      </c>
      <c r="B468" s="499" t="s">
        <v>537</v>
      </c>
      <c r="C468" s="499" t="s">
        <v>538</v>
      </c>
      <c r="D468" s="410">
        <v>341</v>
      </c>
      <c r="E468" s="406"/>
      <c r="F468" s="544"/>
      <c r="G468" s="421"/>
      <c r="H468" s="421"/>
      <c r="I468" s="421"/>
      <c r="J468" s="421"/>
      <c r="K468" s="421"/>
      <c r="L468" s="421"/>
      <c r="M468" s="421"/>
      <c r="N468" s="421"/>
      <c r="O468" s="421"/>
      <c r="P468" s="421"/>
      <c r="Q468" s="421"/>
      <c r="S468" s="544"/>
      <c r="T468" s="421"/>
      <c r="U468" s="421"/>
      <c r="V468" s="421"/>
      <c r="W468" s="421"/>
      <c r="X468" s="421"/>
      <c r="Y468" s="421"/>
      <c r="Z468" s="421"/>
      <c r="AA468" s="421"/>
      <c r="AB468" s="421"/>
      <c r="AC468" s="421"/>
      <c r="AD468" s="421"/>
    </row>
    <row r="469" spans="1:30" s="378" customFormat="1">
      <c r="A469" s="423">
        <v>12</v>
      </c>
      <c r="B469" s="499" t="s">
        <v>539</v>
      </c>
      <c r="C469" s="499" t="s">
        <v>540</v>
      </c>
      <c r="D469" s="410">
        <v>341</v>
      </c>
      <c r="E469" s="406"/>
      <c r="F469" s="544"/>
      <c r="G469" s="421"/>
      <c r="H469" s="421"/>
      <c r="I469" s="421"/>
      <c r="J469" s="421"/>
      <c r="K469" s="421"/>
      <c r="L469" s="421"/>
      <c r="M469" s="421"/>
      <c r="N469" s="421"/>
      <c r="O469" s="421"/>
      <c r="P469" s="421"/>
      <c r="Q469" s="421"/>
      <c r="S469" s="544"/>
      <c r="T469" s="421"/>
      <c r="U469" s="421"/>
      <c r="V469" s="421"/>
      <c r="W469" s="421"/>
      <c r="X469" s="421"/>
      <c r="Y469" s="421"/>
      <c r="Z469" s="421"/>
      <c r="AA469" s="421"/>
      <c r="AB469" s="421"/>
      <c r="AC469" s="421"/>
      <c r="AD469" s="421"/>
    </row>
    <row r="470" spans="1:30" s="378" customFormat="1">
      <c r="A470" s="423">
        <v>13</v>
      </c>
      <c r="B470" s="499" t="s">
        <v>541</v>
      </c>
      <c r="C470" s="499" t="s">
        <v>542</v>
      </c>
      <c r="D470" s="410">
        <v>341</v>
      </c>
      <c r="E470" s="406"/>
      <c r="F470" s="544"/>
      <c r="G470" s="421"/>
      <c r="H470" s="421"/>
      <c r="I470" s="421"/>
      <c r="J470" s="421"/>
      <c r="K470" s="421"/>
      <c r="L470" s="421"/>
      <c r="M470" s="421"/>
      <c r="N470" s="421"/>
      <c r="O470" s="421"/>
      <c r="P470" s="421"/>
      <c r="Q470" s="421"/>
      <c r="S470" s="544"/>
      <c r="T470" s="421"/>
      <c r="U470" s="421"/>
      <c r="V470" s="421"/>
      <c r="W470" s="421"/>
      <c r="X470" s="421"/>
      <c r="Y470" s="421"/>
      <c r="Z470" s="421"/>
      <c r="AA470" s="421"/>
      <c r="AB470" s="421"/>
      <c r="AC470" s="421"/>
      <c r="AD470" s="421"/>
    </row>
    <row r="471" spans="1:30" s="378" customFormat="1">
      <c r="A471" s="423">
        <v>14</v>
      </c>
      <c r="B471" s="499" t="s">
        <v>543</v>
      </c>
      <c r="C471" s="499" t="s">
        <v>544</v>
      </c>
      <c r="D471" s="410">
        <v>341</v>
      </c>
      <c r="E471" s="406"/>
      <c r="F471" s="544"/>
      <c r="G471" s="421"/>
      <c r="H471" s="421"/>
      <c r="I471" s="421"/>
      <c r="J471" s="421"/>
      <c r="K471" s="421"/>
      <c r="L471" s="421"/>
      <c r="M471" s="421"/>
      <c r="N471" s="421"/>
      <c r="O471" s="421"/>
      <c r="P471" s="421"/>
      <c r="Q471" s="421"/>
      <c r="S471" s="544"/>
      <c r="T471" s="421"/>
      <c r="U471" s="421"/>
      <c r="V471" s="421"/>
      <c r="W471" s="421"/>
      <c r="X471" s="421"/>
      <c r="Y471" s="421"/>
      <c r="Z471" s="421"/>
      <c r="AA471" s="421"/>
      <c r="AB471" s="421"/>
      <c r="AC471" s="421"/>
      <c r="AD471" s="421"/>
    </row>
    <row r="472" spans="1:30" s="378" customFormat="1">
      <c r="A472" s="423">
        <v>15</v>
      </c>
      <c r="B472" s="499" t="s">
        <v>545</v>
      </c>
      <c r="C472" s="499" t="s">
        <v>546</v>
      </c>
      <c r="D472" s="410">
        <v>341</v>
      </c>
      <c r="E472" s="406"/>
      <c r="F472" s="544"/>
      <c r="G472" s="421"/>
      <c r="H472" s="421"/>
      <c r="I472" s="421"/>
      <c r="J472" s="421"/>
      <c r="K472" s="421"/>
      <c r="L472" s="421"/>
      <c r="M472" s="421"/>
      <c r="N472" s="421"/>
      <c r="O472" s="421"/>
      <c r="P472" s="421"/>
      <c r="Q472" s="421"/>
      <c r="S472" s="544"/>
      <c r="T472" s="421"/>
      <c r="U472" s="421"/>
      <c r="V472" s="421"/>
      <c r="W472" s="421"/>
      <c r="X472" s="421"/>
      <c r="Y472" s="421"/>
      <c r="Z472" s="421"/>
      <c r="AA472" s="421"/>
      <c r="AB472" s="421"/>
      <c r="AC472" s="421"/>
      <c r="AD472" s="421"/>
    </row>
    <row r="473" spans="1:30" s="378" customFormat="1">
      <c r="A473" s="423">
        <v>16</v>
      </c>
      <c r="B473" s="499" t="s">
        <v>547</v>
      </c>
      <c r="C473" s="499" t="s">
        <v>548</v>
      </c>
      <c r="D473" s="410">
        <v>341</v>
      </c>
      <c r="E473" s="406"/>
      <c r="F473" s="544"/>
      <c r="G473" s="421"/>
      <c r="H473" s="421"/>
      <c r="I473" s="421"/>
      <c r="J473" s="421"/>
      <c r="K473" s="421"/>
      <c r="L473" s="421"/>
      <c r="M473" s="421"/>
      <c r="N473" s="421"/>
      <c r="O473" s="421"/>
      <c r="P473" s="421"/>
      <c r="Q473" s="421"/>
      <c r="S473" s="544"/>
      <c r="T473" s="421"/>
      <c r="U473" s="421"/>
      <c r="V473" s="421"/>
      <c r="W473" s="421"/>
      <c r="X473" s="421"/>
      <c r="Y473" s="421"/>
      <c r="Z473" s="421"/>
      <c r="AA473" s="421"/>
      <c r="AB473" s="421"/>
      <c r="AC473" s="421"/>
      <c r="AD473" s="421"/>
    </row>
    <row r="474" spans="1:30" s="378" customFormat="1">
      <c r="A474" s="423">
        <v>17</v>
      </c>
      <c r="B474" s="499" t="s">
        <v>549</v>
      </c>
      <c r="C474" s="499" t="s">
        <v>550</v>
      </c>
      <c r="D474" s="410">
        <v>341</v>
      </c>
      <c r="E474" s="406"/>
      <c r="F474" s="544"/>
      <c r="G474" s="421"/>
      <c r="H474" s="421"/>
      <c r="I474" s="421"/>
      <c r="J474" s="421"/>
      <c r="K474" s="421"/>
      <c r="L474" s="421"/>
      <c r="M474" s="421"/>
      <c r="N474" s="421"/>
      <c r="O474" s="421"/>
      <c r="P474" s="421"/>
      <c r="Q474" s="421"/>
      <c r="S474" s="544"/>
      <c r="T474" s="421"/>
      <c r="U474" s="421"/>
      <c r="V474" s="421"/>
      <c r="W474" s="421"/>
      <c r="X474" s="421"/>
      <c r="Y474" s="421"/>
      <c r="Z474" s="421"/>
      <c r="AA474" s="421"/>
      <c r="AB474" s="421"/>
      <c r="AC474" s="421"/>
      <c r="AD474" s="421"/>
    </row>
    <row r="475" spans="1:30" s="378" customFormat="1">
      <c r="A475" s="423">
        <v>18</v>
      </c>
      <c r="B475" s="499" t="s">
        <v>551</v>
      </c>
      <c r="C475" s="499" t="s">
        <v>552</v>
      </c>
      <c r="D475" s="410">
        <v>341</v>
      </c>
      <c r="E475" s="406"/>
      <c r="F475" s="544"/>
      <c r="G475" s="421"/>
      <c r="H475" s="421"/>
      <c r="I475" s="421"/>
      <c r="J475" s="421"/>
      <c r="K475" s="421"/>
      <c r="L475" s="421"/>
      <c r="M475" s="421"/>
      <c r="N475" s="421"/>
      <c r="O475" s="421"/>
      <c r="P475" s="421"/>
      <c r="Q475" s="421"/>
      <c r="S475" s="544"/>
      <c r="T475" s="421"/>
      <c r="U475" s="421"/>
      <c r="V475" s="421"/>
      <c r="W475" s="421"/>
      <c r="X475" s="421"/>
      <c r="Y475" s="421"/>
      <c r="Z475" s="421"/>
      <c r="AA475" s="421"/>
      <c r="AB475" s="421"/>
      <c r="AC475" s="421"/>
      <c r="AD475" s="421"/>
    </row>
    <row r="476" spans="1:30" s="378" customFormat="1">
      <c r="A476" s="423">
        <v>19</v>
      </c>
      <c r="B476" s="435" t="s">
        <v>553</v>
      </c>
      <c r="C476" s="435" t="s">
        <v>554</v>
      </c>
      <c r="D476" s="410">
        <v>341</v>
      </c>
      <c r="E476" s="406"/>
      <c r="F476" s="544"/>
      <c r="G476" s="421"/>
      <c r="H476" s="421"/>
      <c r="I476" s="421"/>
      <c r="J476" s="421"/>
      <c r="K476" s="421"/>
      <c r="L476" s="421"/>
      <c r="M476" s="421"/>
      <c r="N476" s="421"/>
      <c r="O476" s="421"/>
      <c r="P476" s="421"/>
      <c r="Q476" s="421"/>
      <c r="S476" s="544"/>
      <c r="T476" s="421"/>
      <c r="U476" s="421"/>
      <c r="V476" s="421"/>
      <c r="W476" s="421"/>
      <c r="X476" s="421"/>
      <c r="Y476" s="421"/>
      <c r="Z476" s="421"/>
      <c r="AA476" s="421"/>
      <c r="AB476" s="421"/>
      <c r="AC476" s="421"/>
      <c r="AD476" s="421"/>
    </row>
    <row r="477" spans="1:30" s="378" customFormat="1">
      <c r="A477" s="423">
        <v>20</v>
      </c>
      <c r="B477" s="499" t="s">
        <v>555</v>
      </c>
      <c r="C477" s="499" t="s">
        <v>556</v>
      </c>
      <c r="D477" s="410">
        <v>341</v>
      </c>
      <c r="E477" s="406"/>
      <c r="F477" s="544"/>
      <c r="G477" s="421"/>
      <c r="H477" s="421"/>
      <c r="I477" s="421"/>
      <c r="J477" s="421"/>
      <c r="K477" s="421"/>
      <c r="L477" s="421"/>
      <c r="M477" s="421"/>
      <c r="N477" s="421"/>
      <c r="O477" s="421"/>
      <c r="P477" s="421"/>
      <c r="Q477" s="421"/>
      <c r="S477" s="544"/>
      <c r="T477" s="421"/>
      <c r="U477" s="421"/>
      <c r="V477" s="421"/>
      <c r="W477" s="421"/>
      <c r="X477" s="421"/>
      <c r="Y477" s="421"/>
      <c r="Z477" s="421"/>
      <c r="AA477" s="421"/>
      <c r="AB477" s="421"/>
      <c r="AC477" s="421"/>
      <c r="AD477" s="421"/>
    </row>
    <row r="478" spans="1:30" s="378" customFormat="1">
      <c r="A478" s="423">
        <v>21</v>
      </c>
      <c r="B478" s="499" t="s">
        <v>557</v>
      </c>
      <c r="C478" s="499" t="s">
        <v>558</v>
      </c>
      <c r="D478" s="410">
        <v>341</v>
      </c>
      <c r="E478" s="406"/>
      <c r="F478" s="544"/>
      <c r="G478" s="421"/>
      <c r="H478" s="421"/>
      <c r="I478" s="421"/>
      <c r="J478" s="421"/>
      <c r="K478" s="421"/>
      <c r="L478" s="421"/>
      <c r="M478" s="421"/>
      <c r="N478" s="421"/>
      <c r="O478" s="421"/>
      <c r="P478" s="421"/>
      <c r="Q478" s="421"/>
      <c r="S478" s="544"/>
      <c r="T478" s="421"/>
      <c r="U478" s="421"/>
      <c r="V478" s="421"/>
      <c r="W478" s="421"/>
      <c r="X478" s="421"/>
      <c r="Y478" s="421"/>
      <c r="Z478" s="421"/>
      <c r="AA478" s="421"/>
      <c r="AB478" s="421"/>
      <c r="AC478" s="421"/>
      <c r="AD478" s="421"/>
    </row>
    <row r="479" spans="1:30" s="378" customFormat="1">
      <c r="A479" s="423">
        <v>22</v>
      </c>
      <c r="B479" s="499" t="s">
        <v>559</v>
      </c>
      <c r="C479" s="499" t="s">
        <v>560</v>
      </c>
      <c r="D479" s="410">
        <v>341</v>
      </c>
      <c r="E479" s="406"/>
      <c r="F479" s="544"/>
      <c r="G479" s="421"/>
      <c r="H479" s="421"/>
      <c r="I479" s="421"/>
      <c r="J479" s="421"/>
      <c r="K479" s="421"/>
      <c r="L479" s="421"/>
      <c r="M479" s="421"/>
      <c r="N479" s="421"/>
      <c r="O479" s="421"/>
      <c r="P479" s="421"/>
      <c r="Q479" s="421"/>
      <c r="S479" s="544"/>
      <c r="T479" s="421"/>
      <c r="U479" s="421"/>
      <c r="V479" s="421"/>
      <c r="W479" s="421"/>
      <c r="X479" s="421"/>
      <c r="Y479" s="421"/>
      <c r="Z479" s="421"/>
      <c r="AA479" s="421"/>
      <c r="AB479" s="421"/>
      <c r="AC479" s="421"/>
      <c r="AD479" s="421"/>
    </row>
    <row r="480" spans="1:30" s="378" customFormat="1">
      <c r="A480" s="467"/>
      <c r="B480" s="499"/>
      <c r="C480" s="499"/>
      <c r="D480" s="410"/>
      <c r="E480" s="406"/>
      <c r="F480" s="544"/>
      <c r="G480" s="421"/>
      <c r="H480" s="421"/>
      <c r="I480" s="421"/>
      <c r="J480" s="421"/>
      <c r="K480" s="421"/>
      <c r="L480" s="421"/>
      <c r="M480" s="421"/>
      <c r="N480" s="421"/>
      <c r="O480" s="421"/>
      <c r="P480" s="421"/>
      <c r="Q480" s="421"/>
      <c r="S480" s="544"/>
      <c r="T480" s="421"/>
      <c r="U480" s="421"/>
      <c r="V480" s="421"/>
      <c r="W480" s="421"/>
      <c r="X480" s="421"/>
      <c r="Y480" s="421"/>
      <c r="Z480" s="421"/>
      <c r="AA480" s="421"/>
      <c r="AB480" s="421"/>
      <c r="AC480" s="421"/>
      <c r="AD480" s="421"/>
    </row>
    <row r="481" spans="1:30" s="378" customFormat="1">
      <c r="A481" s="467"/>
      <c r="B481" s="504" t="s">
        <v>623</v>
      </c>
      <c r="C481" s="504"/>
      <c r="D481" s="503"/>
      <c r="E481" s="406"/>
      <c r="F481" s="544"/>
      <c r="G481" s="421"/>
      <c r="H481" s="421"/>
      <c r="I481" s="421"/>
      <c r="J481" s="421"/>
      <c r="K481" s="421"/>
      <c r="L481" s="421"/>
      <c r="M481" s="421"/>
      <c r="N481" s="421"/>
      <c r="O481" s="421"/>
      <c r="P481" s="421"/>
      <c r="Q481" s="421"/>
      <c r="S481" s="544"/>
      <c r="T481" s="421"/>
      <c r="U481" s="421"/>
      <c r="V481" s="421"/>
      <c r="W481" s="421"/>
      <c r="X481" s="421"/>
      <c r="Y481" s="421"/>
      <c r="Z481" s="421"/>
      <c r="AA481" s="421"/>
      <c r="AB481" s="421"/>
      <c r="AC481" s="421"/>
      <c r="AD481" s="421"/>
    </row>
    <row r="482" spans="1:30" s="378" customFormat="1">
      <c r="A482" s="467"/>
      <c r="B482" s="499" t="s">
        <v>587</v>
      </c>
      <c r="C482" s="499"/>
      <c r="D482" s="410">
        <v>341</v>
      </c>
      <c r="E482" s="406"/>
      <c r="F482" s="544"/>
      <c r="G482" s="421"/>
      <c r="H482" s="421"/>
      <c r="I482" s="421"/>
      <c r="J482" s="421"/>
      <c r="K482" s="421"/>
      <c r="L482" s="421"/>
      <c r="M482" s="421"/>
      <c r="N482" s="421"/>
      <c r="O482" s="421"/>
      <c r="P482" s="421"/>
      <c r="Q482" s="421"/>
      <c r="S482" s="544"/>
      <c r="T482" s="421"/>
      <c r="U482" s="421"/>
      <c r="V482" s="421"/>
      <c r="W482" s="421"/>
      <c r="X482" s="421"/>
      <c r="Y482" s="421"/>
      <c r="Z482" s="421"/>
      <c r="AA482" s="421"/>
      <c r="AB482" s="421"/>
      <c r="AC482" s="421"/>
      <c r="AD482" s="421"/>
    </row>
    <row r="483" spans="1:30" s="378" customFormat="1">
      <c r="A483" s="467"/>
      <c r="B483" s="499" t="s">
        <v>626</v>
      </c>
      <c r="C483" s="499"/>
      <c r="D483" s="410">
        <v>341</v>
      </c>
      <c r="E483" s="406"/>
      <c r="F483" s="544"/>
      <c r="G483" s="421"/>
      <c r="H483" s="421"/>
      <c r="I483" s="421"/>
      <c r="J483" s="421"/>
      <c r="K483" s="421"/>
      <c r="L483" s="421"/>
      <c r="M483" s="421"/>
      <c r="N483" s="421"/>
      <c r="O483" s="421"/>
      <c r="P483" s="421"/>
      <c r="Q483" s="421"/>
      <c r="S483" s="544"/>
      <c r="T483" s="421"/>
      <c r="U483" s="421"/>
      <c r="V483" s="421"/>
      <c r="W483" s="421"/>
      <c r="X483" s="421"/>
      <c r="Y483" s="421"/>
      <c r="Z483" s="421"/>
      <c r="AA483" s="421"/>
      <c r="AB483" s="421"/>
      <c r="AC483" s="421"/>
      <c r="AD483" s="421"/>
    </row>
    <row r="484" spans="1:30" s="378" customFormat="1">
      <c r="A484" s="505"/>
      <c r="B484" s="495"/>
      <c r="C484" s="495"/>
      <c r="D484" s="415"/>
      <c r="E484" s="415"/>
      <c r="F484" s="542"/>
      <c r="G484" s="463"/>
      <c r="H484" s="463"/>
      <c r="I484" s="463"/>
      <c r="J484" s="463"/>
      <c r="K484" s="463"/>
      <c r="L484" s="463"/>
      <c r="M484" s="463"/>
      <c r="N484" s="463"/>
      <c r="O484" s="463"/>
      <c r="P484" s="463"/>
      <c r="Q484" s="463"/>
      <c r="S484" s="542"/>
      <c r="T484" s="463"/>
      <c r="U484" s="463"/>
      <c r="V484" s="463"/>
      <c r="W484" s="463"/>
      <c r="X484" s="463"/>
      <c r="Y484" s="463"/>
      <c r="Z484" s="463"/>
      <c r="AA484" s="463"/>
      <c r="AB484" s="463"/>
      <c r="AC484" s="463"/>
      <c r="AD484" s="463"/>
    </row>
    <row r="485" spans="1:30" s="378" customFormat="1">
      <c r="A485" s="454" t="s">
        <v>627</v>
      </c>
      <c r="B485" s="394" t="s">
        <v>628</v>
      </c>
      <c r="C485" s="394"/>
      <c r="D485" s="456"/>
      <c r="E485" s="456"/>
      <c r="F485" s="488" t="s">
        <v>615</v>
      </c>
      <c r="G485" s="488" t="s">
        <v>483</v>
      </c>
      <c r="H485" s="488" t="s">
        <v>484</v>
      </c>
      <c r="I485" s="488" t="s">
        <v>485</v>
      </c>
      <c r="J485" s="488" t="s">
        <v>486</v>
      </c>
      <c r="K485" s="488" t="s">
        <v>487</v>
      </c>
      <c r="L485" s="488" t="s">
        <v>488</v>
      </c>
      <c r="M485" s="488" t="s">
        <v>489</v>
      </c>
      <c r="N485" s="488" t="s">
        <v>490</v>
      </c>
      <c r="O485" s="488" t="s">
        <v>491</v>
      </c>
      <c r="P485" s="488" t="s">
        <v>492</v>
      </c>
      <c r="Q485" s="488" t="s">
        <v>493</v>
      </c>
      <c r="S485" s="390" t="s">
        <v>482</v>
      </c>
      <c r="T485" s="390" t="s">
        <v>483</v>
      </c>
      <c r="U485" s="390" t="s">
        <v>484</v>
      </c>
      <c r="V485" s="390" t="s">
        <v>485</v>
      </c>
      <c r="W485" s="390" t="s">
        <v>486</v>
      </c>
      <c r="X485" s="390" t="s">
        <v>487</v>
      </c>
      <c r="Y485" s="390" t="s">
        <v>488</v>
      </c>
      <c r="Z485" s="390" t="s">
        <v>489</v>
      </c>
      <c r="AA485" s="390" t="s">
        <v>490</v>
      </c>
      <c r="AB485" s="390" t="s">
        <v>491</v>
      </c>
      <c r="AC485" s="390" t="s">
        <v>492</v>
      </c>
      <c r="AD485" s="390" t="s">
        <v>493</v>
      </c>
    </row>
    <row r="486" spans="1:30" s="378" customFormat="1">
      <c r="A486" s="583"/>
      <c r="B486" s="568" t="s">
        <v>587</v>
      </c>
      <c r="C486" s="568"/>
      <c r="D486" s="568" t="s">
        <v>629</v>
      </c>
      <c r="E486" s="568"/>
      <c r="F486" s="581"/>
      <c r="G486" s="564"/>
      <c r="H486" s="564"/>
      <c r="I486" s="564"/>
      <c r="J486" s="564"/>
      <c r="K486" s="564"/>
      <c r="L486" s="564"/>
      <c r="M486" s="564"/>
      <c r="N486" s="564"/>
      <c r="O486" s="564"/>
      <c r="P486" s="564"/>
      <c r="Q486" s="564"/>
      <c r="S486" s="581"/>
      <c r="T486" s="564"/>
      <c r="U486" s="564"/>
      <c r="V486" s="564"/>
      <c r="W486" s="564"/>
      <c r="X486" s="564"/>
      <c r="Y486" s="564"/>
      <c r="Z486" s="564"/>
      <c r="AA486" s="564"/>
      <c r="AB486" s="564"/>
      <c r="AC486" s="564"/>
      <c r="AD486" s="564"/>
    </row>
    <row r="487" spans="1:30" s="378" customFormat="1">
      <c r="A487" s="505"/>
      <c r="B487" s="446"/>
      <c r="C487" s="446"/>
      <c r="D487" s="415"/>
      <c r="E487" s="415"/>
      <c r="F487" s="542"/>
      <c r="G487" s="463"/>
      <c r="H487" s="463"/>
      <c r="I487" s="463"/>
      <c r="J487" s="463"/>
      <c r="K487" s="463"/>
      <c r="L487" s="463"/>
      <c r="M487" s="463"/>
      <c r="N487" s="463"/>
      <c r="O487" s="463"/>
      <c r="P487" s="463"/>
      <c r="Q487" s="463"/>
      <c r="S487" s="542"/>
      <c r="T487" s="463"/>
      <c r="U487" s="463"/>
      <c r="V487" s="463"/>
      <c r="W487" s="463"/>
      <c r="X487" s="463"/>
      <c r="Y487" s="463"/>
      <c r="Z487" s="463"/>
      <c r="AA487" s="463"/>
      <c r="AB487" s="463"/>
      <c r="AC487" s="463"/>
      <c r="AD487" s="46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45DF-267A-4DD6-8AF1-DA1ECC898D39}">
  <sheetPr>
    <tabColor rgb="FFC00000"/>
  </sheetPr>
  <dimension ref="B1:AS42"/>
  <sheetViews>
    <sheetView showGridLines="0" zoomScaleNormal="100" workbookViewId="0">
      <pane xSplit="3" ySplit="2" topLeftCell="R21" activePane="bottomRight" state="frozen"/>
      <selection pane="topRight" activeCell="D1" sqref="D1"/>
      <selection pane="bottomLeft" activeCell="A2" sqref="A2"/>
      <selection pane="bottomRight" activeCell="U61" sqref="U61"/>
    </sheetView>
  </sheetViews>
  <sheetFormatPr defaultRowHeight="14.4" outlineLevelRow="1"/>
  <cols>
    <col min="3" max="3" width="49.6640625" bestFit="1" customWidth="1"/>
    <col min="4" max="4" width="1.6640625" customWidth="1"/>
    <col min="5" max="15" width="17.6640625" bestFit="1" customWidth="1"/>
    <col min="16" max="16" width="18.44140625" bestFit="1" customWidth="1"/>
    <col min="17" max="17" width="15.33203125" bestFit="1" customWidth="1"/>
    <col min="18" max="18" width="1.6640625" customWidth="1"/>
    <col min="19" max="29" width="17.6640625" bestFit="1" customWidth="1"/>
    <col min="30" max="30" width="18.44140625" bestFit="1" customWidth="1"/>
    <col min="31" max="31" width="15.6640625" bestFit="1" customWidth="1"/>
    <col min="32" max="32" width="1.6640625" customWidth="1"/>
    <col min="33" max="37" width="15" bestFit="1" customWidth="1"/>
    <col min="45" max="45" width="15.33203125" bestFit="1" customWidth="1"/>
  </cols>
  <sheetData>
    <row r="1" spans="2:45">
      <c r="E1">
        <v>2024</v>
      </c>
      <c r="S1">
        <v>2025</v>
      </c>
      <c r="AG1">
        <v>2026</v>
      </c>
    </row>
    <row r="2" spans="2:45">
      <c r="B2" s="526"/>
      <c r="C2" s="526" t="s">
        <v>630</v>
      </c>
      <c r="E2" s="526">
        <v>1</v>
      </c>
      <c r="F2" s="526">
        <v>2</v>
      </c>
      <c r="G2" s="526">
        <v>3</v>
      </c>
      <c r="H2" s="526">
        <v>4</v>
      </c>
      <c r="I2" s="526">
        <v>5</v>
      </c>
      <c r="J2" s="526">
        <v>6</v>
      </c>
      <c r="K2" s="526">
        <v>7</v>
      </c>
      <c r="L2" s="526">
        <v>8</v>
      </c>
      <c r="M2" s="526">
        <v>9</v>
      </c>
      <c r="N2" s="526">
        <v>10</v>
      </c>
      <c r="O2" s="526">
        <v>11</v>
      </c>
      <c r="P2" s="526">
        <v>12</v>
      </c>
      <c r="Q2" s="527" t="s">
        <v>631</v>
      </c>
      <c r="S2" s="526">
        <v>1</v>
      </c>
      <c r="T2" s="526">
        <v>2</v>
      </c>
      <c r="U2" s="526">
        <v>3</v>
      </c>
      <c r="V2" s="526">
        <v>4</v>
      </c>
      <c r="W2" s="526">
        <v>5</v>
      </c>
      <c r="X2" s="526">
        <v>6</v>
      </c>
      <c r="Y2" s="526">
        <v>7</v>
      </c>
      <c r="Z2" s="526">
        <v>8</v>
      </c>
      <c r="AA2" s="526">
        <v>9</v>
      </c>
      <c r="AB2" s="526">
        <v>10</v>
      </c>
      <c r="AC2" s="526">
        <v>11</v>
      </c>
      <c r="AD2" s="526">
        <v>12</v>
      </c>
      <c r="AE2" s="527" t="s">
        <v>631</v>
      </c>
      <c r="AG2" s="537">
        <v>1</v>
      </c>
      <c r="AH2" s="537">
        <v>2</v>
      </c>
      <c r="AI2" s="537">
        <v>3</v>
      </c>
      <c r="AJ2" s="537">
        <v>4</v>
      </c>
      <c r="AK2" s="537">
        <v>5</v>
      </c>
      <c r="AL2" s="537">
        <v>6</v>
      </c>
      <c r="AM2" s="537">
        <v>7</v>
      </c>
      <c r="AN2" s="537">
        <v>8</v>
      </c>
      <c r="AO2" s="537">
        <v>9</v>
      </c>
      <c r="AP2" s="537">
        <v>10</v>
      </c>
      <c r="AQ2" s="537">
        <v>11</v>
      </c>
      <c r="AR2" s="537">
        <v>12</v>
      </c>
      <c r="AS2" s="538" t="s">
        <v>631</v>
      </c>
    </row>
    <row r="3" spans="2:45" hidden="1" outlineLevel="1">
      <c r="C3" s="528" t="s">
        <v>632</v>
      </c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30"/>
      <c r="Q3" s="531">
        <f t="shared" ref="Q3:Q6" si="0">SUM(E3:P3)</f>
        <v>0</v>
      </c>
      <c r="S3" s="529">
        <v>2190000000</v>
      </c>
      <c r="T3" s="529">
        <v>2310000000</v>
      </c>
      <c r="U3" s="529">
        <v>2250000000</v>
      </c>
      <c r="V3" s="529">
        <v>2100000000</v>
      </c>
      <c r="W3" s="529">
        <v>2100000000</v>
      </c>
      <c r="X3" s="529">
        <v>2100000000</v>
      </c>
      <c r="Y3" s="529">
        <v>1650000000</v>
      </c>
      <c r="Z3" s="529">
        <v>2100000000</v>
      </c>
      <c r="AA3" s="529">
        <v>2100000000</v>
      </c>
      <c r="AB3" s="529">
        <v>2100000000</v>
      </c>
      <c r="AC3" s="529">
        <v>2100000000</v>
      </c>
      <c r="AD3" s="530">
        <v>2100000000</v>
      </c>
      <c r="AE3" s="531">
        <f>SUM(S3:AD3)</f>
        <v>25200000000</v>
      </c>
      <c r="AS3" s="531">
        <f>SUM(AG3:AR3)</f>
        <v>0</v>
      </c>
    </row>
    <row r="4" spans="2:45" hidden="1" outlineLevel="1">
      <c r="C4" s="528" t="s">
        <v>633</v>
      </c>
      <c r="D4" s="532"/>
      <c r="E4" s="529"/>
      <c r="F4" s="529"/>
      <c r="G4" s="529"/>
      <c r="H4" s="529"/>
      <c r="I4" s="529"/>
      <c r="J4" s="529"/>
      <c r="K4" s="529"/>
      <c r="L4" s="529"/>
      <c r="M4" s="529"/>
      <c r="N4" s="529"/>
      <c r="O4" s="529"/>
      <c r="P4" s="530"/>
      <c r="Q4" s="531">
        <f t="shared" si="0"/>
        <v>0</v>
      </c>
      <c r="R4" s="532"/>
      <c r="S4" s="529">
        <v>0</v>
      </c>
      <c r="T4" s="529">
        <v>0</v>
      </c>
      <c r="U4" s="529">
        <v>0</v>
      </c>
      <c r="V4" s="529">
        <v>0</v>
      </c>
      <c r="W4" s="529">
        <v>0</v>
      </c>
      <c r="X4" s="529">
        <v>667991924</v>
      </c>
      <c r="Y4" s="529">
        <v>1395906076</v>
      </c>
      <c r="Z4" s="529">
        <v>1395906076</v>
      </c>
      <c r="AA4" s="529">
        <v>1395906076</v>
      </c>
      <c r="AB4" s="529">
        <v>1395906076</v>
      </c>
      <c r="AC4" s="529">
        <v>1395906076</v>
      </c>
      <c r="AD4" s="530">
        <v>1395906076</v>
      </c>
      <c r="AE4" s="531">
        <f t="shared" ref="AE4:AE6" si="1">SUM(S4:AD4)</f>
        <v>9043428380</v>
      </c>
      <c r="AF4" s="532"/>
      <c r="AS4" s="531">
        <f t="shared" ref="AS4:AS6" si="2">SUM(AG4:AR4)</f>
        <v>0</v>
      </c>
    </row>
    <row r="5" spans="2:45" hidden="1" outlineLevel="1">
      <c r="C5" s="528" t="s">
        <v>634</v>
      </c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30"/>
      <c r="Q5" s="531">
        <f t="shared" si="0"/>
        <v>0</v>
      </c>
      <c r="S5" s="529">
        <v>2702869470</v>
      </c>
      <c r="T5" s="529">
        <v>2702869470</v>
      </c>
      <c r="U5" s="529">
        <v>2702869470</v>
      </c>
      <c r="V5" s="529">
        <v>2702869470</v>
      </c>
      <c r="W5" s="529">
        <v>2702869470</v>
      </c>
      <c r="X5" s="529">
        <v>2788752515</v>
      </c>
      <c r="Y5" s="529">
        <v>2788752515</v>
      </c>
      <c r="Z5" s="529">
        <v>2788752515</v>
      </c>
      <c r="AA5" s="529">
        <v>2788752515</v>
      </c>
      <c r="AB5" s="529">
        <v>2788752515</v>
      </c>
      <c r="AC5" s="529">
        <v>2788752515</v>
      </c>
      <c r="AD5" s="530">
        <v>2788752515</v>
      </c>
      <c r="AE5" s="531">
        <f t="shared" si="1"/>
        <v>33035614955</v>
      </c>
      <c r="AG5" s="529">
        <v>3516666667</v>
      </c>
      <c r="AH5" s="529">
        <v>3516666667</v>
      </c>
      <c r="AI5" s="529">
        <v>3516666667</v>
      </c>
      <c r="AJ5" s="529">
        <v>3516666667</v>
      </c>
      <c r="AK5" s="529">
        <v>3516666667</v>
      </c>
      <c r="AS5" s="531">
        <f>SUM(AG5:AR5)</f>
        <v>17583333335</v>
      </c>
    </row>
    <row r="6" spans="2:45" hidden="1" outlineLevel="1">
      <c r="C6" s="528" t="s">
        <v>635</v>
      </c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30"/>
      <c r="Q6" s="531">
        <f t="shared" si="0"/>
        <v>0</v>
      </c>
      <c r="S6" s="529">
        <v>70000000</v>
      </c>
      <c r="T6" s="529">
        <v>70000000</v>
      </c>
      <c r="U6" s="529">
        <v>70000000</v>
      </c>
      <c r="V6" s="529">
        <v>70000000</v>
      </c>
      <c r="W6" s="529">
        <v>70000000</v>
      </c>
      <c r="X6" s="529">
        <v>70000000</v>
      </c>
      <c r="Y6" s="529">
        <v>70000000</v>
      </c>
      <c r="Z6" s="529">
        <v>70000000</v>
      </c>
      <c r="AA6" s="529">
        <v>70000000</v>
      </c>
      <c r="AB6" s="529">
        <v>70000000</v>
      </c>
      <c r="AC6" s="529">
        <v>70000000</v>
      </c>
      <c r="AD6" s="530">
        <v>70000000</v>
      </c>
      <c r="AE6" s="531">
        <f t="shared" si="1"/>
        <v>840000000</v>
      </c>
      <c r="AS6" s="531">
        <f t="shared" si="2"/>
        <v>0</v>
      </c>
    </row>
    <row r="7" spans="2:45" hidden="1" outlineLevel="1">
      <c r="O7" s="532"/>
      <c r="Q7" s="531"/>
      <c r="AC7" s="532"/>
      <c r="AE7" s="531"/>
    </row>
    <row r="8" spans="2:45" hidden="1" outlineLevel="1"/>
    <row r="9" spans="2:45" hidden="1" outlineLevel="1">
      <c r="C9" s="533" t="s">
        <v>416</v>
      </c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G9" s="533"/>
      <c r="AH9" s="533"/>
      <c r="AI9" s="533"/>
      <c r="AJ9" s="533"/>
      <c r="AK9" s="533"/>
      <c r="AL9" s="533"/>
      <c r="AM9" s="533"/>
      <c r="AN9" s="533"/>
      <c r="AO9" s="533"/>
      <c r="AP9" s="533"/>
      <c r="AQ9" s="533"/>
      <c r="AR9" s="533"/>
    </row>
    <row r="10" spans="2:45" hidden="1" outlineLevel="1">
      <c r="C10" s="533" t="s">
        <v>417</v>
      </c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G10" s="533"/>
      <c r="AH10" s="533"/>
      <c r="AI10" s="533"/>
      <c r="AJ10" s="533"/>
      <c r="AK10" s="533"/>
      <c r="AL10" s="533"/>
      <c r="AM10" s="533"/>
      <c r="AN10" s="533"/>
      <c r="AO10" s="533"/>
      <c r="AP10" s="533"/>
      <c r="AQ10" s="533"/>
      <c r="AR10" s="533"/>
    </row>
    <row r="11" spans="2:45" hidden="1" outlineLevel="1">
      <c r="C11" s="533" t="s">
        <v>418</v>
      </c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G11" s="533"/>
      <c r="AH11" s="533"/>
      <c r="AI11" s="533"/>
      <c r="AJ11" s="533"/>
      <c r="AK11" s="533"/>
      <c r="AL11" s="533"/>
      <c r="AM11" s="533"/>
      <c r="AN11" s="533"/>
      <c r="AO11" s="533"/>
      <c r="AP11" s="533"/>
      <c r="AQ11" s="533"/>
      <c r="AR11" s="533"/>
    </row>
    <row r="12" spans="2:45" hidden="1" outlineLevel="1">
      <c r="C12" s="533" t="s">
        <v>419</v>
      </c>
      <c r="E12" s="533"/>
      <c r="F12" s="533"/>
      <c r="G12" s="533"/>
      <c r="H12" s="533"/>
      <c r="I12" s="533"/>
      <c r="J12" s="533"/>
      <c r="K12" s="533"/>
      <c r="L12" s="533"/>
      <c r="M12" s="533"/>
      <c r="N12" s="533"/>
      <c r="O12" s="533"/>
      <c r="P12" s="533"/>
      <c r="S12" s="533"/>
      <c r="T12" s="533"/>
      <c r="U12" s="533"/>
      <c r="V12" s="533"/>
      <c r="W12" s="533"/>
      <c r="X12" s="533"/>
      <c r="Y12" s="533"/>
      <c r="Z12" s="533"/>
      <c r="AA12" s="533"/>
      <c r="AB12" s="533"/>
      <c r="AC12" s="533"/>
      <c r="AD12" s="533"/>
      <c r="AG12" s="533"/>
      <c r="AH12" s="533"/>
      <c r="AI12" s="533"/>
      <c r="AJ12" s="533"/>
      <c r="AK12" s="533"/>
      <c r="AL12" s="533"/>
      <c r="AM12" s="533"/>
      <c r="AN12" s="533"/>
      <c r="AO12" s="533"/>
      <c r="AP12" s="533"/>
      <c r="AQ12" s="533"/>
      <c r="AR12" s="533"/>
    </row>
    <row r="13" spans="2:45" hidden="1" outlineLevel="1">
      <c r="C13" s="533" t="s">
        <v>420</v>
      </c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S13" s="533"/>
      <c r="T13" s="533"/>
      <c r="U13" s="533"/>
      <c r="V13" s="533"/>
      <c r="W13" s="533"/>
      <c r="X13" s="533"/>
      <c r="Y13" s="533"/>
      <c r="Z13" s="533"/>
      <c r="AA13" s="533"/>
      <c r="AB13" s="533"/>
      <c r="AC13" s="533"/>
      <c r="AD13" s="533"/>
      <c r="AG13" s="533"/>
      <c r="AH13" s="533"/>
      <c r="AI13" s="533"/>
      <c r="AJ13" s="533"/>
      <c r="AK13" s="533"/>
      <c r="AL13" s="533"/>
      <c r="AM13" s="533"/>
      <c r="AN13" s="533"/>
      <c r="AO13" s="533"/>
      <c r="AP13" s="533"/>
      <c r="AQ13" s="533"/>
      <c r="AR13" s="533"/>
    </row>
    <row r="14" spans="2:45" hidden="1" outlineLevel="1">
      <c r="C14" s="533" t="s">
        <v>421</v>
      </c>
      <c r="E14" s="533"/>
      <c r="F14" s="533"/>
      <c r="G14" s="533"/>
      <c r="H14" s="533"/>
      <c r="I14" s="533"/>
      <c r="J14" s="533"/>
      <c r="K14" s="533"/>
      <c r="L14" s="533"/>
      <c r="M14" s="533"/>
      <c r="N14" s="533"/>
      <c r="O14" s="533"/>
      <c r="P14" s="533"/>
      <c r="S14" s="533"/>
      <c r="T14" s="533"/>
      <c r="U14" s="533"/>
      <c r="V14" s="533"/>
      <c r="W14" s="533"/>
      <c r="X14" s="533"/>
      <c r="Y14" s="533"/>
      <c r="Z14" s="533"/>
      <c r="AA14" s="533"/>
      <c r="AB14" s="533"/>
      <c r="AC14" s="533"/>
      <c r="AD14" s="533"/>
      <c r="AG14" s="533"/>
      <c r="AH14" s="533"/>
      <c r="AI14" s="533"/>
      <c r="AJ14" s="533"/>
      <c r="AK14" s="533"/>
      <c r="AL14" s="533"/>
      <c r="AM14" s="533"/>
      <c r="AN14" s="533"/>
      <c r="AO14" s="533"/>
      <c r="AP14" s="533"/>
      <c r="AQ14" s="533"/>
      <c r="AR14" s="533"/>
    </row>
    <row r="15" spans="2:45" hidden="1" outlineLevel="1">
      <c r="C15" s="533" t="s">
        <v>422</v>
      </c>
      <c r="E15" s="533"/>
      <c r="F15" s="533"/>
      <c r="G15" s="533"/>
      <c r="H15" s="533"/>
      <c r="I15" s="533"/>
      <c r="J15" s="533"/>
      <c r="K15" s="533"/>
      <c r="L15" s="533"/>
      <c r="M15" s="533"/>
      <c r="N15" s="533"/>
      <c r="O15" s="533"/>
      <c r="P15" s="533"/>
      <c r="S15" s="533"/>
      <c r="T15" s="533"/>
      <c r="U15" s="533"/>
      <c r="V15" s="533"/>
      <c r="W15" s="533"/>
      <c r="X15" s="533"/>
      <c r="Y15" s="533"/>
      <c r="Z15" s="533"/>
      <c r="AA15" s="533"/>
      <c r="AB15" s="533"/>
      <c r="AC15" s="533"/>
      <c r="AD15" s="533"/>
      <c r="AG15" s="533"/>
      <c r="AH15" s="533"/>
      <c r="AI15" s="533"/>
      <c r="AJ15" s="533"/>
      <c r="AK15" s="533"/>
      <c r="AL15" s="533"/>
      <c r="AM15" s="533"/>
      <c r="AN15" s="533"/>
      <c r="AO15" s="533"/>
      <c r="AP15" s="533"/>
      <c r="AQ15" s="533"/>
      <c r="AR15" s="533"/>
    </row>
    <row r="16" spans="2:45" hidden="1" outlineLevel="1">
      <c r="C16" s="533" t="s">
        <v>423</v>
      </c>
      <c r="E16" s="534"/>
      <c r="F16" s="534"/>
      <c r="G16" s="534"/>
      <c r="H16" s="534"/>
      <c r="I16" s="534"/>
      <c r="J16" s="534"/>
      <c r="K16" s="534"/>
      <c r="L16" s="534"/>
      <c r="M16" s="534"/>
      <c r="N16" s="534"/>
      <c r="O16" s="534"/>
      <c r="P16" s="534"/>
      <c r="S16" s="534">
        <f>-S5+S3-S6</f>
        <v>-582869470</v>
      </c>
      <c r="T16" s="534">
        <f t="shared" ref="T16:AD16" si="3">-T5+T3-T6</f>
        <v>-462869470</v>
      </c>
      <c r="U16" s="534">
        <f t="shared" si="3"/>
        <v>-522869470</v>
      </c>
      <c r="V16" s="534">
        <f t="shared" si="3"/>
        <v>-672869470</v>
      </c>
      <c r="W16" s="534">
        <f t="shared" si="3"/>
        <v>-672869470</v>
      </c>
      <c r="X16" s="534">
        <f t="shared" si="3"/>
        <v>-758752515</v>
      </c>
      <c r="Y16" s="534">
        <f t="shared" si="3"/>
        <v>-1208752515</v>
      </c>
      <c r="Z16" s="534">
        <f t="shared" si="3"/>
        <v>-758752515</v>
      </c>
      <c r="AA16" s="534">
        <f t="shared" si="3"/>
        <v>-758752515</v>
      </c>
      <c r="AB16" s="534">
        <f t="shared" si="3"/>
        <v>-758752515</v>
      </c>
      <c r="AC16" s="534">
        <f t="shared" si="3"/>
        <v>-758752515</v>
      </c>
      <c r="AD16" s="534">
        <f t="shared" si="3"/>
        <v>-758752515</v>
      </c>
      <c r="AG16" s="534">
        <f>-AG5</f>
        <v>-3516666667</v>
      </c>
      <c r="AH16" s="534">
        <f>-AH5</f>
        <v>-3516666667</v>
      </c>
      <c r="AI16" s="534">
        <f>-AI5</f>
        <v>-3516666667</v>
      </c>
      <c r="AJ16" s="534">
        <f>-AJ5</f>
        <v>-3516666667</v>
      </c>
      <c r="AK16" s="534">
        <f>-AK5</f>
        <v>-3516666667</v>
      </c>
      <c r="AL16" s="534"/>
      <c r="AM16" s="534"/>
      <c r="AN16" s="534"/>
      <c r="AO16" s="534"/>
      <c r="AP16" s="534"/>
      <c r="AQ16" s="534"/>
      <c r="AR16" s="534"/>
    </row>
    <row r="17" spans="2:45" hidden="1" outlineLevel="1">
      <c r="C17" s="533" t="s">
        <v>424</v>
      </c>
      <c r="E17" s="534"/>
      <c r="F17" s="534"/>
      <c r="G17" s="534"/>
      <c r="H17" s="534"/>
      <c r="I17" s="534"/>
      <c r="J17" s="534"/>
      <c r="K17" s="534"/>
      <c r="L17" s="534"/>
      <c r="M17" s="534"/>
      <c r="N17" s="534"/>
      <c r="O17" s="534"/>
      <c r="P17" s="534"/>
      <c r="S17" s="534">
        <f>S4+S5</f>
        <v>2702869470</v>
      </c>
      <c r="T17" s="534">
        <f t="shared" ref="T17:AD17" si="4">T4+T5</f>
        <v>2702869470</v>
      </c>
      <c r="U17" s="534">
        <f t="shared" si="4"/>
        <v>2702869470</v>
      </c>
      <c r="V17" s="534">
        <f t="shared" si="4"/>
        <v>2702869470</v>
      </c>
      <c r="W17" s="534">
        <f t="shared" si="4"/>
        <v>2702869470</v>
      </c>
      <c r="X17" s="534">
        <f t="shared" si="4"/>
        <v>3456744439</v>
      </c>
      <c r="Y17" s="534">
        <f t="shared" si="4"/>
        <v>4184658591</v>
      </c>
      <c r="Z17" s="534">
        <f t="shared" si="4"/>
        <v>4184658591</v>
      </c>
      <c r="AA17" s="534">
        <f t="shared" si="4"/>
        <v>4184658591</v>
      </c>
      <c r="AB17" s="534">
        <f t="shared" si="4"/>
        <v>4184658591</v>
      </c>
      <c r="AC17" s="534">
        <f t="shared" si="4"/>
        <v>4184658591</v>
      </c>
      <c r="AD17" s="534">
        <f t="shared" si="4"/>
        <v>4184658591</v>
      </c>
      <c r="AG17" s="534">
        <f>AG5</f>
        <v>3516666667</v>
      </c>
      <c r="AH17" s="534">
        <f>AH5</f>
        <v>3516666667</v>
      </c>
      <c r="AI17" s="534">
        <f>AI5</f>
        <v>3516666667</v>
      </c>
      <c r="AJ17" s="534">
        <f>AJ5</f>
        <v>3516666667</v>
      </c>
      <c r="AK17" s="534">
        <f>AK5</f>
        <v>3516666667</v>
      </c>
      <c r="AL17" s="534"/>
      <c r="AM17" s="534"/>
      <c r="AN17" s="534"/>
      <c r="AO17" s="534"/>
      <c r="AP17" s="534"/>
      <c r="AQ17" s="534"/>
      <c r="AR17" s="534"/>
    </row>
    <row r="18" spans="2:45" hidden="1" outlineLevel="1">
      <c r="C18" s="533" t="s">
        <v>425</v>
      </c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3"/>
      <c r="S18" s="533"/>
      <c r="T18" s="533"/>
      <c r="U18" s="533"/>
      <c r="V18" s="533"/>
      <c r="W18" s="533"/>
      <c r="X18" s="533"/>
      <c r="Y18" s="533"/>
      <c r="Z18" s="533"/>
      <c r="AA18" s="533"/>
      <c r="AB18" s="533"/>
      <c r="AC18" s="533"/>
      <c r="AD18" s="533"/>
      <c r="AG18" s="533"/>
      <c r="AH18" s="533"/>
      <c r="AI18" s="533"/>
      <c r="AJ18" s="533"/>
      <c r="AK18" s="533"/>
      <c r="AL18" s="533"/>
      <c r="AM18" s="533"/>
      <c r="AN18" s="533"/>
      <c r="AO18" s="533"/>
      <c r="AP18" s="533"/>
      <c r="AQ18" s="533"/>
      <c r="AR18" s="533"/>
    </row>
    <row r="19" spans="2:45" hidden="1" outlineLevel="1">
      <c r="C19" s="533" t="s">
        <v>426</v>
      </c>
      <c r="E19" s="534"/>
      <c r="F19" s="534"/>
      <c r="G19" s="534"/>
      <c r="H19" s="534"/>
      <c r="I19" s="534"/>
      <c r="J19" s="534"/>
      <c r="K19" s="534"/>
      <c r="L19" s="534"/>
      <c r="M19" s="534"/>
      <c r="N19" s="534"/>
      <c r="O19" s="534"/>
      <c r="P19" s="534"/>
      <c r="S19" s="534">
        <f>-S4-S3+S6</f>
        <v>-2120000000</v>
      </c>
      <c r="T19" s="534">
        <f t="shared" ref="T19:AC19" si="5">-T4-T3+T6</f>
        <v>-2240000000</v>
      </c>
      <c r="U19" s="534">
        <f t="shared" si="5"/>
        <v>-2180000000</v>
      </c>
      <c r="V19" s="534">
        <f t="shared" si="5"/>
        <v>-2030000000</v>
      </c>
      <c r="W19" s="534">
        <f t="shared" si="5"/>
        <v>-2030000000</v>
      </c>
      <c r="X19" s="534">
        <f t="shared" si="5"/>
        <v>-2697991924</v>
      </c>
      <c r="Y19" s="534">
        <f t="shared" si="5"/>
        <v>-2975906076</v>
      </c>
      <c r="Z19" s="534">
        <f t="shared" si="5"/>
        <v>-3425906076</v>
      </c>
      <c r="AA19" s="534">
        <f t="shared" si="5"/>
        <v>-3425906076</v>
      </c>
      <c r="AB19" s="534">
        <f t="shared" si="5"/>
        <v>-3425906076</v>
      </c>
      <c r="AC19" s="534">
        <f t="shared" si="5"/>
        <v>-3425906076</v>
      </c>
      <c r="AD19" s="534">
        <f>-AD4-AD3+AD6</f>
        <v>-3425906076</v>
      </c>
      <c r="AG19" s="534"/>
      <c r="AH19" s="534"/>
      <c r="AI19" s="534"/>
      <c r="AJ19" s="534"/>
      <c r="AK19" s="534"/>
      <c r="AL19" s="534"/>
      <c r="AM19" s="534"/>
      <c r="AN19" s="534"/>
      <c r="AO19" s="534"/>
      <c r="AP19" s="534"/>
      <c r="AQ19" s="534"/>
      <c r="AR19" s="534"/>
    </row>
    <row r="20" spans="2:45" s="548" customFormat="1" hidden="1" outlineLevel="1">
      <c r="C20" s="546" t="s">
        <v>427</v>
      </c>
      <c r="E20" s="547"/>
      <c r="F20" s="547"/>
      <c r="G20" s="547"/>
      <c r="H20" s="547"/>
      <c r="I20" s="547"/>
      <c r="J20" s="547"/>
      <c r="K20" s="547"/>
      <c r="L20" s="547"/>
      <c r="M20" s="547"/>
      <c r="N20" s="547"/>
      <c r="O20" s="547"/>
      <c r="P20" s="547"/>
      <c r="S20" s="547"/>
      <c r="T20" s="547"/>
      <c r="U20" s="547"/>
      <c r="V20" s="547"/>
      <c r="W20" s="547"/>
      <c r="X20" s="547"/>
      <c r="Y20" s="547"/>
      <c r="Z20" s="547"/>
      <c r="AA20" s="547"/>
      <c r="AB20" s="547"/>
      <c r="AC20" s="547"/>
      <c r="AD20" s="547"/>
      <c r="AG20" s="547"/>
      <c r="AH20" s="547"/>
      <c r="AI20" s="547"/>
      <c r="AJ20" s="547"/>
      <c r="AK20" s="547"/>
      <c r="AL20" s="547"/>
      <c r="AM20" s="547"/>
      <c r="AN20" s="547"/>
      <c r="AO20" s="547"/>
      <c r="AP20" s="547"/>
      <c r="AQ20" s="547"/>
      <c r="AR20" s="547"/>
    </row>
    <row r="21" spans="2:45" s="535" customFormat="1" collapsed="1">
      <c r="C21" s="535" t="s">
        <v>636</v>
      </c>
      <c r="E21" s="536"/>
      <c r="F21" s="536"/>
      <c r="G21" s="536"/>
      <c r="H21" s="536"/>
      <c r="I21" s="536"/>
      <c r="J21" s="536"/>
      <c r="K21" s="536"/>
      <c r="L21" s="536"/>
      <c r="M21" s="536"/>
      <c r="N21" s="536"/>
      <c r="O21" s="536"/>
      <c r="P21" s="536"/>
      <c r="S21" s="536">
        <f>SUM(S9:S20)</f>
        <v>0</v>
      </c>
      <c r="T21" s="536">
        <f t="shared" ref="T21:AC21" si="6">SUM(T9:T20)</f>
        <v>0</v>
      </c>
      <c r="U21" s="536">
        <f t="shared" si="6"/>
        <v>0</v>
      </c>
      <c r="V21" s="536">
        <f t="shared" si="6"/>
        <v>0</v>
      </c>
      <c r="W21" s="536">
        <f t="shared" si="6"/>
        <v>0</v>
      </c>
      <c r="X21" s="536">
        <f t="shared" si="6"/>
        <v>0</v>
      </c>
      <c r="Y21" s="536">
        <f t="shared" si="6"/>
        <v>0</v>
      </c>
      <c r="Z21" s="536">
        <f t="shared" si="6"/>
        <v>0</v>
      </c>
      <c r="AA21" s="536">
        <f t="shared" si="6"/>
        <v>0</v>
      </c>
      <c r="AB21" s="536">
        <f t="shared" si="6"/>
        <v>0</v>
      </c>
      <c r="AC21" s="536">
        <f t="shared" si="6"/>
        <v>0</v>
      </c>
      <c r="AD21" s="536">
        <f>SUM(AD9:AD20)</f>
        <v>0</v>
      </c>
      <c r="AG21" s="536">
        <f t="shared" ref="AG21:AR21" si="7">SUM(AG9:AG20)</f>
        <v>0</v>
      </c>
      <c r="AH21" s="536">
        <f t="shared" si="7"/>
        <v>0</v>
      </c>
      <c r="AI21" s="536">
        <f t="shared" si="7"/>
        <v>0</v>
      </c>
      <c r="AJ21" s="536">
        <f t="shared" si="7"/>
        <v>0</v>
      </c>
      <c r="AK21" s="536">
        <f t="shared" si="7"/>
        <v>0</v>
      </c>
      <c r="AL21" s="536">
        <f t="shared" si="7"/>
        <v>0</v>
      </c>
      <c r="AM21" s="536">
        <f t="shared" si="7"/>
        <v>0</v>
      </c>
      <c r="AN21" s="536">
        <f t="shared" si="7"/>
        <v>0</v>
      </c>
      <c r="AO21" s="536">
        <f t="shared" si="7"/>
        <v>0</v>
      </c>
      <c r="AP21" s="536">
        <f t="shared" si="7"/>
        <v>0</v>
      </c>
      <c r="AQ21" s="536">
        <f t="shared" si="7"/>
        <v>0</v>
      </c>
      <c r="AR21" s="536">
        <f t="shared" si="7"/>
        <v>0</v>
      </c>
    </row>
    <row r="23" spans="2:45" s="603" customFormat="1" ht="17.399999999999999">
      <c r="B23" s="603" t="s">
        <v>656</v>
      </c>
    </row>
    <row r="24" spans="2:45">
      <c r="C24" s="528" t="s">
        <v>655</v>
      </c>
      <c r="E24" s="529"/>
      <c r="F24" s="529"/>
      <c r="G24" s="529"/>
      <c r="H24" s="529"/>
      <c r="I24" s="529"/>
      <c r="J24" s="529"/>
      <c r="K24" s="529"/>
      <c r="L24" s="529"/>
      <c r="M24" s="529"/>
      <c r="N24" s="529"/>
      <c r="O24" s="529"/>
      <c r="P24" s="530"/>
      <c r="Q24" s="531">
        <f t="shared" ref="Q24:Q27" si="8">SUM(E24:P24)</f>
        <v>0</v>
      </c>
      <c r="S24" s="529"/>
      <c r="T24" s="529"/>
      <c r="U24" s="529"/>
      <c r="V24" s="529"/>
      <c r="W24" s="529"/>
      <c r="X24" s="529"/>
      <c r="Y24" s="529"/>
      <c r="Z24" s="529"/>
      <c r="AA24" s="529"/>
      <c r="AB24" s="529"/>
      <c r="AC24" s="529"/>
      <c r="AD24" s="529">
        <v>1322339345</v>
      </c>
      <c r="AE24" s="531">
        <f>SUM(S24:AD24)</f>
        <v>1322339345</v>
      </c>
      <c r="AS24" s="531">
        <f>SUM(AG24:AR24)</f>
        <v>0</v>
      </c>
    </row>
    <row r="25" spans="2:45">
      <c r="C25" s="528" t="s">
        <v>654</v>
      </c>
      <c r="D25" s="532"/>
      <c r="E25" s="529"/>
      <c r="F25" s="529"/>
      <c r="G25" s="529"/>
      <c r="H25" s="529"/>
      <c r="I25" s="529"/>
      <c r="J25" s="529"/>
      <c r="K25" s="529"/>
      <c r="L25" s="529"/>
      <c r="M25" s="529"/>
      <c r="N25" s="529"/>
      <c r="O25" s="529"/>
      <c r="P25" s="530"/>
      <c r="Q25" s="531">
        <f t="shared" si="8"/>
        <v>0</v>
      </c>
      <c r="R25" s="532"/>
      <c r="S25" s="529">
        <v>2190000000</v>
      </c>
      <c r="T25" s="529">
        <v>2310000000</v>
      </c>
      <c r="U25" s="529">
        <v>2250000000</v>
      </c>
      <c r="V25" s="529">
        <v>2100000000</v>
      </c>
      <c r="W25" s="529">
        <v>2100000000</v>
      </c>
      <c r="X25" s="529">
        <v>2100000000</v>
      </c>
      <c r="Y25" s="529">
        <v>1650000000</v>
      </c>
      <c r="Z25" s="529">
        <v>2100000000</v>
      </c>
      <c r="AA25" s="529">
        <v>2100000000</v>
      </c>
      <c r="AB25" s="529">
        <v>2100000000</v>
      </c>
      <c r="AC25" s="529">
        <v>2100000000</v>
      </c>
      <c r="AD25" s="529">
        <v>1260000000</v>
      </c>
      <c r="AE25" s="531">
        <f t="shared" ref="AE25:AE27" si="9">SUM(S25:AD25)</f>
        <v>24360000000</v>
      </c>
      <c r="AF25" s="532"/>
      <c r="AS25" s="531">
        <f t="shared" ref="AS25" si="10">SUM(AG25:AR25)</f>
        <v>0</v>
      </c>
    </row>
    <row r="26" spans="2:45">
      <c r="C26" s="528" t="s">
        <v>653</v>
      </c>
      <c r="E26" s="529"/>
      <c r="F26" s="529"/>
      <c r="G26" s="529"/>
      <c r="H26" s="529"/>
      <c r="I26" s="529"/>
      <c r="J26" s="529"/>
      <c r="K26" s="529"/>
      <c r="L26" s="529"/>
      <c r="M26" s="529"/>
      <c r="N26" s="529"/>
      <c r="O26" s="529"/>
      <c r="P26" s="530"/>
      <c r="Q26" s="531">
        <f t="shared" si="8"/>
        <v>0</v>
      </c>
      <c r="S26" s="529"/>
      <c r="T26" s="529"/>
      <c r="U26" s="529"/>
      <c r="V26" s="529"/>
      <c r="W26" s="529"/>
      <c r="X26" s="529">
        <v>667991924</v>
      </c>
      <c r="Y26" s="529">
        <v>1395906076</v>
      </c>
      <c r="Z26" s="529">
        <v>1395906076</v>
      </c>
      <c r="AA26" s="529">
        <v>1395906076</v>
      </c>
      <c r="AB26" s="529">
        <v>1395906076</v>
      </c>
      <c r="AC26" s="529">
        <v>1395906076</v>
      </c>
      <c r="AD26" s="529">
        <v>1395906076</v>
      </c>
      <c r="AE26" s="531">
        <f t="shared" si="9"/>
        <v>9043428380</v>
      </c>
      <c r="AG26" s="529"/>
      <c r="AH26" s="529"/>
      <c r="AI26" s="529"/>
      <c r="AJ26" s="529"/>
      <c r="AK26" s="529"/>
      <c r="AS26" s="531">
        <f>SUM(AG26:AR26)</f>
        <v>0</v>
      </c>
    </row>
    <row r="27" spans="2:45">
      <c r="C27" s="528"/>
      <c r="E27" s="529"/>
      <c r="F27" s="529"/>
      <c r="G27" s="529"/>
      <c r="H27" s="529"/>
      <c r="I27" s="529"/>
      <c r="J27" s="529"/>
      <c r="K27" s="529"/>
      <c r="L27" s="529"/>
      <c r="M27" s="529"/>
      <c r="N27" s="529"/>
      <c r="O27" s="529"/>
      <c r="P27" s="530"/>
      <c r="Q27" s="531">
        <f t="shared" si="8"/>
        <v>0</v>
      </c>
      <c r="S27" s="529"/>
      <c r="T27" s="529"/>
      <c r="U27" s="529"/>
      <c r="V27" s="529"/>
      <c r="W27" s="529"/>
      <c r="X27" s="529"/>
      <c r="Y27" s="529"/>
      <c r="Z27" s="529"/>
      <c r="AA27" s="529"/>
      <c r="AB27" s="529"/>
      <c r="AC27" s="529"/>
      <c r="AD27" s="529"/>
      <c r="AE27" s="531">
        <f t="shared" si="9"/>
        <v>0</v>
      </c>
      <c r="AS27" s="531">
        <f t="shared" ref="AS27" si="11">SUM(AG27:AR27)</f>
        <v>0</v>
      </c>
    </row>
    <row r="28" spans="2:45">
      <c r="O28" s="532"/>
      <c r="Q28" s="531"/>
      <c r="AC28" s="532"/>
      <c r="AE28" s="531"/>
    </row>
    <row r="30" spans="2:45">
      <c r="C30" s="533" t="s">
        <v>416</v>
      </c>
      <c r="E30" s="533"/>
      <c r="F30" s="533"/>
      <c r="G30" s="533"/>
      <c r="H30" s="533"/>
      <c r="I30" s="533"/>
      <c r="J30" s="533"/>
      <c r="K30" s="533"/>
      <c r="L30" s="533"/>
      <c r="M30" s="533"/>
      <c r="N30" s="533"/>
      <c r="O30" s="533"/>
      <c r="P30" s="533"/>
      <c r="S30" s="533"/>
      <c r="T30" s="533"/>
      <c r="U30" s="533"/>
      <c r="V30" s="533"/>
      <c r="W30" s="533"/>
      <c r="X30" s="533"/>
      <c r="Y30" s="533"/>
      <c r="Z30" s="533"/>
      <c r="AA30" s="533"/>
      <c r="AB30" s="533"/>
      <c r="AC30" s="533"/>
      <c r="AD30" s="533"/>
      <c r="AG30" s="533"/>
      <c r="AH30" s="533"/>
      <c r="AI30" s="533"/>
      <c r="AJ30" s="533"/>
      <c r="AK30" s="533"/>
      <c r="AL30" s="533"/>
      <c r="AM30" s="533"/>
      <c r="AN30" s="533"/>
      <c r="AO30" s="533"/>
      <c r="AP30" s="533"/>
      <c r="AQ30" s="533"/>
      <c r="AR30" s="533"/>
    </row>
    <row r="31" spans="2:45">
      <c r="C31" s="533" t="s">
        <v>417</v>
      </c>
      <c r="E31" s="533"/>
      <c r="F31" s="533"/>
      <c r="G31" s="533"/>
      <c r="H31" s="533"/>
      <c r="I31" s="533"/>
      <c r="J31" s="533"/>
      <c r="K31" s="533"/>
      <c r="L31" s="533"/>
      <c r="M31" s="533"/>
      <c r="N31" s="533"/>
      <c r="O31" s="533"/>
      <c r="P31" s="533"/>
      <c r="S31" s="533"/>
      <c r="T31" s="533"/>
      <c r="U31" s="533"/>
      <c r="V31" s="533"/>
      <c r="W31" s="533"/>
      <c r="X31" s="533"/>
      <c r="Y31" s="533"/>
      <c r="Z31" s="533"/>
      <c r="AA31" s="533"/>
      <c r="AB31" s="533"/>
      <c r="AC31" s="533"/>
      <c r="AD31" s="533"/>
      <c r="AG31" s="533"/>
      <c r="AH31" s="533"/>
      <c r="AI31" s="533"/>
      <c r="AJ31" s="533"/>
      <c r="AK31" s="533"/>
      <c r="AL31" s="533"/>
      <c r="AM31" s="533"/>
      <c r="AN31" s="533"/>
      <c r="AO31" s="533"/>
      <c r="AP31" s="533"/>
      <c r="AQ31" s="533"/>
      <c r="AR31" s="533"/>
    </row>
    <row r="32" spans="2:45">
      <c r="C32" s="533" t="s">
        <v>418</v>
      </c>
      <c r="E32" s="533"/>
      <c r="F32" s="533"/>
      <c r="G32" s="533"/>
      <c r="H32" s="533"/>
      <c r="I32" s="533"/>
      <c r="J32" s="533"/>
      <c r="K32" s="533"/>
      <c r="L32" s="533"/>
      <c r="M32" s="533"/>
      <c r="N32" s="533"/>
      <c r="O32" s="533"/>
      <c r="P32" s="533"/>
      <c r="S32" s="533"/>
      <c r="T32" s="533"/>
      <c r="U32" s="533"/>
      <c r="V32" s="533"/>
      <c r="W32" s="533"/>
      <c r="X32" s="533"/>
      <c r="Y32" s="533"/>
      <c r="Z32" s="533"/>
      <c r="AA32" s="533"/>
      <c r="AB32" s="533"/>
      <c r="AC32" s="533"/>
      <c r="AD32" s="533"/>
      <c r="AG32" s="533"/>
      <c r="AH32" s="533"/>
      <c r="AI32" s="533"/>
      <c r="AJ32" s="533"/>
      <c r="AK32" s="533"/>
      <c r="AL32" s="533"/>
      <c r="AM32" s="533"/>
      <c r="AN32" s="533"/>
      <c r="AO32" s="533"/>
      <c r="AP32" s="533"/>
      <c r="AQ32" s="533"/>
      <c r="AR32" s="533"/>
    </row>
    <row r="33" spans="3:44">
      <c r="C33" s="533" t="s">
        <v>419</v>
      </c>
      <c r="E33" s="533"/>
      <c r="F33" s="533"/>
      <c r="G33" s="533"/>
      <c r="H33" s="533"/>
      <c r="I33" s="533"/>
      <c r="J33" s="533"/>
      <c r="K33" s="533"/>
      <c r="L33" s="533"/>
      <c r="M33" s="533"/>
      <c r="N33" s="533"/>
      <c r="O33" s="533"/>
      <c r="P33" s="533"/>
      <c r="S33" s="533"/>
      <c r="T33" s="533"/>
      <c r="U33" s="533"/>
      <c r="V33" s="533"/>
      <c r="W33" s="533"/>
      <c r="X33" s="533"/>
      <c r="Y33" s="533"/>
      <c r="Z33" s="533"/>
      <c r="AA33" s="533"/>
      <c r="AB33" s="533"/>
      <c r="AC33" s="533"/>
      <c r="AD33" s="533"/>
      <c r="AG33" s="533"/>
      <c r="AH33" s="533"/>
      <c r="AI33" s="533"/>
      <c r="AJ33" s="533"/>
      <c r="AK33" s="533"/>
      <c r="AL33" s="533"/>
      <c r="AM33" s="533"/>
      <c r="AN33" s="533"/>
      <c r="AO33" s="533"/>
      <c r="AP33" s="533"/>
      <c r="AQ33" s="533"/>
      <c r="AR33" s="533"/>
    </row>
    <row r="34" spans="3:44">
      <c r="C34" s="533" t="s">
        <v>420</v>
      </c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G34" s="533"/>
      <c r="AH34" s="533"/>
      <c r="AI34" s="533"/>
      <c r="AJ34" s="533"/>
      <c r="AK34" s="533"/>
      <c r="AL34" s="533"/>
      <c r="AM34" s="533"/>
      <c r="AN34" s="533"/>
      <c r="AO34" s="533"/>
      <c r="AP34" s="533"/>
      <c r="AQ34" s="533"/>
      <c r="AR34" s="533"/>
    </row>
    <row r="35" spans="3:44">
      <c r="C35" s="533" t="s">
        <v>421</v>
      </c>
      <c r="E35" s="533"/>
      <c r="F35" s="533"/>
      <c r="G35" s="533"/>
      <c r="H35" s="533"/>
      <c r="I35" s="533"/>
      <c r="J35" s="533"/>
      <c r="K35" s="533"/>
      <c r="L35" s="533"/>
      <c r="M35" s="533"/>
      <c r="N35" s="533"/>
      <c r="O35" s="533"/>
      <c r="P35" s="533"/>
      <c r="S35" s="533"/>
      <c r="T35" s="533"/>
      <c r="U35" s="533"/>
      <c r="V35" s="533"/>
      <c r="W35" s="533"/>
      <c r="X35" s="533"/>
      <c r="Y35" s="533"/>
      <c r="Z35" s="533"/>
      <c r="AA35" s="533"/>
      <c r="AB35" s="533"/>
      <c r="AC35" s="533"/>
      <c r="AD35" s="533"/>
      <c r="AG35" s="533"/>
      <c r="AH35" s="533"/>
      <c r="AI35" s="533"/>
      <c r="AJ35" s="533"/>
      <c r="AK35" s="533"/>
      <c r="AL35" s="533"/>
      <c r="AM35" s="533"/>
      <c r="AN35" s="533"/>
      <c r="AO35" s="533"/>
      <c r="AP35" s="533"/>
      <c r="AQ35" s="533"/>
      <c r="AR35" s="533"/>
    </row>
    <row r="36" spans="3:44">
      <c r="C36" s="533" t="s">
        <v>422</v>
      </c>
      <c r="E36" s="533"/>
      <c r="F36" s="533"/>
      <c r="G36" s="533"/>
      <c r="H36" s="533"/>
      <c r="I36" s="533"/>
      <c r="J36" s="533"/>
      <c r="K36" s="533"/>
      <c r="L36" s="533"/>
      <c r="M36" s="533"/>
      <c r="N36" s="533"/>
      <c r="O36" s="533"/>
      <c r="P36" s="533"/>
      <c r="S36" s="533"/>
      <c r="T36" s="533"/>
      <c r="U36" s="533"/>
      <c r="V36" s="533"/>
      <c r="W36" s="533"/>
      <c r="X36" s="533"/>
      <c r="Y36" s="533"/>
      <c r="Z36" s="533"/>
      <c r="AA36" s="533"/>
      <c r="AB36" s="533"/>
      <c r="AC36" s="533"/>
      <c r="AD36" s="533"/>
      <c r="AG36" s="533"/>
      <c r="AH36" s="533"/>
      <c r="AI36" s="533"/>
      <c r="AJ36" s="533"/>
      <c r="AK36" s="533"/>
      <c r="AL36" s="533"/>
      <c r="AM36" s="533"/>
      <c r="AN36" s="533"/>
      <c r="AO36" s="533"/>
      <c r="AP36" s="533"/>
      <c r="AQ36" s="533"/>
      <c r="AR36" s="533"/>
    </row>
    <row r="37" spans="3:44">
      <c r="C37" s="533" t="s">
        <v>423</v>
      </c>
      <c r="E37" s="534"/>
      <c r="F37" s="534"/>
      <c r="G37" s="534"/>
      <c r="H37" s="534"/>
      <c r="I37" s="534"/>
      <c r="J37" s="534"/>
      <c r="K37" s="534"/>
      <c r="L37" s="534"/>
      <c r="M37" s="534"/>
      <c r="N37" s="534"/>
      <c r="O37" s="534"/>
      <c r="P37" s="534"/>
      <c r="S37" s="534"/>
      <c r="T37" s="534"/>
      <c r="U37" s="534"/>
      <c r="V37" s="534"/>
      <c r="W37" s="534"/>
      <c r="X37" s="534"/>
      <c r="Y37" s="534"/>
      <c r="Z37" s="534"/>
      <c r="AA37" s="534"/>
      <c r="AB37" s="534"/>
      <c r="AC37" s="534"/>
      <c r="AD37" s="534"/>
      <c r="AG37" s="534"/>
      <c r="AH37" s="534"/>
      <c r="AI37" s="534"/>
      <c r="AJ37" s="534"/>
      <c r="AK37" s="534"/>
      <c r="AL37" s="534"/>
      <c r="AM37" s="534"/>
      <c r="AN37" s="534"/>
      <c r="AO37" s="534"/>
      <c r="AP37" s="534"/>
      <c r="AQ37" s="534"/>
      <c r="AR37" s="534"/>
    </row>
    <row r="38" spans="3:44">
      <c r="C38" s="533" t="s">
        <v>424</v>
      </c>
      <c r="E38" s="534"/>
      <c r="F38" s="534"/>
      <c r="G38" s="534"/>
      <c r="H38" s="534"/>
      <c r="I38" s="534"/>
      <c r="J38" s="534"/>
      <c r="K38" s="534"/>
      <c r="L38" s="534"/>
      <c r="M38" s="534"/>
      <c r="N38" s="534"/>
      <c r="O38" s="534"/>
      <c r="P38" s="534"/>
      <c r="S38" s="534"/>
      <c r="T38" s="534"/>
      <c r="U38" s="534"/>
      <c r="V38" s="534"/>
      <c r="W38" s="534"/>
      <c r="X38" s="534"/>
      <c r="Y38" s="534"/>
      <c r="Z38" s="534"/>
      <c r="AA38" s="534"/>
      <c r="AB38" s="534"/>
      <c r="AC38" s="534"/>
      <c r="AD38" s="534"/>
      <c r="AG38" s="534"/>
      <c r="AH38" s="534"/>
      <c r="AI38" s="534"/>
      <c r="AJ38" s="534"/>
      <c r="AK38" s="534"/>
      <c r="AL38" s="534"/>
      <c r="AM38" s="534"/>
      <c r="AN38" s="534"/>
      <c r="AO38" s="534"/>
      <c r="AP38" s="534"/>
      <c r="AQ38" s="534"/>
      <c r="AR38" s="534"/>
    </row>
    <row r="39" spans="3:44">
      <c r="C39" s="533" t="s">
        <v>425</v>
      </c>
      <c r="E39" s="533"/>
      <c r="F39" s="533"/>
      <c r="G39" s="533"/>
      <c r="H39" s="533"/>
      <c r="I39" s="533"/>
      <c r="J39" s="533"/>
      <c r="K39" s="533"/>
      <c r="L39" s="533"/>
      <c r="M39" s="533"/>
      <c r="N39" s="533"/>
      <c r="O39" s="533"/>
      <c r="P39" s="533"/>
      <c r="S39" s="533"/>
      <c r="T39" s="533"/>
      <c r="U39" s="533"/>
      <c r="V39" s="533"/>
      <c r="W39" s="533"/>
      <c r="X39" s="533"/>
      <c r="Y39" s="533"/>
      <c r="Z39" s="533"/>
      <c r="AA39" s="533"/>
      <c r="AB39" s="533"/>
      <c r="AC39" s="533"/>
      <c r="AD39" s="533"/>
      <c r="AG39" s="533"/>
      <c r="AH39" s="533"/>
      <c r="AI39" s="533"/>
      <c r="AJ39" s="533"/>
      <c r="AK39" s="533"/>
      <c r="AL39" s="533"/>
      <c r="AM39" s="533"/>
      <c r="AN39" s="533"/>
      <c r="AO39" s="533"/>
      <c r="AP39" s="533"/>
      <c r="AQ39" s="533"/>
      <c r="AR39" s="533"/>
    </row>
    <row r="40" spans="3:44">
      <c r="C40" s="533" t="s">
        <v>426</v>
      </c>
      <c r="E40" s="534"/>
      <c r="F40" s="534"/>
      <c r="G40" s="534"/>
      <c r="H40" s="534"/>
      <c r="I40" s="534"/>
      <c r="J40" s="534"/>
      <c r="K40" s="534"/>
      <c r="L40" s="534"/>
      <c r="M40" s="534"/>
      <c r="N40" s="534"/>
      <c r="O40" s="534"/>
      <c r="P40" s="534"/>
      <c r="S40" s="534">
        <f t="shared" ref="S40:AC40" si="12">-SUM(S24:S27)</f>
        <v>-2190000000</v>
      </c>
      <c r="T40" s="534">
        <f t="shared" si="12"/>
        <v>-2310000000</v>
      </c>
      <c r="U40" s="534">
        <f t="shared" si="12"/>
        <v>-2250000000</v>
      </c>
      <c r="V40" s="534">
        <f t="shared" si="12"/>
        <v>-2100000000</v>
      </c>
      <c r="W40" s="534">
        <f t="shared" si="12"/>
        <v>-2100000000</v>
      </c>
      <c r="X40" s="534">
        <f t="shared" si="12"/>
        <v>-2767991924</v>
      </c>
      <c r="Y40" s="534">
        <f t="shared" si="12"/>
        <v>-3045906076</v>
      </c>
      <c r="Z40" s="534">
        <f t="shared" si="12"/>
        <v>-3495906076</v>
      </c>
      <c r="AA40" s="534">
        <f t="shared" si="12"/>
        <v>-3495906076</v>
      </c>
      <c r="AB40" s="534">
        <f t="shared" si="12"/>
        <v>-3495906076</v>
      </c>
      <c r="AC40" s="534">
        <f t="shared" si="12"/>
        <v>-3495906076</v>
      </c>
      <c r="AD40" s="534">
        <f>-SUM(AD24:AD27)</f>
        <v>-3978245421</v>
      </c>
      <c r="AG40" s="534"/>
      <c r="AH40" s="534"/>
      <c r="AI40" s="534"/>
      <c r="AJ40" s="534"/>
      <c r="AK40" s="534"/>
      <c r="AL40" s="534"/>
      <c r="AM40" s="534"/>
      <c r="AN40" s="534"/>
      <c r="AO40" s="534"/>
      <c r="AP40" s="534"/>
      <c r="AQ40" s="534"/>
      <c r="AR40" s="534"/>
    </row>
    <row r="41" spans="3:44" s="548" customFormat="1">
      <c r="C41" s="546" t="s">
        <v>427</v>
      </c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S41" s="547"/>
      <c r="T41" s="547"/>
      <c r="U41" s="547"/>
      <c r="V41" s="547"/>
      <c r="W41" s="547"/>
      <c r="X41" s="547"/>
      <c r="Y41" s="547"/>
      <c r="Z41" s="547"/>
      <c r="AA41" s="547"/>
      <c r="AB41" s="547"/>
      <c r="AC41" s="547"/>
      <c r="AD41" s="547"/>
      <c r="AG41" s="547"/>
      <c r="AH41" s="547"/>
      <c r="AI41" s="547"/>
      <c r="AJ41" s="547"/>
      <c r="AK41" s="547"/>
      <c r="AL41" s="547"/>
      <c r="AM41" s="547"/>
      <c r="AN41" s="547"/>
      <c r="AO41" s="547"/>
      <c r="AP41" s="547"/>
      <c r="AQ41" s="547"/>
      <c r="AR41" s="547"/>
    </row>
    <row r="42" spans="3:44" s="535" customFormat="1">
      <c r="C42" s="535" t="s">
        <v>636</v>
      </c>
      <c r="E42" s="536"/>
      <c r="F42" s="536"/>
      <c r="G42" s="536"/>
      <c r="H42" s="536"/>
      <c r="I42" s="536"/>
      <c r="J42" s="536"/>
      <c r="K42" s="536"/>
      <c r="L42" s="536"/>
      <c r="M42" s="536"/>
      <c r="N42" s="536"/>
      <c r="O42" s="536"/>
      <c r="P42" s="536"/>
      <c r="S42" s="536">
        <f t="shared" ref="S42:AC42" si="13">SUM(S30:S41)+SUM(S24:S27)</f>
        <v>0</v>
      </c>
      <c r="T42" s="536">
        <f t="shared" si="13"/>
        <v>0</v>
      </c>
      <c r="U42" s="536">
        <f t="shared" si="13"/>
        <v>0</v>
      </c>
      <c r="V42" s="536">
        <f t="shared" si="13"/>
        <v>0</v>
      </c>
      <c r="W42" s="536">
        <f t="shared" si="13"/>
        <v>0</v>
      </c>
      <c r="X42" s="536">
        <f t="shared" si="13"/>
        <v>0</v>
      </c>
      <c r="Y42" s="536">
        <f t="shared" si="13"/>
        <v>0</v>
      </c>
      <c r="Z42" s="536">
        <f t="shared" si="13"/>
        <v>0</v>
      </c>
      <c r="AA42" s="536">
        <f t="shared" si="13"/>
        <v>0</v>
      </c>
      <c r="AB42" s="536">
        <f t="shared" si="13"/>
        <v>0</v>
      </c>
      <c r="AC42" s="536">
        <f t="shared" si="13"/>
        <v>0</v>
      </c>
      <c r="AD42" s="536">
        <f>SUM(AD30:AD41)+SUM(AD24:AD27)</f>
        <v>0</v>
      </c>
      <c r="AG42" s="536"/>
      <c r="AH42" s="536"/>
      <c r="AI42" s="536"/>
      <c r="AJ42" s="536"/>
      <c r="AK42" s="536"/>
      <c r="AL42" s="536"/>
      <c r="AM42" s="536"/>
      <c r="AN42" s="536"/>
      <c r="AO42" s="536"/>
      <c r="AP42" s="536"/>
      <c r="AQ42" s="536"/>
      <c r="AR42" s="536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67C1-D746-4AF3-8009-6649EB6331F8}">
  <dimension ref="A1:J120"/>
  <sheetViews>
    <sheetView tabSelected="1" workbookViewId="0">
      <pane xSplit="2" ySplit="8" topLeftCell="C19" activePane="bottomRight" state="frozen"/>
      <selection pane="topRight" activeCell="B1" sqref="B1"/>
      <selection pane="bottomLeft" activeCell="A2" sqref="A2"/>
      <selection pane="bottomRight" activeCell="A28" sqref="A28:A29"/>
    </sheetView>
  </sheetViews>
  <sheetFormatPr defaultRowHeight="14.4"/>
  <cols>
    <col min="1" max="1" width="17.88671875" bestFit="1" customWidth="1"/>
    <col min="2" max="2" width="55" bestFit="1" customWidth="1"/>
    <col min="3" max="4" width="18" bestFit="1" customWidth="1"/>
    <col min="5" max="6" width="16.88671875" bestFit="1" customWidth="1"/>
    <col min="7" max="7" width="18" bestFit="1" customWidth="1"/>
    <col min="8" max="8" width="16.33203125" bestFit="1" customWidth="1"/>
    <col min="9" max="9" width="47.6640625" bestFit="1" customWidth="1"/>
    <col min="10" max="10" width="15.33203125" bestFit="1" customWidth="1"/>
  </cols>
  <sheetData>
    <row r="1" spans="1:9">
      <c r="A1" t="s">
        <v>645</v>
      </c>
    </row>
    <row r="2" spans="1:9">
      <c r="B2" t="s">
        <v>639</v>
      </c>
      <c r="C2" s="529">
        <v>10021820457</v>
      </c>
      <c r="D2" s="529">
        <v>9323913565</v>
      </c>
      <c r="E2" s="529">
        <v>9448037845</v>
      </c>
      <c r="F2" s="529">
        <v>9644570013</v>
      </c>
      <c r="G2" s="529">
        <v>10492279320</v>
      </c>
      <c r="H2" s="532">
        <f>SUM(C2:G2)</f>
        <v>48930621200</v>
      </c>
      <c r="I2" s="532">
        <f>H2-H3</f>
        <v>-9679361039</v>
      </c>
    </row>
    <row r="3" spans="1:9">
      <c r="B3" t="s">
        <v>638</v>
      </c>
      <c r="C3" s="590">
        <f>C28+C29+C52+C58</f>
        <v>11911489597</v>
      </c>
      <c r="D3" s="590">
        <f t="shared" ref="D3:G3" si="0">D28+D29+D52+D58</f>
        <v>10886821381</v>
      </c>
      <c r="E3" s="590">
        <f t="shared" si="0"/>
        <v>11592438091</v>
      </c>
      <c r="F3" s="590">
        <f t="shared" si="0"/>
        <v>11804294380</v>
      </c>
      <c r="G3" s="590">
        <f t="shared" si="0"/>
        <v>12414938790</v>
      </c>
      <c r="H3" s="532">
        <f>SUM(C3:G3)</f>
        <v>58609982239</v>
      </c>
    </row>
    <row r="4" spans="1:9">
      <c r="A4" t="s">
        <v>646</v>
      </c>
      <c r="C4" s="529"/>
      <c r="D4" s="529"/>
      <c r="E4" s="529"/>
      <c r="F4" s="529"/>
      <c r="G4" s="529"/>
      <c r="H4" s="532"/>
    </row>
    <row r="5" spans="1:9">
      <c r="B5" t="s">
        <v>639</v>
      </c>
      <c r="C5" s="529">
        <v>14890881745</v>
      </c>
      <c r="D5" s="529">
        <v>13629932395</v>
      </c>
      <c r="E5" s="529">
        <v>14220291639</v>
      </c>
      <c r="F5" s="529">
        <v>15913511460</v>
      </c>
      <c r="G5" s="529">
        <v>15040756578</v>
      </c>
      <c r="H5" s="532">
        <f>SUM(C5:G5)</f>
        <v>73695373817</v>
      </c>
      <c r="I5" s="532">
        <f>H5-H6</f>
        <v>2203713793</v>
      </c>
    </row>
    <row r="6" spans="1:9">
      <c r="B6" t="s">
        <v>638</v>
      </c>
      <c r="C6" s="529">
        <f>C24+C25+C26+C27+C46+C47+C55+C56</f>
        <v>14421276544</v>
      </c>
      <c r="D6" s="529">
        <f t="shared" ref="D6:G6" si="1">D24+D25+D26+D27+D46+D47+D55+D56</f>
        <v>12894741380</v>
      </c>
      <c r="E6" s="529">
        <f t="shared" si="1"/>
        <v>13916089882</v>
      </c>
      <c r="F6" s="529">
        <f t="shared" si="1"/>
        <v>15592643584</v>
      </c>
      <c r="G6" s="529">
        <f t="shared" si="1"/>
        <v>14666908634</v>
      </c>
      <c r="H6" s="532">
        <f>SUM(C6:G6)</f>
        <v>71491660024</v>
      </c>
    </row>
    <row r="7" spans="1:9">
      <c r="C7" s="529"/>
      <c r="D7" s="529"/>
      <c r="E7" s="529"/>
      <c r="F7" s="529"/>
      <c r="G7" s="529"/>
    </row>
    <row r="8" spans="1:9">
      <c r="B8" s="181" t="s">
        <v>402</v>
      </c>
      <c r="C8" s="65" t="s">
        <v>301</v>
      </c>
      <c r="D8" s="65" t="s">
        <v>302</v>
      </c>
      <c r="E8" s="65" t="s">
        <v>303</v>
      </c>
      <c r="F8" s="65" t="s">
        <v>304</v>
      </c>
      <c r="G8" s="65" t="s">
        <v>305</v>
      </c>
    </row>
    <row r="9" spans="1:9">
      <c r="B9" s="160" t="s">
        <v>403</v>
      </c>
      <c r="C9" s="42">
        <v>616.32000000000005</v>
      </c>
      <c r="D9" s="42">
        <v>628.40909090909088</v>
      </c>
      <c r="E9" s="42">
        <v>616.09635416666663</v>
      </c>
      <c r="F9" s="42">
        <v>619.35185185185185</v>
      </c>
      <c r="G9" s="42">
        <v>637.78</v>
      </c>
      <c r="H9" s="532">
        <f t="shared" ref="H9:H62" si="2">SUM(C9:G9)</f>
        <v>3117.9572969276096</v>
      </c>
    </row>
    <row r="10" spans="1:9">
      <c r="B10" s="160" t="s">
        <v>404</v>
      </c>
      <c r="C10" s="42">
        <v>326.32</v>
      </c>
      <c r="D10" s="42">
        <v>348.40909090909088</v>
      </c>
      <c r="E10" s="42">
        <v>335.09635416666669</v>
      </c>
      <c r="F10" s="42">
        <v>342.35185185185185</v>
      </c>
      <c r="G10" s="42">
        <v>354.78</v>
      </c>
      <c r="H10" s="532">
        <f t="shared" si="2"/>
        <v>1706.9572969276094</v>
      </c>
    </row>
    <row r="11" spans="1:9">
      <c r="B11" s="160" t="s">
        <v>405</v>
      </c>
      <c r="C11" s="42">
        <v>8272.098750000001</v>
      </c>
      <c r="D11" s="42">
        <v>6904.42</v>
      </c>
      <c r="E11" s="42">
        <v>8481.5962499999987</v>
      </c>
      <c r="F11" s="42">
        <v>10303.626249999999</v>
      </c>
      <c r="G11" s="42">
        <v>6773.8362500000003</v>
      </c>
      <c r="H11" s="532">
        <f t="shared" si="2"/>
        <v>40735.577499999999</v>
      </c>
    </row>
    <row r="12" spans="1:9">
      <c r="B12" s="160" t="s">
        <v>406</v>
      </c>
      <c r="C12" s="42">
        <v>2868.56925</v>
      </c>
      <c r="D12" s="42">
        <v>1811.1</v>
      </c>
      <c r="E12" s="42">
        <v>4279.4889999999996</v>
      </c>
      <c r="F12" s="42">
        <v>4370.2853999999998</v>
      </c>
      <c r="G12" s="42">
        <v>3592.6819999999998</v>
      </c>
      <c r="H12" s="532">
        <f t="shared" si="2"/>
        <v>16922.125650000002</v>
      </c>
    </row>
    <row r="13" spans="1:9">
      <c r="B13" s="160" t="s">
        <v>407</v>
      </c>
      <c r="C13" s="42">
        <v>4409.9920000000002</v>
      </c>
      <c r="D13" s="42">
        <v>3267.6</v>
      </c>
      <c r="E13" s="42">
        <v>6445.4459999999999</v>
      </c>
      <c r="F13" s="42">
        <v>5748.625</v>
      </c>
      <c r="G13" s="42">
        <v>5140.924</v>
      </c>
      <c r="H13" s="532">
        <f t="shared" si="2"/>
        <v>25012.587</v>
      </c>
    </row>
    <row r="14" spans="1:9">
      <c r="B14" s="163" t="s">
        <v>408</v>
      </c>
      <c r="C14" s="43">
        <v>126786913920</v>
      </c>
      <c r="D14" s="43">
        <v>96600110916</v>
      </c>
      <c r="E14" s="43">
        <v>174261948689</v>
      </c>
      <c r="F14" s="43">
        <v>159143428903</v>
      </c>
      <c r="G14" s="43">
        <v>160987273061</v>
      </c>
      <c r="H14" s="532">
        <f t="shared" si="2"/>
        <v>717779675489</v>
      </c>
    </row>
    <row r="15" spans="1:9">
      <c r="B15" s="166" t="s">
        <v>409</v>
      </c>
      <c r="C15" s="44">
        <v>687876997</v>
      </c>
      <c r="D15" s="44">
        <v>33305556</v>
      </c>
      <c r="E15" s="44">
        <v>956126160</v>
      </c>
      <c r="F15" s="44">
        <v>86574074</v>
      </c>
      <c r="G15" s="44">
        <v>1221964024</v>
      </c>
      <c r="H15" s="532">
        <f t="shared" si="2"/>
        <v>2985846811</v>
      </c>
    </row>
    <row r="16" spans="1:9">
      <c r="B16" s="166" t="s">
        <v>410</v>
      </c>
      <c r="C16" s="45">
        <v>5.4254573735743467E-3</v>
      </c>
      <c r="D16" s="45">
        <v>3.4477761654912924E-4</v>
      </c>
      <c r="E16" s="45">
        <v>5.4867179392465611E-3</v>
      </c>
      <c r="F16" s="45">
        <v>5.4400030586728169E-4</v>
      </c>
      <c r="G16" s="45">
        <v>7.5904386773293763E-3</v>
      </c>
      <c r="H16" s="532">
        <f t="shared" si="2"/>
        <v>1.9391391912566697E-2</v>
      </c>
    </row>
    <row r="17" spans="1:10">
      <c r="B17" s="163" t="s">
        <v>411</v>
      </c>
      <c r="C17" s="46">
        <v>126099036923</v>
      </c>
      <c r="D17" s="46">
        <v>96566805360</v>
      </c>
      <c r="E17" s="46">
        <v>173305822529</v>
      </c>
      <c r="F17" s="46">
        <v>159056854829</v>
      </c>
      <c r="G17" s="46">
        <v>159765309037</v>
      </c>
      <c r="H17" s="532">
        <f t="shared" si="2"/>
        <v>714793828678</v>
      </c>
    </row>
    <row r="18" spans="1:10">
      <c r="B18" s="160" t="s">
        <v>412</v>
      </c>
      <c r="C18" s="47">
        <v>70701288516</v>
      </c>
      <c r="D18" s="47">
        <v>58540341826</v>
      </c>
      <c r="E18" s="47">
        <v>80759624796</v>
      </c>
      <c r="F18" s="47">
        <v>67176948835</v>
      </c>
      <c r="G18" s="47">
        <v>87346708460</v>
      </c>
      <c r="H18" s="532">
        <f t="shared" si="2"/>
        <v>364524912433</v>
      </c>
    </row>
    <row r="19" spans="1:10">
      <c r="B19" s="160" t="s">
        <v>413</v>
      </c>
      <c r="C19" s="47">
        <v>55230863407</v>
      </c>
      <c r="D19" s="47">
        <v>37446516644</v>
      </c>
      <c r="E19" s="47">
        <v>91465682733.000031</v>
      </c>
      <c r="F19" s="47">
        <v>91879905994</v>
      </c>
      <c r="G19" s="47">
        <v>70741575322</v>
      </c>
      <c r="H19" s="532">
        <f t="shared" si="2"/>
        <v>346764544100</v>
      </c>
    </row>
    <row r="20" spans="1:10">
      <c r="B20" s="160" t="s">
        <v>414</v>
      </c>
      <c r="C20" s="47">
        <v>166885000</v>
      </c>
      <c r="D20" s="47">
        <v>579946890</v>
      </c>
      <c r="E20" s="47">
        <v>1080515000</v>
      </c>
      <c r="F20" s="47">
        <v>0</v>
      </c>
      <c r="G20" s="47">
        <v>1677025255</v>
      </c>
      <c r="H20" s="532">
        <f t="shared" si="2"/>
        <v>3504372145</v>
      </c>
    </row>
    <row r="21" spans="1:10">
      <c r="B21" s="163" t="s">
        <v>415</v>
      </c>
      <c r="C21" s="43">
        <v>115080112871</v>
      </c>
      <c r="D21" s="43">
        <v>90411470461</v>
      </c>
      <c r="E21" s="43">
        <v>165844739865</v>
      </c>
      <c r="F21" s="43">
        <v>141086003219</v>
      </c>
      <c r="G21" s="43">
        <v>137580032058</v>
      </c>
      <c r="H21" s="532">
        <f t="shared" si="2"/>
        <v>650002358474</v>
      </c>
    </row>
    <row r="22" spans="1:10">
      <c r="A22" t="s">
        <v>640</v>
      </c>
      <c r="B22" s="160" t="s">
        <v>416</v>
      </c>
      <c r="C22" s="47">
        <v>82659834144.875</v>
      </c>
      <c r="D22" s="47">
        <v>60512615438.000191</v>
      </c>
      <c r="E22" s="47">
        <v>119540135587.9998</v>
      </c>
      <c r="F22" s="47">
        <v>101825654285.00024</v>
      </c>
      <c r="G22" s="47">
        <v>100676110279.99994</v>
      </c>
      <c r="H22" s="532">
        <f t="shared" si="2"/>
        <v>465214349735.87518</v>
      </c>
    </row>
    <row r="23" spans="1:10">
      <c r="A23" t="s">
        <v>640</v>
      </c>
      <c r="B23" s="160" t="s">
        <v>417</v>
      </c>
      <c r="C23" s="47">
        <v>4027863724</v>
      </c>
      <c r="D23" s="47">
        <v>2451956924</v>
      </c>
      <c r="E23" s="47">
        <v>5626303966</v>
      </c>
      <c r="F23" s="47">
        <v>5649277552</v>
      </c>
      <c r="G23" s="47">
        <v>5769165884</v>
      </c>
      <c r="H23" s="532">
        <f t="shared" si="2"/>
        <v>23524568050</v>
      </c>
    </row>
    <row r="24" spans="1:10">
      <c r="A24" t="s">
        <v>641</v>
      </c>
      <c r="B24" s="588" t="s">
        <v>418</v>
      </c>
      <c r="C24" s="591">
        <v>368816619</v>
      </c>
      <c r="D24" s="591">
        <v>248754636</v>
      </c>
      <c r="E24" s="591">
        <v>337308264</v>
      </c>
      <c r="F24" s="591">
        <v>499755909</v>
      </c>
      <c r="G24" s="591">
        <v>354846806</v>
      </c>
      <c r="H24" s="532">
        <f t="shared" si="2"/>
        <v>1809482234</v>
      </c>
      <c r="J24" s="529">
        <f>_xlfn.XLOOKUP($B24,'[1]PV_Check FS'!$B$219:$B$226,'[1]PV_Check FS'!C$219:C$226)</f>
        <v>519536675</v>
      </c>
    </row>
    <row r="25" spans="1:10">
      <c r="A25" t="s">
        <v>641</v>
      </c>
      <c r="B25" s="588" t="s">
        <v>419</v>
      </c>
      <c r="C25" s="591">
        <v>2314962109</v>
      </c>
      <c r="D25" s="591">
        <v>1839461214</v>
      </c>
      <c r="E25" s="591">
        <v>2152019625</v>
      </c>
      <c r="F25" s="591">
        <v>2463187426</v>
      </c>
      <c r="G25" s="591">
        <v>2407536723</v>
      </c>
      <c r="H25" s="532">
        <f t="shared" si="2"/>
        <v>11177167097</v>
      </c>
      <c r="J25" s="529">
        <f>_xlfn.XLOOKUP($B25,'[1]PV_Check FS'!$B$219:$B$226,'[1]PV_Check FS'!C$219:C$226)</f>
        <v>2719192593</v>
      </c>
    </row>
    <row r="26" spans="1:10">
      <c r="A26" t="s">
        <v>641</v>
      </c>
      <c r="B26" s="588" t="s">
        <v>420</v>
      </c>
      <c r="C26" s="591">
        <v>4079461212</v>
      </c>
      <c r="D26" s="591">
        <v>3772730095</v>
      </c>
      <c r="E26" s="591">
        <v>3815553479</v>
      </c>
      <c r="F26" s="591">
        <v>4321000559</v>
      </c>
      <c r="G26" s="591">
        <v>4083134231</v>
      </c>
      <c r="H26" s="532">
        <f t="shared" si="2"/>
        <v>20071879576</v>
      </c>
      <c r="J26" s="529">
        <f>_xlfn.XLOOKUP($B26,'[1]PV_Check FS'!$B$219:$B$226,'[1]PV_Check FS'!C$219:C$226)</f>
        <v>4701503206</v>
      </c>
    </row>
    <row r="27" spans="1:10">
      <c r="A27" t="s">
        <v>641</v>
      </c>
      <c r="B27" s="588" t="s">
        <v>421</v>
      </c>
      <c r="C27" s="591">
        <v>1426956545</v>
      </c>
      <c r="D27" s="591">
        <v>1161357165</v>
      </c>
      <c r="E27" s="591">
        <v>1239376171</v>
      </c>
      <c r="F27" s="591">
        <v>1265702203</v>
      </c>
      <c r="G27" s="591">
        <v>1357271039</v>
      </c>
      <c r="H27" s="532">
        <f t="shared" si="2"/>
        <v>6450663123</v>
      </c>
      <c r="J27" s="529">
        <f>_xlfn.XLOOKUP($B27,'[1]PV_Check FS'!$B$219:$B$226,'[1]PV_Check FS'!C$219:C$226)</f>
        <v>1600863727.3653848</v>
      </c>
    </row>
    <row r="28" spans="1:10">
      <c r="A28" t="s">
        <v>642</v>
      </c>
      <c r="B28" s="586" t="s">
        <v>422</v>
      </c>
      <c r="C28" s="47">
        <v>675532018</v>
      </c>
      <c r="D28" s="47">
        <v>427508026</v>
      </c>
      <c r="E28" s="47">
        <v>594679880</v>
      </c>
      <c r="F28" s="47">
        <v>684234657</v>
      </c>
      <c r="G28" s="47">
        <v>776152179</v>
      </c>
      <c r="H28" s="532">
        <f t="shared" si="2"/>
        <v>3158106760</v>
      </c>
    </row>
    <row r="29" spans="1:10">
      <c r="A29" t="s">
        <v>642</v>
      </c>
      <c r="B29" s="587" t="s">
        <v>423</v>
      </c>
      <c r="C29" s="47">
        <v>8152127945</v>
      </c>
      <c r="D29" s="47">
        <v>7520098945</v>
      </c>
      <c r="E29" s="47">
        <v>8458447921</v>
      </c>
      <c r="F29" s="47">
        <v>8501500743</v>
      </c>
      <c r="G29" s="47">
        <v>8532632034</v>
      </c>
      <c r="H29" s="532">
        <f t="shared" si="2"/>
        <v>41164807588</v>
      </c>
    </row>
    <row r="30" spans="1:10">
      <c r="A30" t="s">
        <v>643</v>
      </c>
      <c r="B30" s="160" t="s">
        <v>424</v>
      </c>
      <c r="C30" s="47">
        <v>5561606002</v>
      </c>
      <c r="D30" s="47">
        <v>5530647021</v>
      </c>
      <c r="E30" s="47">
        <v>5553408317</v>
      </c>
      <c r="F30" s="47">
        <v>5712976010</v>
      </c>
      <c r="G30" s="47">
        <v>5764064909</v>
      </c>
      <c r="H30" s="532">
        <f t="shared" si="2"/>
        <v>28122702259</v>
      </c>
    </row>
    <row r="31" spans="1:10">
      <c r="A31" t="s">
        <v>640</v>
      </c>
      <c r="B31" s="160" t="s">
        <v>425</v>
      </c>
      <c r="C31" s="47"/>
      <c r="D31" s="47"/>
      <c r="E31" s="47">
        <v>44274073</v>
      </c>
      <c r="F31" s="47">
        <v>176148628</v>
      </c>
      <c r="G31" s="47">
        <v>167431172</v>
      </c>
      <c r="H31" s="532">
        <f t="shared" si="2"/>
        <v>387853873</v>
      </c>
    </row>
    <row r="32" spans="1:10">
      <c r="B32" s="160" t="s">
        <v>426</v>
      </c>
      <c r="C32" s="47">
        <v>1973139383.0335846</v>
      </c>
      <c r="D32" s="47">
        <v>1079639091.0002899</v>
      </c>
      <c r="E32" s="47">
        <v>2011031439.0001526</v>
      </c>
      <c r="F32" s="47">
        <v>367296576.00018311</v>
      </c>
      <c r="G32" s="47">
        <v>3071676706.9998627</v>
      </c>
      <c r="H32" s="532">
        <f t="shared" si="2"/>
        <v>8502783196.0340729</v>
      </c>
    </row>
    <row r="33" spans="1:8">
      <c r="B33" s="160" t="s">
        <v>427</v>
      </c>
      <c r="C33" s="47">
        <v>3839813169.0914154</v>
      </c>
      <c r="D33" s="47">
        <v>5866701905.999527</v>
      </c>
      <c r="E33" s="47">
        <v>16472201142.000031</v>
      </c>
      <c r="F33" s="47">
        <v>9619268670.9995728</v>
      </c>
      <c r="G33" s="47">
        <v>4620010094.0001984</v>
      </c>
      <c r="H33" s="532">
        <f t="shared" si="2"/>
        <v>40417994982.090744</v>
      </c>
    </row>
    <row r="34" spans="1:8">
      <c r="B34" s="166" t="s">
        <v>428</v>
      </c>
      <c r="C34" s="48">
        <v>0.91261690556186803</v>
      </c>
      <c r="D34" s="48">
        <v>0.9362582734713758</v>
      </c>
      <c r="E34" s="48">
        <v>0.95694845934705108</v>
      </c>
      <c r="F34" s="48">
        <v>0.88701617651549669</v>
      </c>
      <c r="G34" s="48">
        <v>0.86113833401804318</v>
      </c>
      <c r="H34" s="532">
        <f t="shared" si="2"/>
        <v>4.5539781489138349</v>
      </c>
    </row>
    <row r="35" spans="1:8">
      <c r="B35" s="163" t="s">
        <v>429</v>
      </c>
      <c r="C35" s="43">
        <v>11018924052</v>
      </c>
      <c r="D35" s="43">
        <v>6155334899</v>
      </c>
      <c r="E35" s="43">
        <v>7461082664</v>
      </c>
      <c r="F35" s="43">
        <v>17970851610</v>
      </c>
      <c r="G35" s="43">
        <v>22185276979</v>
      </c>
      <c r="H35" s="532">
        <f t="shared" si="2"/>
        <v>64791470204</v>
      </c>
    </row>
    <row r="36" spans="1:8">
      <c r="B36" s="166" t="s">
        <v>430</v>
      </c>
      <c r="C36" s="45">
        <v>8.738309443813197E-2</v>
      </c>
      <c r="D36" s="45">
        <v>6.3741726528624185E-2</v>
      </c>
      <c r="E36" s="45">
        <v>4.3051540652948951E-2</v>
      </c>
      <c r="F36" s="45">
        <v>0.11298382348450328</v>
      </c>
      <c r="G36" s="45">
        <v>0.13886166598195682</v>
      </c>
      <c r="H36" s="532">
        <f t="shared" si="2"/>
        <v>0.44602185108616521</v>
      </c>
    </row>
    <row r="37" spans="1:8">
      <c r="B37" s="163" t="s">
        <v>431</v>
      </c>
      <c r="C37" s="43">
        <v>-1693460736</v>
      </c>
      <c r="D37" s="43">
        <v>-6419213738</v>
      </c>
      <c r="E37" s="43">
        <v>-6818467491</v>
      </c>
      <c r="F37" s="43">
        <v>3703754212</v>
      </c>
      <c r="G37" s="43">
        <v>8181583918</v>
      </c>
      <c r="H37" s="532">
        <f t="shared" si="2"/>
        <v>-3045803835</v>
      </c>
    </row>
    <row r="38" spans="1:8">
      <c r="B38" s="166" t="s">
        <v>432</v>
      </c>
      <c r="C38" s="45">
        <v>-1.3429608800534138E-2</v>
      </c>
      <c r="D38" s="45">
        <v>-6.6474330532828974E-2</v>
      </c>
      <c r="E38" s="45">
        <v>-3.9343556907091431E-2</v>
      </c>
      <c r="F38" s="45">
        <v>2.3285725195445736E-2</v>
      </c>
      <c r="G38" s="45">
        <v>5.1210015286267369E-2</v>
      </c>
      <c r="H38" s="532">
        <f t="shared" si="2"/>
        <v>-4.4751755758741435E-2</v>
      </c>
    </row>
    <row r="39" spans="1:8">
      <c r="B39" s="163" t="s">
        <v>433</v>
      </c>
      <c r="C39" s="43">
        <v>1680623174</v>
      </c>
      <c r="D39" s="43">
        <v>-3159925832</v>
      </c>
      <c r="E39" s="43">
        <v>-3740637369</v>
      </c>
      <c r="F39" s="43">
        <v>7043800260</v>
      </c>
      <c r="G39" s="43">
        <v>11351398266</v>
      </c>
      <c r="H39" s="532">
        <f t="shared" si="2"/>
        <v>13175258499</v>
      </c>
    </row>
    <row r="40" spans="1:8">
      <c r="B40" s="166" t="s">
        <v>434</v>
      </c>
      <c r="C40" s="45">
        <v>1.332780340762032E-2</v>
      </c>
      <c r="D40" s="45">
        <v>-3.2722692028796345E-2</v>
      </c>
      <c r="E40" s="45">
        <v>-2.1584025939890526E-2</v>
      </c>
      <c r="F40" s="45">
        <v>4.4284795317829591E-2</v>
      </c>
      <c r="G40" s="45">
        <v>7.1050457289017183E-2</v>
      </c>
      <c r="H40" s="532">
        <f t="shared" si="2"/>
        <v>7.4356338045780221E-2</v>
      </c>
    </row>
    <row r="41" spans="1:8">
      <c r="B41" s="163" t="s">
        <v>435</v>
      </c>
      <c r="C41" s="43">
        <v>0</v>
      </c>
      <c r="D41" s="43">
        <v>0</v>
      </c>
      <c r="E41" s="43">
        <v>-153060867</v>
      </c>
      <c r="F41" s="43">
        <v>0</v>
      </c>
      <c r="G41" s="43">
        <v>-45841499</v>
      </c>
      <c r="H41" s="532">
        <f t="shared" si="2"/>
        <v>-198902366</v>
      </c>
    </row>
    <row r="42" spans="1:8">
      <c r="B42" s="166" t="s">
        <v>436</v>
      </c>
      <c r="C42" s="45">
        <v>0</v>
      </c>
      <c r="D42" s="45">
        <v>0</v>
      </c>
      <c r="E42" s="45">
        <v>-8.8318363899393898E-4</v>
      </c>
      <c r="F42" s="45">
        <v>0</v>
      </c>
      <c r="G42" s="45">
        <v>-2.8693024334452722E-4</v>
      </c>
      <c r="H42" s="532">
        <f t="shared" si="2"/>
        <v>-1.1701138823384661E-3</v>
      </c>
    </row>
    <row r="43" spans="1:8">
      <c r="B43" s="163" t="s">
        <v>437</v>
      </c>
      <c r="C43" s="43">
        <v>-1693460736</v>
      </c>
      <c r="D43" s="43">
        <v>-6419213738</v>
      </c>
      <c r="E43" s="43">
        <v>-6665406624</v>
      </c>
      <c r="F43" s="43">
        <v>3703754212</v>
      </c>
      <c r="G43" s="43">
        <v>8227425417</v>
      </c>
      <c r="H43" s="532">
        <f t="shared" si="2"/>
        <v>-2846901469</v>
      </c>
    </row>
    <row r="44" spans="1:8">
      <c r="B44" s="166" t="s">
        <v>438</v>
      </c>
      <c r="C44" s="45">
        <v>-1.3429608800534138E-2</v>
      </c>
      <c r="D44" s="45">
        <v>-6.6474330532828974E-2</v>
      </c>
      <c r="E44" s="45">
        <v>-3.8460373268097495E-2</v>
      </c>
      <c r="F44" s="45">
        <v>2.3285725195445736E-2</v>
      </c>
      <c r="G44" s="45">
        <v>5.1496945529611891E-2</v>
      </c>
      <c r="H44" s="532">
        <f t="shared" si="2"/>
        <v>-4.3581641876402975E-2</v>
      </c>
    </row>
    <row r="45" spans="1:8">
      <c r="B45" s="175" t="s">
        <v>439</v>
      </c>
      <c r="C45" s="43">
        <v>3731798004</v>
      </c>
      <c r="D45" s="43">
        <v>3202645336</v>
      </c>
      <c r="E45" s="43">
        <v>6245695788</v>
      </c>
      <c r="F45" s="43">
        <v>5821309126</v>
      </c>
      <c r="G45" s="43">
        <v>5915805090</v>
      </c>
      <c r="H45" s="532">
        <f t="shared" si="2"/>
        <v>24917253344</v>
      </c>
    </row>
    <row r="46" spans="1:8">
      <c r="A46" t="s">
        <v>641</v>
      </c>
      <c r="B46" s="589" t="s">
        <v>440</v>
      </c>
      <c r="C46" s="591">
        <v>341154818</v>
      </c>
      <c r="D46" s="591">
        <v>335336818</v>
      </c>
      <c r="E46" s="591">
        <v>750055065</v>
      </c>
      <c r="F46" s="591">
        <v>440065248</v>
      </c>
      <c r="G46" s="591">
        <v>437914065</v>
      </c>
      <c r="H46" s="532">
        <f t="shared" si="2"/>
        <v>2304526014</v>
      </c>
    </row>
    <row r="47" spans="1:8">
      <c r="A47" t="s">
        <v>641</v>
      </c>
      <c r="B47" s="589" t="s">
        <v>441</v>
      </c>
      <c r="C47" s="591">
        <v>203105799</v>
      </c>
      <c r="D47" s="591">
        <v>175501259</v>
      </c>
      <c r="E47" s="591">
        <v>323362648</v>
      </c>
      <c r="F47" s="591">
        <v>347161700</v>
      </c>
      <c r="G47" s="591">
        <v>288218290</v>
      </c>
      <c r="H47" s="532">
        <f t="shared" si="2"/>
        <v>1337349696</v>
      </c>
    </row>
    <row r="48" spans="1:8">
      <c r="A48" t="s">
        <v>644</v>
      </c>
      <c r="B48" s="172" t="s">
        <v>442</v>
      </c>
      <c r="C48" s="47">
        <v>1284224102</v>
      </c>
      <c r="D48" s="47">
        <v>828225273</v>
      </c>
      <c r="E48" s="47">
        <v>2221270799</v>
      </c>
      <c r="F48" s="47">
        <v>2175577325</v>
      </c>
      <c r="G48" s="47">
        <v>2044593710</v>
      </c>
      <c r="H48" s="532">
        <f t="shared" si="2"/>
        <v>8553891209</v>
      </c>
    </row>
    <row r="49" spans="1:8">
      <c r="A49" t="s">
        <v>644</v>
      </c>
      <c r="B49" s="172" t="s">
        <v>443</v>
      </c>
      <c r="C49" s="47">
        <v>345080148</v>
      </c>
      <c r="D49" s="47">
        <v>240106741</v>
      </c>
      <c r="E49" s="47">
        <v>556120832</v>
      </c>
      <c r="F49" s="47">
        <v>814097700</v>
      </c>
      <c r="G49" s="47">
        <v>580228250</v>
      </c>
      <c r="H49" s="532">
        <f t="shared" si="2"/>
        <v>2535633671</v>
      </c>
    </row>
    <row r="50" spans="1:8">
      <c r="A50" t="s">
        <v>644</v>
      </c>
      <c r="B50" s="172" t="s">
        <v>444</v>
      </c>
      <c r="C50" s="47">
        <v>1092685189</v>
      </c>
      <c r="D50" s="47">
        <v>1193026840</v>
      </c>
      <c r="E50" s="47">
        <v>1805602205</v>
      </c>
      <c r="F50" s="47">
        <v>1237377546</v>
      </c>
      <c r="G50" s="47">
        <v>1647931878</v>
      </c>
      <c r="H50" s="532">
        <f t="shared" si="2"/>
        <v>6976623658</v>
      </c>
    </row>
    <row r="51" spans="1:8">
      <c r="A51" t="s">
        <v>643</v>
      </c>
      <c r="B51" s="172" t="s">
        <v>445</v>
      </c>
      <c r="C51" s="47">
        <v>19541270</v>
      </c>
      <c r="D51" s="47">
        <v>19541269</v>
      </c>
      <c r="E51" s="47">
        <v>19541270</v>
      </c>
      <c r="F51" s="47">
        <v>19541270</v>
      </c>
      <c r="G51" s="47">
        <v>19541270</v>
      </c>
      <c r="H51" s="532">
        <f t="shared" si="2"/>
        <v>97706349</v>
      </c>
    </row>
    <row r="52" spans="1:8">
      <c r="A52" t="s">
        <v>642</v>
      </c>
      <c r="B52" s="587" t="s">
        <v>446</v>
      </c>
      <c r="C52" s="47">
        <v>446006678</v>
      </c>
      <c r="D52" s="47">
        <v>410907136</v>
      </c>
      <c r="E52" s="47">
        <v>569742969</v>
      </c>
      <c r="F52" s="47">
        <v>787488337</v>
      </c>
      <c r="G52" s="47">
        <v>897377627</v>
      </c>
      <c r="H52" s="532">
        <f t="shared" si="2"/>
        <v>3111522747</v>
      </c>
    </row>
    <row r="53" spans="1:8">
      <c r="B53" s="177" t="s">
        <v>447</v>
      </c>
      <c r="C53" s="45">
        <v>2.9594183231381476E-2</v>
      </c>
      <c r="D53" s="45">
        <v>3.3165074935021126E-2</v>
      </c>
      <c r="E53" s="45">
        <v>3.6038580221128352E-2</v>
      </c>
      <c r="F53" s="45">
        <v>3.6598920129902075E-2</v>
      </c>
      <c r="G53" s="45">
        <v>3.7028095308412418E-2</v>
      </c>
      <c r="H53" s="532">
        <f t="shared" si="2"/>
        <v>0.17242485382584544</v>
      </c>
    </row>
    <row r="54" spans="1:8">
      <c r="B54" s="175" t="s">
        <v>448</v>
      </c>
      <c r="C54" s="43">
        <v>8394130638</v>
      </c>
      <c r="D54" s="43">
        <v>7959394332</v>
      </c>
      <c r="E54" s="43">
        <v>7329810589</v>
      </c>
      <c r="F54" s="43">
        <v>8148952142</v>
      </c>
      <c r="G54" s="43">
        <v>8010802475</v>
      </c>
      <c r="H54" s="532">
        <f t="shared" si="2"/>
        <v>39843090176</v>
      </c>
    </row>
    <row r="55" spans="1:8">
      <c r="A55" t="s">
        <v>641</v>
      </c>
      <c r="B55" s="589" t="s">
        <v>449</v>
      </c>
      <c r="C55" s="591">
        <v>4629542853</v>
      </c>
      <c r="D55" s="591">
        <v>4359513523</v>
      </c>
      <c r="E55" s="591">
        <v>4309411566</v>
      </c>
      <c r="F55" s="591">
        <v>5023365364</v>
      </c>
      <c r="G55" s="591">
        <v>4531384261</v>
      </c>
      <c r="H55" s="532">
        <f t="shared" si="2"/>
        <v>22853217567</v>
      </c>
    </row>
    <row r="56" spans="1:8">
      <c r="A56" t="s">
        <v>641</v>
      </c>
      <c r="B56" s="589" t="s">
        <v>450</v>
      </c>
      <c r="C56" s="591">
        <v>1057276589</v>
      </c>
      <c r="D56" s="591">
        <v>1002086670</v>
      </c>
      <c r="E56" s="591">
        <v>989003064</v>
      </c>
      <c r="F56" s="591">
        <v>1232405175</v>
      </c>
      <c r="G56" s="591">
        <v>1206603219</v>
      </c>
      <c r="H56" s="532">
        <f t="shared" si="2"/>
        <v>5487374717</v>
      </c>
    </row>
    <row r="57" spans="1:8">
      <c r="A57" t="s">
        <v>643</v>
      </c>
      <c r="B57" s="172" t="s">
        <v>451</v>
      </c>
      <c r="C57" s="47">
        <v>69488240</v>
      </c>
      <c r="D57" s="47">
        <v>69486865</v>
      </c>
      <c r="E57" s="47">
        <v>61828638</v>
      </c>
      <c r="F57" s="47">
        <v>62110960</v>
      </c>
      <c r="G57" s="47">
        <v>64038045</v>
      </c>
      <c r="H57" s="532">
        <f t="shared" si="2"/>
        <v>326952748</v>
      </c>
    </row>
    <row r="58" spans="1:8">
      <c r="A58" t="s">
        <v>642</v>
      </c>
      <c r="B58" s="587" t="s">
        <v>452</v>
      </c>
      <c r="C58" s="47">
        <v>2637822956</v>
      </c>
      <c r="D58" s="47">
        <v>2528307274</v>
      </c>
      <c r="E58" s="47">
        <v>1969567321</v>
      </c>
      <c r="F58" s="47">
        <v>1831070643</v>
      </c>
      <c r="G58" s="47">
        <v>2208776950</v>
      </c>
      <c r="H58" s="532">
        <f t="shared" si="2"/>
        <v>11175545144</v>
      </c>
    </row>
    <row r="59" spans="1:8">
      <c r="B59" s="177" t="s">
        <v>453</v>
      </c>
      <c r="C59" s="45">
        <v>6.656776168025548E-2</v>
      </c>
      <c r="D59" s="45">
        <v>8.2423709703634329E-2</v>
      </c>
      <c r="E59" s="45">
        <v>4.2294081537701776E-2</v>
      </c>
      <c r="F59" s="45">
        <v>5.123295158049513E-2</v>
      </c>
      <c r="G59" s="45">
        <v>5.0141063308961398E-2</v>
      </c>
      <c r="H59" s="532">
        <f t="shared" si="2"/>
        <v>0.29265956781104807</v>
      </c>
    </row>
    <row r="60" spans="1:8">
      <c r="B60" s="175" t="s">
        <v>454</v>
      </c>
      <c r="C60" s="44">
        <v>1532817392</v>
      </c>
      <c r="D60" s="44">
        <v>1569283837</v>
      </c>
      <c r="E60" s="44">
        <v>1510605035</v>
      </c>
      <c r="F60" s="44">
        <v>1998884061</v>
      </c>
      <c r="G60" s="44">
        <v>1208736058</v>
      </c>
      <c r="H60" s="532">
        <f t="shared" si="2"/>
        <v>7820326383</v>
      </c>
    </row>
    <row r="61" spans="1:8">
      <c r="B61" s="160" t="s">
        <v>455</v>
      </c>
      <c r="C61" s="47">
        <v>1240115065</v>
      </c>
      <c r="D61" s="47">
        <v>1156279418</v>
      </c>
      <c r="E61" s="47">
        <v>959718564</v>
      </c>
      <c r="F61" s="47">
        <v>1062084475</v>
      </c>
      <c r="G61" s="47">
        <v>838836791</v>
      </c>
      <c r="H61" s="532">
        <f t="shared" si="2"/>
        <v>5257034313</v>
      </c>
    </row>
    <row r="62" spans="1:8">
      <c r="B62" s="177" t="s">
        <v>456</v>
      </c>
      <c r="C62" s="45">
        <v>9.8344531033750307E-3</v>
      </c>
      <c r="D62" s="45">
        <v>1.1973880814317123E-2</v>
      </c>
      <c r="E62" s="45">
        <v>5.5377167944799209E-3</v>
      </c>
      <c r="F62" s="45">
        <v>6.6773888880289596E-3</v>
      </c>
      <c r="G62" s="45">
        <v>5.2504313737203991E-3</v>
      </c>
      <c r="H62" s="532">
        <f t="shared" si="2"/>
        <v>3.9273870973921439E-2</v>
      </c>
    </row>
    <row r="69" spans="2:5">
      <c r="B69" t="s">
        <v>446</v>
      </c>
      <c r="C69" s="529">
        <v>14000000</v>
      </c>
      <c r="D69" s="529">
        <f>SUMIFS($H$9:$H$62,$B$9:$B$62,$B69)</f>
        <v>3111522747</v>
      </c>
      <c r="E69" s="532">
        <f>D69-C69</f>
        <v>3097522747</v>
      </c>
    </row>
    <row r="70" spans="2:5">
      <c r="B70" t="s">
        <v>452</v>
      </c>
      <c r="C70" s="529">
        <v>2485674440</v>
      </c>
      <c r="D70" s="529">
        <f t="shared" ref="D70:D79" si="3">SUMIFS($H$9:$H$62,$B$9:$B$62,$B70)</f>
        <v>11175545144</v>
      </c>
    </row>
    <row r="71" spans="2:5">
      <c r="B71" t="s">
        <v>440</v>
      </c>
      <c r="C71" s="529">
        <v>2304526014</v>
      </c>
      <c r="D71" s="529">
        <f t="shared" si="3"/>
        <v>2304526014</v>
      </c>
    </row>
    <row r="72" spans="2:5">
      <c r="B72" t="s">
        <v>418</v>
      </c>
      <c r="C72" s="529">
        <v>1809482234</v>
      </c>
      <c r="D72" s="529">
        <f t="shared" si="3"/>
        <v>1809482234</v>
      </c>
    </row>
    <row r="73" spans="2:5">
      <c r="B73" t="s">
        <v>420</v>
      </c>
      <c r="C73" s="529">
        <v>20070379576</v>
      </c>
      <c r="D73" s="529">
        <f t="shared" si="3"/>
        <v>20071879576</v>
      </c>
    </row>
    <row r="74" spans="2:5">
      <c r="B74" t="s">
        <v>419</v>
      </c>
      <c r="C74" s="529">
        <v>11177167097</v>
      </c>
      <c r="D74" s="529">
        <f t="shared" si="3"/>
        <v>11177167097</v>
      </c>
    </row>
    <row r="75" spans="2:5">
      <c r="B75" t="s">
        <v>449</v>
      </c>
      <c r="C75" s="529">
        <v>22458583326</v>
      </c>
      <c r="D75" s="529">
        <f t="shared" si="3"/>
        <v>22853217567</v>
      </c>
    </row>
    <row r="76" spans="2:5">
      <c r="B76" t="s">
        <v>423</v>
      </c>
      <c r="C76" s="529">
        <v>118923852</v>
      </c>
      <c r="D76" s="529">
        <f t="shared" si="3"/>
        <v>41164807588</v>
      </c>
    </row>
    <row r="77" spans="2:5">
      <c r="B77" t="s">
        <v>441</v>
      </c>
      <c r="C77" s="529">
        <v>1337349696</v>
      </c>
      <c r="D77" s="529">
        <f t="shared" si="3"/>
        <v>1337349696</v>
      </c>
    </row>
    <row r="78" spans="2:5">
      <c r="B78" t="s">
        <v>450</v>
      </c>
      <c r="C78" s="529">
        <v>5489474717</v>
      </c>
      <c r="D78" s="529">
        <f t="shared" si="3"/>
        <v>5487374717</v>
      </c>
    </row>
    <row r="79" spans="2:5">
      <c r="B79" t="s">
        <v>421</v>
      </c>
      <c r="C79" s="529">
        <v>6428312865</v>
      </c>
      <c r="D79" s="529">
        <f t="shared" si="3"/>
        <v>6450663123</v>
      </c>
    </row>
    <row r="83" spans="2:2">
      <c r="B83" t="s">
        <v>418</v>
      </c>
    </row>
    <row r="84" spans="2:2">
      <c r="B84" t="s">
        <v>419</v>
      </c>
    </row>
    <row r="85" spans="2:2">
      <c r="B85" t="s">
        <v>420</v>
      </c>
    </row>
    <row r="86" spans="2:2">
      <c r="B86" t="s">
        <v>421</v>
      </c>
    </row>
    <row r="87" spans="2:2">
      <c r="B87" t="s">
        <v>440</v>
      </c>
    </row>
    <row r="88" spans="2:2">
      <c r="B88" t="s">
        <v>441</v>
      </c>
    </row>
    <row r="89" spans="2:2">
      <c r="B89" t="s">
        <v>449</v>
      </c>
    </row>
    <row r="90" spans="2:2">
      <c r="B90" t="s">
        <v>450</v>
      </c>
    </row>
    <row r="96" spans="2:2">
      <c r="B96" t="s">
        <v>422</v>
      </c>
    </row>
    <row r="97" spans="2:7">
      <c r="B97" t="s">
        <v>423</v>
      </c>
    </row>
    <row r="98" spans="2:7">
      <c r="B98" t="s">
        <v>446</v>
      </c>
    </row>
    <row r="99" spans="2:7">
      <c r="B99" t="s">
        <v>452</v>
      </c>
    </row>
    <row r="104" spans="2:7">
      <c r="C104" s="529">
        <v>2800000</v>
      </c>
      <c r="D104" s="529">
        <v>2800000</v>
      </c>
      <c r="E104" s="529">
        <v>2800000</v>
      </c>
      <c r="F104" s="529">
        <v>2800000</v>
      </c>
      <c r="G104" s="529">
        <v>2800000</v>
      </c>
    </row>
    <row r="105" spans="2:7">
      <c r="C105" s="529">
        <v>341154818</v>
      </c>
      <c r="D105" s="529">
        <v>335336818</v>
      </c>
      <c r="E105" s="529">
        <v>750055065</v>
      </c>
      <c r="F105" s="529">
        <v>440065248</v>
      </c>
      <c r="G105" s="529">
        <v>437914065</v>
      </c>
    </row>
    <row r="106" spans="2:7">
      <c r="C106" s="529">
        <v>203105799</v>
      </c>
      <c r="D106" s="529">
        <v>175501259</v>
      </c>
      <c r="E106" s="529">
        <v>323362648</v>
      </c>
      <c r="F106" s="529">
        <v>347161700</v>
      </c>
      <c r="G106" s="529">
        <v>288218290</v>
      </c>
    </row>
    <row r="107" spans="2:7">
      <c r="C107" s="529">
        <v>534828642</v>
      </c>
      <c r="D107" s="529">
        <v>815897475</v>
      </c>
      <c r="E107" s="529">
        <v>349917017</v>
      </c>
      <c r="F107" s="529">
        <v>388173703</v>
      </c>
      <c r="G107" s="529">
        <v>396857603</v>
      </c>
    </row>
    <row r="108" spans="2:7">
      <c r="C108" s="529">
        <v>4545131885</v>
      </c>
      <c r="D108" s="529">
        <v>4261781380</v>
      </c>
      <c r="E108" s="529">
        <v>4227653501</v>
      </c>
      <c r="F108" s="529">
        <v>4940990364</v>
      </c>
      <c r="G108" s="529">
        <v>4483026196</v>
      </c>
    </row>
    <row r="109" spans="2:7">
      <c r="C109" s="529">
        <v>1057276589</v>
      </c>
      <c r="D109" s="529">
        <v>1002086670</v>
      </c>
      <c r="E109" s="529">
        <v>989003064</v>
      </c>
      <c r="F109" s="529">
        <v>1234505175</v>
      </c>
      <c r="G109" s="529">
        <v>1206603219</v>
      </c>
    </row>
    <row r="110" spans="2:7">
      <c r="C110" s="529">
        <v>368816619</v>
      </c>
      <c r="D110" s="529">
        <v>248754636</v>
      </c>
      <c r="E110" s="529">
        <v>337308264</v>
      </c>
      <c r="F110" s="529">
        <v>499755909</v>
      </c>
      <c r="G110" s="529">
        <v>354846806</v>
      </c>
    </row>
    <row r="111" spans="2:7">
      <c r="C111" s="529">
        <v>4079461212</v>
      </c>
      <c r="D111" s="529">
        <v>3772730095</v>
      </c>
      <c r="E111" s="529">
        <v>3815553479</v>
      </c>
      <c r="F111" s="529">
        <v>4321000559</v>
      </c>
      <c r="G111" s="529">
        <v>4083134231</v>
      </c>
    </row>
    <row r="112" spans="2:7">
      <c r="C112" s="529">
        <v>2314962109</v>
      </c>
      <c r="D112" s="529">
        <v>1839461214</v>
      </c>
      <c r="E112" s="529">
        <v>2152019625</v>
      </c>
      <c r="F112" s="529">
        <v>2463187426</v>
      </c>
      <c r="G112" s="529">
        <v>2407536723</v>
      </c>
    </row>
    <row r="113" spans="1:7">
      <c r="C113" s="529">
        <v>16387527</v>
      </c>
      <c r="D113" s="529">
        <v>14225683</v>
      </c>
      <c r="E113" s="529">
        <v>33242805</v>
      </c>
      <c r="F113" s="529">
        <v>26799913</v>
      </c>
      <c r="G113" s="529">
        <v>28267924</v>
      </c>
    </row>
    <row r="114" spans="1:7">
      <c r="C114" s="529">
        <v>1426956545</v>
      </c>
      <c r="D114" s="529">
        <v>1161357165</v>
      </c>
      <c r="E114" s="529">
        <v>1239376171</v>
      </c>
      <c r="F114" s="529">
        <v>1249071463</v>
      </c>
      <c r="G114" s="529">
        <v>1351551521</v>
      </c>
    </row>
    <row r="119" spans="1:7">
      <c r="A119" t="s">
        <v>647</v>
      </c>
      <c r="B119" t="s">
        <v>648</v>
      </c>
      <c r="C119" t="s">
        <v>649</v>
      </c>
    </row>
    <row r="120" spans="1:7">
      <c r="A120" t="s">
        <v>650</v>
      </c>
      <c r="B120" t="s">
        <v>648</v>
      </c>
      <c r="C120" t="s">
        <v>651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1DDA-7218-4369-8A3E-F8CDCBB9C7F5}">
  <dimension ref="A4:O15"/>
  <sheetViews>
    <sheetView workbookViewId="0">
      <selection activeCell="M15" sqref="M15"/>
    </sheetView>
  </sheetViews>
  <sheetFormatPr defaultRowHeight="14.4"/>
  <cols>
    <col min="2" max="13" width="18" bestFit="1" customWidth="1"/>
    <col min="14" max="14" width="16.88671875" bestFit="1" customWidth="1"/>
    <col min="15" max="15" width="18" bestFit="1" customWidth="1"/>
  </cols>
  <sheetData>
    <row r="4" spans="1:1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</row>
    <row r="5" spans="1:15">
      <c r="B5" s="529">
        <v>326525959</v>
      </c>
      <c r="C5" s="529">
        <v>301395737</v>
      </c>
      <c r="D5" s="529">
        <v>353064382</v>
      </c>
      <c r="E5" s="529">
        <v>367893640</v>
      </c>
      <c r="F5" s="529">
        <v>583268535</v>
      </c>
      <c r="G5" s="529">
        <v>409683221</v>
      </c>
      <c r="H5" s="529">
        <v>382580514</v>
      </c>
      <c r="I5" s="529">
        <v>409675223</v>
      </c>
      <c r="J5" s="529">
        <v>681336938</v>
      </c>
      <c r="K5" s="529">
        <v>434513561</v>
      </c>
      <c r="L5" s="529">
        <v>359300470</v>
      </c>
      <c r="M5" s="529">
        <v>371608824</v>
      </c>
      <c r="N5" s="529">
        <f>SUM(B5:M5)</f>
        <v>4980847004</v>
      </c>
      <c r="O5" s="529">
        <v>99789278966</v>
      </c>
    </row>
    <row r="6" spans="1:15">
      <c r="B6" s="529">
        <v>3862569957</v>
      </c>
      <c r="C6" s="529">
        <v>3594333014</v>
      </c>
      <c r="D6" s="529">
        <v>3676490698</v>
      </c>
      <c r="E6" s="529">
        <v>4144437406</v>
      </c>
      <c r="F6" s="529">
        <v>4051343169</v>
      </c>
      <c r="G6" s="529">
        <v>4168433618</v>
      </c>
      <c r="H6" s="529">
        <v>4155409281</v>
      </c>
      <c r="I6" s="529">
        <v>4177314711</v>
      </c>
      <c r="J6" s="529">
        <v>4406134044</v>
      </c>
      <c r="K6" s="529">
        <v>4029385993</v>
      </c>
      <c r="L6" s="529">
        <v>3859104703</v>
      </c>
      <c r="M6" s="529">
        <v>3914832620</v>
      </c>
      <c r="N6" s="529">
        <f t="shared" ref="N6:N14" si="0">SUM(B6:M6)</f>
        <v>48039789214</v>
      </c>
    </row>
    <row r="7" spans="1:15">
      <c r="B7" s="529">
        <v>2102841120</v>
      </c>
      <c r="C7" s="529">
        <v>2139570280</v>
      </c>
      <c r="D7" s="529">
        <v>2143336877</v>
      </c>
      <c r="E7" s="529">
        <v>2211173874</v>
      </c>
      <c r="F7" s="529">
        <v>2328020395</v>
      </c>
      <c r="G7" s="529">
        <v>2570077869</v>
      </c>
      <c r="H7" s="529">
        <v>3450671363</v>
      </c>
      <c r="I7" s="529">
        <v>2893137111</v>
      </c>
      <c r="J7" s="529">
        <v>3075521247</v>
      </c>
      <c r="K7" s="529">
        <v>2805457512</v>
      </c>
      <c r="L7" s="529">
        <v>2486851728</v>
      </c>
      <c r="M7" s="529">
        <v>2339162817</v>
      </c>
      <c r="N7" s="529">
        <f t="shared" si="0"/>
        <v>30545822193</v>
      </c>
    </row>
    <row r="8" spans="1:15">
      <c r="B8" s="529">
        <v>1458390760</v>
      </c>
      <c r="C8" s="529">
        <v>1416722711</v>
      </c>
      <c r="D8" s="529">
        <v>1150490442</v>
      </c>
      <c r="E8" s="529">
        <v>1324029310</v>
      </c>
      <c r="F8" s="529">
        <v>1292186395</v>
      </c>
      <c r="G8" s="529">
        <v>1242994029</v>
      </c>
      <c r="H8" s="529">
        <v>1301826646</v>
      </c>
      <c r="I8" s="529">
        <v>1394416901</v>
      </c>
      <c r="J8" s="529">
        <v>1498127288</v>
      </c>
      <c r="K8" s="529">
        <v>1494085055</v>
      </c>
      <c r="L8" s="529">
        <v>1322088478</v>
      </c>
      <c r="M8" s="529">
        <v>1327462540</v>
      </c>
      <c r="N8" s="529">
        <f t="shared" si="0"/>
        <v>16222820555</v>
      </c>
    </row>
    <row r="9" spans="1:15">
      <c r="B9" s="529">
        <v>288795517</v>
      </c>
      <c r="C9" s="529">
        <v>279028018</v>
      </c>
      <c r="D9" s="529">
        <v>270260675</v>
      </c>
      <c r="E9" s="529">
        <v>309710404</v>
      </c>
      <c r="F9" s="529">
        <v>258112283</v>
      </c>
      <c r="G9" s="529">
        <v>282054651</v>
      </c>
      <c r="H9" s="529">
        <v>289537898</v>
      </c>
      <c r="I9" s="529">
        <v>498259089</v>
      </c>
      <c r="J9" s="529">
        <v>423087222</v>
      </c>
      <c r="K9" s="529">
        <v>293219183</v>
      </c>
      <c r="L9" s="529">
        <v>422268800</v>
      </c>
      <c r="M9" s="529">
        <v>595895367</v>
      </c>
      <c r="N9" s="596">
        <f t="shared" si="0"/>
        <v>4210229107</v>
      </c>
      <c r="O9" s="596">
        <v>6916032126</v>
      </c>
    </row>
    <row r="10" spans="1:15">
      <c r="B10" s="529">
        <v>97010894</v>
      </c>
      <c r="C10" s="529">
        <v>95175253</v>
      </c>
      <c r="D10" s="529">
        <v>401976600</v>
      </c>
      <c r="E10" s="529">
        <v>430175717</v>
      </c>
      <c r="F10" s="529">
        <v>280510436</v>
      </c>
      <c r="G10" s="529">
        <v>209412230</v>
      </c>
      <c r="H10" s="529">
        <v>161033060</v>
      </c>
      <c r="I10" s="529">
        <v>274337714</v>
      </c>
      <c r="J10" s="529">
        <v>121884793</v>
      </c>
      <c r="K10" s="529">
        <v>232382183</v>
      </c>
      <c r="L10" s="529">
        <v>224656192</v>
      </c>
      <c r="M10" s="529">
        <v>177247947</v>
      </c>
      <c r="N10" s="596">
        <f t="shared" si="0"/>
        <v>2705803019</v>
      </c>
      <c r="O10" s="597"/>
    </row>
    <row r="11" spans="1:15">
      <c r="B11" s="529">
        <v>3675219933</v>
      </c>
      <c r="C11" s="529">
        <v>3730193145</v>
      </c>
      <c r="D11" s="529">
        <v>3672802487</v>
      </c>
      <c r="E11" s="529">
        <v>4067361203</v>
      </c>
      <c r="F11" s="529">
        <v>4153389635</v>
      </c>
      <c r="G11" s="529">
        <v>4328073097</v>
      </c>
      <c r="H11" s="529">
        <v>3993576113</v>
      </c>
      <c r="I11" s="529">
        <v>4303879064</v>
      </c>
      <c r="J11" s="529">
        <v>4293121134</v>
      </c>
      <c r="K11" s="529">
        <v>4231623187</v>
      </c>
      <c r="L11" s="529">
        <v>4348684158</v>
      </c>
      <c r="M11" s="529">
        <v>6436319353</v>
      </c>
      <c r="N11" s="598">
        <f t="shared" si="0"/>
        <v>51234242509</v>
      </c>
      <c r="O11" s="598">
        <v>71356730770</v>
      </c>
    </row>
    <row r="12" spans="1:15">
      <c r="B12" s="529">
        <v>1453529846</v>
      </c>
      <c r="C12" s="529">
        <v>1287968701</v>
      </c>
      <c r="D12" s="529">
        <v>1041566554</v>
      </c>
      <c r="E12" s="529">
        <v>1176395591</v>
      </c>
      <c r="F12" s="529">
        <v>1122981936</v>
      </c>
      <c r="G12" s="529">
        <v>1165050338</v>
      </c>
      <c r="H12" s="529">
        <v>1278983506</v>
      </c>
      <c r="I12" s="529">
        <v>1388562790</v>
      </c>
      <c r="J12" s="529">
        <v>2703236232</v>
      </c>
      <c r="K12" s="529">
        <v>1410898246</v>
      </c>
      <c r="L12" s="529">
        <v>1320213158</v>
      </c>
      <c r="M12" s="529">
        <v>4773101363</v>
      </c>
      <c r="N12" s="598">
        <f t="shared" si="0"/>
        <v>20122488261</v>
      </c>
      <c r="O12" s="599"/>
    </row>
    <row r="13" spans="1:15">
      <c r="A13" t="s">
        <v>638</v>
      </c>
      <c r="B13" s="594">
        <f>SUM(B5:B12)</f>
        <v>13264883986</v>
      </c>
      <c r="C13" s="594">
        <f t="shared" ref="C13:M13" si="1">SUM(C5:C12)</f>
        <v>12844386859</v>
      </c>
      <c r="D13" s="594">
        <f t="shared" si="1"/>
        <v>12709988715</v>
      </c>
      <c r="E13" s="594">
        <f t="shared" si="1"/>
        <v>14031177145</v>
      </c>
      <c r="F13" s="594">
        <f t="shared" si="1"/>
        <v>14069812784</v>
      </c>
      <c r="G13" s="594">
        <f t="shared" si="1"/>
        <v>14375779053</v>
      </c>
      <c r="H13" s="594">
        <f t="shared" si="1"/>
        <v>15013618381</v>
      </c>
      <c r="I13" s="594">
        <f t="shared" si="1"/>
        <v>15339582603</v>
      </c>
      <c r="J13" s="594">
        <f t="shared" si="1"/>
        <v>17202448898</v>
      </c>
      <c r="K13" s="594">
        <f t="shared" si="1"/>
        <v>14931564920</v>
      </c>
      <c r="L13" s="594">
        <f t="shared" si="1"/>
        <v>14343167687</v>
      </c>
      <c r="M13" s="594">
        <f t="shared" si="1"/>
        <v>19935630831</v>
      </c>
      <c r="N13" s="602">
        <f t="shared" si="0"/>
        <v>178062041862</v>
      </c>
    </row>
    <row r="14" spans="1:15">
      <c r="A14" t="s">
        <v>652</v>
      </c>
      <c r="B14" s="529">
        <v>13264883986</v>
      </c>
      <c r="C14" s="529">
        <v>12844386859</v>
      </c>
      <c r="D14" s="529">
        <v>12709988715</v>
      </c>
      <c r="E14" s="529">
        <v>14031177145</v>
      </c>
      <c r="F14" s="529">
        <v>14069812784</v>
      </c>
      <c r="G14" s="529">
        <v>14375779053</v>
      </c>
      <c r="H14" s="529">
        <v>15013618381</v>
      </c>
      <c r="I14" s="529">
        <v>15339582603</v>
      </c>
      <c r="J14" s="529">
        <v>17202448898</v>
      </c>
      <c r="K14" s="529">
        <v>14931564920</v>
      </c>
      <c r="L14" s="529">
        <v>14343167687</v>
      </c>
      <c r="M14" s="531">
        <v>21257970176</v>
      </c>
      <c r="N14" s="602">
        <f t="shared" si="0"/>
        <v>179384381207</v>
      </c>
    </row>
    <row r="15" spans="1:15">
      <c r="B15" s="595">
        <f>B13-B14</f>
        <v>0</v>
      </c>
      <c r="C15" s="595">
        <f t="shared" ref="C15:M15" si="2">C13-C14</f>
        <v>0</v>
      </c>
      <c r="D15" s="595">
        <f t="shared" si="2"/>
        <v>0</v>
      </c>
      <c r="E15" s="595">
        <f t="shared" si="2"/>
        <v>0</v>
      </c>
      <c r="F15" s="595">
        <f t="shared" si="2"/>
        <v>0</v>
      </c>
      <c r="G15" s="595">
        <f t="shared" si="2"/>
        <v>0</v>
      </c>
      <c r="H15" s="595">
        <f t="shared" si="2"/>
        <v>0</v>
      </c>
      <c r="I15" s="595">
        <f t="shared" si="2"/>
        <v>0</v>
      </c>
      <c r="J15" s="595">
        <f t="shared" si="2"/>
        <v>0</v>
      </c>
      <c r="K15" s="595">
        <f t="shared" si="2"/>
        <v>0</v>
      </c>
      <c r="L15" s="595">
        <f t="shared" si="2"/>
        <v>0</v>
      </c>
      <c r="M15" s="595">
        <f t="shared" si="2"/>
        <v>-1322339345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3" ma:contentTypeDescription="Create a new document." ma:contentTypeScope="" ma:versionID="ecd092494d94b9c5afa01149f09c00bb">
  <xsd:schema xmlns:xsd="http://www.w3.org/2001/XMLSchema" xmlns:xs="http://www.w3.org/2001/XMLSchema" xmlns:p="http://schemas.microsoft.com/office/2006/metadata/properties" xmlns:ns2="543c1bda-7ab4-496b-90de-e61f6375a792" targetNamespace="http://schemas.microsoft.com/office/2006/metadata/properties" ma:root="true" ma:fieldsID="c3289f7d8f8ce0911a9bc9aa4db0a163" ns2:_="">
    <xsd:import namespace="543c1bda-7ab4-496b-90de-e61f6375a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1bda-7ab4-496b-90de-e61f6375a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5242DB-716D-4186-8C63-B86E4AD6D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c1bda-7ab4-496b-90de-e61f6375a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03073-E41F-463D-B9BD-57EB165E48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AB8DC-37FE-4FC9-A449-8FEEE1FA64D2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43c1bda-7ab4-496b-90de-e61f6375a79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Ghi chú</vt:lpstr>
      <vt:lpstr>Sheet1</vt:lpstr>
      <vt:lpstr>Sheet2</vt:lpstr>
      <vt:lpstr>'LCTT_GT in'!Print_Titles</vt:lpstr>
      <vt:lpstr>'THTC 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Thọ, Trần Hữu</dc:creator>
  <cp:keywords/>
  <dc:description/>
  <cp:lastModifiedBy>Danh, Hoàng Duy</cp:lastModifiedBy>
  <cp:revision/>
  <dcterms:created xsi:type="dcterms:W3CDTF">2025-10-27T03:57:45Z</dcterms:created>
  <dcterms:modified xsi:type="dcterms:W3CDTF">2026-07-13T09:49:12Z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