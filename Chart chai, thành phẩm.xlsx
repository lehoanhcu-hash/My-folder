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D3BD7FD1-9EC4-4DCE-9417-899DFA0443F8}" xr6:coauthVersionLast="47" xr6:coauthVersionMax="47" xr10:uidLastSave="{00000000-0000-0000-0000-000000000000}"/>
  <bookViews>
    <workbookView xWindow="-110" yWindow="-110" windowWidth="19420" windowHeight="10300" activeTab="1" xr2:uid="{D0994AD2-FF20-4734-B6D0-B9F886E7D607}"/>
  </bookViews>
  <sheets>
    <sheet name="General Data" sheetId="3" r:id="rId1"/>
    <sheet name="Chai" sheetId="1" r:id="rId2"/>
    <sheet name="Vảy" sheetId="4" r:id="rId3"/>
    <sheet name="Thành phẩm" sheetId="2" r:id="rId4"/>
  </sheets>
  <definedNames>
    <definedName name="Chai_B0">'General Data'!$B$3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F4" i="1"/>
  <c r="E4" i="1"/>
  <c r="D4" i="1"/>
  <c r="C4" i="1"/>
  <c r="G5" i="1"/>
  <c r="F5" i="1"/>
  <c r="E5" i="1"/>
  <c r="D5" i="1"/>
  <c r="C5" i="1"/>
  <c r="B5" i="1"/>
  <c r="B21" i="3"/>
  <c r="B20" i="3"/>
  <c r="B19" i="3"/>
  <c r="B18" i="3"/>
  <c r="B17" i="3"/>
  <c r="B16" i="3"/>
  <c r="B15" i="3"/>
  <c r="E12" i="2"/>
  <c r="D12" i="2"/>
  <c r="C12" i="2"/>
  <c r="B12" i="2"/>
  <c r="B4" i="1"/>
  <c r="F15" i="4"/>
  <c r="E15" i="4"/>
  <c r="F14" i="4"/>
  <c r="F21" i="4" s="1"/>
  <c r="E14" i="4"/>
  <c r="E21" i="4" s="1"/>
  <c r="D14" i="4"/>
  <c r="D21" i="4" s="1"/>
  <c r="B14" i="4"/>
  <c r="B21" i="4" s="1"/>
  <c r="D13" i="4"/>
  <c r="D20" i="4" s="1"/>
  <c r="C13" i="4"/>
  <c r="C20" i="4" s="1"/>
  <c r="F12" i="4"/>
  <c r="F19" i="4" s="1"/>
  <c r="E12" i="4"/>
  <c r="E19" i="4" s="1"/>
  <c r="D12" i="4"/>
  <c r="D19" i="4" s="1"/>
  <c r="B12" i="4"/>
  <c r="B19" i="4" s="1"/>
  <c r="F11" i="4"/>
  <c r="F18" i="4" s="1"/>
  <c r="G8" i="4"/>
  <c r="F8" i="4"/>
  <c r="F22" i="4" s="1"/>
  <c r="E8" i="4"/>
  <c r="E11" i="4" s="1"/>
  <c r="E18" i="4" s="1"/>
  <c r="D8" i="4"/>
  <c r="D11" i="4" s="1"/>
  <c r="D18" i="4" s="1"/>
  <c r="C8" i="4"/>
  <c r="C11" i="4" s="1"/>
  <c r="C18" i="4" s="1"/>
  <c r="B8" i="4"/>
  <c r="B11" i="4" s="1"/>
  <c r="B18" i="4" s="1"/>
  <c r="B10" i="3"/>
  <c r="E3" i="2"/>
  <c r="D3" i="2"/>
  <c r="C3" i="2"/>
  <c r="C14" i="4" l="1"/>
  <c r="C21" i="4" s="1"/>
  <c r="C12" i="4"/>
  <c r="C19" i="4" s="1"/>
  <c r="G11" i="4"/>
  <c r="G18" i="4" s="1"/>
  <c r="G14" i="4"/>
  <c r="G21" i="4" s="1"/>
  <c r="B15" i="4"/>
  <c r="G12" i="4"/>
  <c r="G19" i="4" s="1"/>
  <c r="C15" i="4"/>
  <c r="C22" i="4" s="1"/>
  <c r="B13" i="4"/>
  <c r="B20" i="4" s="1"/>
  <c r="D15" i="4"/>
  <c r="B22" i="4"/>
  <c r="D22" i="4"/>
  <c r="E13" i="4"/>
  <c r="E20" i="4" s="1"/>
  <c r="G15" i="4"/>
  <c r="G22" i="4" s="1"/>
  <c r="E22" i="4"/>
  <c r="F13" i="4"/>
  <c r="F20" i="4" s="1"/>
  <c r="G13" i="4"/>
  <c r="G20" i="4" s="1"/>
  <c r="B3" i="2"/>
  <c r="B8" i="1" l="1"/>
  <c r="B4" i="3" s="1"/>
  <c r="G8" i="1"/>
  <c r="B9" i="3" s="1"/>
  <c r="F8" i="1"/>
  <c r="B8" i="3" s="1"/>
  <c r="E8" i="1"/>
  <c r="B7" i="3" s="1"/>
  <c r="D8" i="1"/>
  <c r="B6" i="3" s="1"/>
  <c r="C8" i="1"/>
  <c r="B5" i="3" s="1"/>
  <c r="G12" i="1" l="1"/>
  <c r="G19" i="1" s="1"/>
  <c r="C13" i="1"/>
  <c r="C20" i="1" s="1"/>
  <c r="D13" i="1"/>
  <c r="D20" i="1" s="1"/>
  <c r="F13" i="1"/>
  <c r="F20" i="1" s="1"/>
  <c r="E13" i="1"/>
  <c r="E20" i="1" s="1"/>
  <c r="G13" i="1"/>
  <c r="G20" i="1" s="1"/>
  <c r="B13" i="1"/>
  <c r="B20" i="1" s="1"/>
  <c r="B22" i="1"/>
  <c r="C14" i="1"/>
  <c r="C21" i="1" s="1"/>
  <c r="C11" i="1"/>
  <c r="C18" i="1" s="1"/>
  <c r="D14" i="1"/>
  <c r="D21" i="1" s="1"/>
  <c r="D11" i="1"/>
  <c r="D18" i="1" s="1"/>
  <c r="E14" i="1"/>
  <c r="E21" i="1" s="1"/>
  <c r="E11" i="1"/>
  <c r="E18" i="1" s="1"/>
  <c r="F14" i="1"/>
  <c r="F21" i="1" s="1"/>
  <c r="F11" i="1"/>
  <c r="F18" i="1" s="1"/>
  <c r="G14" i="1"/>
  <c r="G21" i="1" s="1"/>
  <c r="G11" i="1"/>
  <c r="G18" i="1" s="1"/>
  <c r="C15" i="1"/>
  <c r="C22" i="1" s="1"/>
  <c r="C12" i="1"/>
  <c r="C19" i="1" s="1"/>
  <c r="D15" i="1"/>
  <c r="D22" i="1" s="1"/>
  <c r="D12" i="1"/>
  <c r="D19" i="1" s="1"/>
  <c r="E15" i="1"/>
  <c r="E22" i="1" s="1"/>
  <c r="E12" i="1"/>
  <c r="E19" i="1" s="1"/>
  <c r="F15" i="1"/>
  <c r="F22" i="1" s="1"/>
  <c r="F12" i="1"/>
  <c r="F19" i="1" s="1"/>
  <c r="G15" i="1"/>
  <c r="G22" i="1" s="1"/>
  <c r="B11" i="1"/>
  <c r="B18" i="1" s="1"/>
  <c r="B14" i="1"/>
  <c r="B21" i="1" s="1"/>
  <c r="B12" i="1"/>
  <c r="B19" i="1" s="1"/>
  <c r="B15" i="1"/>
</calcChain>
</file>

<file path=xl/sharedStrings.xml><?xml version="1.0" encoding="utf-8"?>
<sst xmlns="http://schemas.openxmlformats.org/spreadsheetml/2006/main" count="90" uniqueCount="33">
  <si>
    <t>Chai B0</t>
  </si>
  <si>
    <t>Chai B1</t>
  </si>
  <si>
    <t>Trạm</t>
  </si>
  <si>
    <t>Chai B2</t>
  </si>
  <si>
    <t>Chai B4</t>
  </si>
  <si>
    <t>Chai B5</t>
  </si>
  <si>
    <t>Chai B6</t>
  </si>
  <si>
    <t>Chi phí hao hụt</t>
  </si>
  <si>
    <t>Chi phí sản xuất</t>
  </si>
  <si>
    <t>Chi phí khác</t>
  </si>
  <si>
    <t>Tổng</t>
  </si>
  <si>
    <t>Chai-Trung bình</t>
  </si>
  <si>
    <t>Tỷ lệ</t>
  </si>
  <si>
    <t>Label</t>
  </si>
  <si>
    <t>WSS01G</t>
  </si>
  <si>
    <t>Tỷ lệ chai</t>
  </si>
  <si>
    <t>iSS01048G</t>
  </si>
  <si>
    <t>iSS01G</t>
  </si>
  <si>
    <t>WSS03G</t>
  </si>
  <si>
    <t>Chai B7</t>
  </si>
  <si>
    <t>ĐƠN GIÁ CHAI</t>
  </si>
  <si>
    <t>Tỷ lệ Hao Hụt</t>
  </si>
  <si>
    <t>ĐƠN GIÁ VẢY</t>
  </si>
  <si>
    <t>Vảy-Trung bình</t>
  </si>
  <si>
    <t>Vảy B1</t>
  </si>
  <si>
    <t>Vảy B2</t>
  </si>
  <si>
    <t>Vảy B4</t>
  </si>
  <si>
    <t>Vảy B5</t>
  </si>
  <si>
    <t>Vảy B6</t>
  </si>
  <si>
    <t>Vảy B0</t>
  </si>
  <si>
    <t>Vảy BX</t>
  </si>
  <si>
    <t>Tỷ lệ Vảy</t>
  </si>
  <si>
    <t>Vảy 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</si>
</sst>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Display"/>
      <family val="2"/>
      <scheme val="major"/>
    </font>
    <font>
      <b/>
      <sz val="11"/>
      <color rgb="FFFF33CC"/>
      <name val="Aptos Display"/>
      <family val="2"/>
      <scheme val="major"/>
    </font>
    <font>
      <sz val="11"/>
      <color rgb="FFFF33CC"/>
      <name val="Aptos Display"/>
      <family val="2"/>
      <scheme val="major"/>
    </font>
    <font>
      <b/>
      <sz val="11"/>
      <color rgb="FF0070C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FF33CC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thick">
        <color theme="6" tint="0.399945066682943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5" fontId="5" fillId="0" borderId="0" xfId="0" applyNumberFormat="1" applyFont="1"/>
    <xf numFmtId="0" fontId="3" fillId="3" borderId="0" xfId="0" applyFont="1" applyFill="1"/>
    <xf numFmtId="164" fontId="3" fillId="3" borderId="0" xfId="1" applyNumberFormat="1" applyFont="1" applyFill="1"/>
    <xf numFmtId="0" fontId="0" fillId="4" borderId="0" xfId="0" applyFill="1"/>
    <xf numFmtId="0" fontId="3" fillId="4" borderId="0" xfId="0" applyFont="1" applyFill="1"/>
    <xf numFmtId="0" fontId="5" fillId="0" borderId="3" xfId="0" applyFont="1" applyBorder="1"/>
    <xf numFmtId="0" fontId="6" fillId="0" borderId="3" xfId="0" applyFont="1" applyBorder="1"/>
    <xf numFmtId="0" fontId="3" fillId="4" borderId="2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4" xfId="0" applyBorder="1"/>
    <xf numFmtId="164" fontId="0" fillId="0" borderId="4" xfId="1" applyNumberFormat="1" applyFont="1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165" fontId="3" fillId="0" borderId="4" xfId="0" applyNumberFormat="1" applyFont="1" applyBorder="1"/>
    <xf numFmtId="165" fontId="0" fillId="0" borderId="5" xfId="0" applyNumberFormat="1" applyBorder="1"/>
    <xf numFmtId="0" fontId="7" fillId="0" borderId="0" xfId="0" applyFont="1"/>
    <xf numFmtId="0" fontId="7" fillId="0" borderId="7" xfId="0" applyFont="1" applyBorder="1"/>
    <xf numFmtId="164" fontId="0" fillId="3" borderId="5" xfId="1" applyNumberFormat="1" applyFont="1" applyFill="1" applyBorder="1"/>
    <xf numFmtId="164" fontId="0" fillId="3" borderId="6" xfId="1" applyNumberFormat="1" applyFont="1" applyFill="1" applyBorder="1"/>
    <xf numFmtId="0" fontId="0" fillId="3" borderId="0" xfId="0" applyFill="1"/>
    <xf numFmtId="164" fontId="0" fillId="3" borderId="0" xfId="1" applyNumberFormat="1" applyFont="1" applyFill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  <color rgb="FFFF33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CHAI TỪ TRẠM</a:t>
            </a:r>
            <a:endParaRPr lang="en-US" sz="18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Chai!$A$4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F06E3F3-03AD-4A30-98C5-E325520385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A67675-BD79-4581-9C34-CCFFDA0D3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897649-06CC-4D78-95B6-DE42DA892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1E0D63-1F46-43ED-B8C9-259D5B868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E186A4D-57A6-4582-8C16-D302EE2BDF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378524-ACE3-4A8D-B9C3-CD1A22211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Chai!$B$4:$G$4</c:f>
              <c:numCache>
                <c:formatCode>_(* #,##0_);_(* \(#,##0\);_(* "-"??_);_(@_)</c:formatCode>
                <c:ptCount val="6"/>
                <c:pt idx="0">
                  <c:v>11300</c:v>
                </c:pt>
                <c:pt idx="1">
                  <c:v>11300</c:v>
                </c:pt>
                <c:pt idx="2">
                  <c:v>11300</c:v>
                </c:pt>
                <c:pt idx="3">
                  <c:v>11300</c:v>
                </c:pt>
                <c:pt idx="4">
                  <c:v>11300</c:v>
                </c:pt>
                <c:pt idx="5">
                  <c:v>11300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Chai!$B$18:$G$18</c15:f>
                <c15:dlblRangeCache>
                  <c:ptCount val="6"/>
                  <c:pt idx="0">
                    <c:v>11,300 | 
68.8%</c:v>
                  </c:pt>
                  <c:pt idx="1">
                    <c:v>11,300 | 
68.8%</c:v>
                  </c:pt>
                  <c:pt idx="2">
                    <c:v>11,300 | 
68.8%</c:v>
                  </c:pt>
                  <c:pt idx="3">
                    <c:v>11,300 | 
68.8%</c:v>
                  </c:pt>
                  <c:pt idx="4">
                    <c:v>11,300 | 
68.8%</c:v>
                  </c:pt>
                  <c:pt idx="5">
                    <c:v>11,300 | 
68.8%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82B-4DB5-99CC-D700B7F52726}"/>
            </c:ext>
          </c:extLst>
        </c:ser>
        <c:ser>
          <c:idx val="1"/>
          <c:order val="1"/>
          <c:tx>
            <c:strRef>
              <c:f>Chai!$A$5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C92CC2B-63B8-4C12-9266-20EA358B9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8DE1899-E096-416C-A9A2-E1B63D2CB6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1D09F0-2A29-415E-BC90-E4CBE31E1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360374-146D-4267-99E0-308B7F3FFE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2804E5-AF29-42B4-BC42-8EFA845F2F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5E5291D-D2AD-4EB5-92D8-5A3B990CE5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Chai!$B$5:$G$5</c:f>
              <c:numCache>
                <c:formatCode>_(* #,##0_);_(* \(#,##0\);_(* "-"??_);_(@_)</c:formatCode>
                <c:ptCount val="6"/>
                <c:pt idx="0">
                  <c:v>1130</c:v>
                </c:pt>
                <c:pt idx="1">
                  <c:v>1130</c:v>
                </c:pt>
                <c:pt idx="2">
                  <c:v>1130</c:v>
                </c:pt>
                <c:pt idx="3">
                  <c:v>1130</c:v>
                </c:pt>
                <c:pt idx="4">
                  <c:v>1130</c:v>
                </c:pt>
                <c:pt idx="5">
                  <c:v>1130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Chai!$B$19:$G$19</c15:f>
                <c15:dlblRangeCache>
                  <c:ptCount val="6"/>
                  <c:pt idx="0">
                    <c:v>1,130 | 6.9%</c:v>
                  </c:pt>
                  <c:pt idx="1">
                    <c:v>1,130 | 6.9%</c:v>
                  </c:pt>
                  <c:pt idx="2">
                    <c:v>1,130 | 6.9%</c:v>
                  </c:pt>
                  <c:pt idx="3">
                    <c:v>1,130 | 6.9%</c:v>
                  </c:pt>
                  <c:pt idx="4">
                    <c:v>1,130 | 6.9%</c:v>
                  </c:pt>
                  <c:pt idx="5">
                    <c:v>1,130 | 6.9%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82B-4DB5-99CC-D700B7F52726}"/>
            </c:ext>
          </c:extLst>
        </c:ser>
        <c:ser>
          <c:idx val="2"/>
          <c:order val="2"/>
          <c:tx>
            <c:strRef>
              <c:f>Chai!$A$6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BF5B0C4-3848-4D10-BC90-252EE0624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64C520-27AC-4E4B-98B4-9E6B85654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C60AC6-CEA2-44EE-A3AC-95C536A0C7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9EFBBA-684F-4253-8B13-16217E7C4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38D84A-BD7E-4CE7-A632-E5F003D48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9D5CC4B-DA17-48AE-B8BE-FA8C24B40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Chai!$B$6:$G$6</c:f>
              <c:numCache>
                <c:formatCode>_(* #,##0_);_(* \(#,##0\);_(* "-"??_);_(@_)</c:formatCode>
                <c:ptCount val="6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Chai!$B$20:$G$20</c15:f>
                <c15:dlblRangeCache>
                  <c:ptCount val="6"/>
                  <c:pt idx="0">
                    <c:v>3,000 | 18.3%</c:v>
                  </c:pt>
                  <c:pt idx="1">
                    <c:v>3,000 | 18.3%</c:v>
                  </c:pt>
                  <c:pt idx="2">
                    <c:v>3,000 | 18.3%</c:v>
                  </c:pt>
                  <c:pt idx="3">
                    <c:v>3,000 | 18.3%</c:v>
                  </c:pt>
                  <c:pt idx="4">
                    <c:v>3,000 | 18.3%</c:v>
                  </c:pt>
                  <c:pt idx="5">
                    <c:v>3,000 | 18.3%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282B-4DB5-99CC-D700B7F52726}"/>
            </c:ext>
          </c:extLst>
        </c:ser>
        <c:ser>
          <c:idx val="3"/>
          <c:order val="3"/>
          <c:tx>
            <c:strRef>
              <c:f>Chai!$A$7</c:f>
              <c:strCache>
                <c:ptCount val="1"/>
                <c:pt idx="0">
                  <c:v>Chi phí khác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47D3519-4F4C-4DA1-BBB2-B3A07EEC8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82B-4DB5-99CC-D700B7F52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227DA9-F7BB-4291-BD19-8F821AA16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82B-4DB5-99CC-D700B7F52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FB6CCA-09E0-46AF-BFEB-96AED5A7C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82B-4DB5-99CC-D700B7F52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D53DF8-8D39-42C2-87B1-D504FFA71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82B-4DB5-99CC-D700B7F52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24D026-5517-49B7-8D4A-7299CDCBB4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82B-4DB5-99CC-D700B7F52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18D117-A3C4-4688-82C4-FF3A619B5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82B-4DB5-99CC-D700B7F52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Chai!$B$3:$G$3</c:f>
              <c:strCache>
                <c:ptCount val="6"/>
                <c:pt idx="0">
                  <c:v>Chai-Trung bình</c:v>
                </c:pt>
                <c:pt idx="1">
                  <c:v>Chai B1</c:v>
                </c:pt>
                <c:pt idx="2">
                  <c:v>Chai B2</c:v>
                </c:pt>
                <c:pt idx="3">
                  <c:v>Chai B4</c:v>
                </c:pt>
                <c:pt idx="4">
                  <c:v>Chai B5</c:v>
                </c:pt>
                <c:pt idx="5">
                  <c:v>Chai B6</c:v>
                </c:pt>
              </c:strCache>
            </c:strRef>
          </c:cat>
          <c:val>
            <c:numRef>
              <c:f>Chai!$B$7:$G$7</c:f>
              <c:numCache>
                <c:formatCode>_(* #,##0_);_(* \(#,##0\);_(* "-"??_);_(@_)</c:formatCode>
                <c:ptCount val="6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Chai!$B$21:$G$21</c15:f>
                <c15:dlblRangeCache>
                  <c:ptCount val="6"/>
                  <c:pt idx="0">
                    <c:v>1,000 | 6.1%</c:v>
                  </c:pt>
                  <c:pt idx="1">
                    <c:v>1,000 | 6.1%</c:v>
                  </c:pt>
                  <c:pt idx="2">
                    <c:v>1,000 | 6.1%</c:v>
                  </c:pt>
                  <c:pt idx="3">
                    <c:v>1,000 | 6.1%</c:v>
                  </c:pt>
                  <c:pt idx="4">
                    <c:v>1,000 | 6.1%</c:v>
                  </c:pt>
                  <c:pt idx="5">
                    <c:v>1,000 | 6.1%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82B-4DB5-99CC-D700B7F5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Chai!$A$8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Chai!$B$8:$G$8</c:f>
              <c:numCache>
                <c:formatCode>_(* #,##0_);_(* \(#,##0\);_(* "-"??_);_(@_)</c:formatCode>
                <c:ptCount val="6"/>
                <c:pt idx="0">
                  <c:v>16430</c:v>
                </c:pt>
                <c:pt idx="1">
                  <c:v>16430</c:v>
                </c:pt>
                <c:pt idx="2">
                  <c:v>16430</c:v>
                </c:pt>
                <c:pt idx="3">
                  <c:v>16430</c:v>
                </c:pt>
                <c:pt idx="4">
                  <c:v>16430</c:v>
                </c:pt>
                <c:pt idx="5">
                  <c:v>16430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2B-4DB5-99CC-D700B7F5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ĐƠN</a:t>
            </a:r>
            <a:r>
              <a:rPr lang="en-US" sz="1800" b="1" baseline="0">
                <a:solidFill>
                  <a:schemeClr val="accent2"/>
                </a:solidFill>
              </a:rPr>
              <a:t> GIÁ CHAI TỪ TRẠM</a:t>
            </a:r>
            <a:endParaRPr lang="en-US" sz="18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28224117986294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345655757893043E-2"/>
          <c:y val="0.2562913550696107"/>
          <c:w val="0.9473086884842139"/>
          <c:h val="0.631588313444457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Vảy!$A$4</c:f>
              <c:strCache>
                <c:ptCount val="1"/>
                <c:pt idx="0">
                  <c:v>Vảy BX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AF470D3-9A34-47E0-A464-BC4CF9173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1FA5D7-46DE-4317-A0EE-538CDEC19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87CFA6-0717-49E2-94E5-30EC9D22A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DE9324-B6BD-41D2-B683-E6C55509D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78E2B2-84E0-40AD-A2A2-27343FEC4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A264DA-E907-4C9A-9163-FF324A0A09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Vảy!$B$4:$G$4</c:f>
              <c:numCache>
                <c:formatCode>_(* #,##0_);_(* \(#,##0\);_(* "-"??_);_(@_)</c:formatCode>
                <c:ptCount val="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Vảy!$B$18:$G$18</c15:f>
                <c15:dlblRangeCache>
                  <c:ptCount val="6"/>
                  <c:pt idx="0">
                    <c:v>10,000 | 
62.5%</c:v>
                  </c:pt>
                  <c:pt idx="1">
                    <c:v>10,000 | 
60.6%</c:v>
                  </c:pt>
                  <c:pt idx="2">
                    <c:v>10,000 | 
62.5%</c:v>
                  </c:pt>
                  <c:pt idx="3">
                    <c:v>10,000 | 
62.5%</c:v>
                  </c:pt>
                  <c:pt idx="4">
                    <c:v>10,000 | 
62.5%</c:v>
                  </c:pt>
                  <c:pt idx="5">
                    <c:v>10,000 | 
62.5%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4A5-4564-B975-75F9A2160BE8}"/>
            </c:ext>
          </c:extLst>
        </c:ser>
        <c:ser>
          <c:idx val="1"/>
          <c:order val="1"/>
          <c:tx>
            <c:strRef>
              <c:f>Vảy!$A$5</c:f>
              <c:strCache>
                <c:ptCount val="1"/>
                <c:pt idx="0">
                  <c:v>Chi phí hao hụt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379AD7A-3569-45EC-A1CE-416479602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4D3A69-170D-4263-B51A-67527DD99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968F8A-68EE-4235-8F5C-C4CE9E122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B315F9-9DD5-4018-B266-6D0DAAF59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19AD4E-3508-4A69-9937-EA86935A5C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1E3536D-74DF-425C-A4BD-7115B362C2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Vảy!$B$5:$G$5</c:f>
              <c:numCache>
                <c:formatCode>_(* #,##0_);_(* \(#,##0\);_(* "-"??_);_(@_)</c:formatCode>
                <c:ptCount val="6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Vảy!$B$19:$G$19</c15:f>
                <c15:dlblRangeCache>
                  <c:ptCount val="6"/>
                  <c:pt idx="0">
                    <c:v>2,000 | 12.5%</c:v>
                  </c:pt>
                  <c:pt idx="1">
                    <c:v>2,000 | 12.1%</c:v>
                  </c:pt>
                  <c:pt idx="2">
                    <c:v>2,000 | 12.5%</c:v>
                  </c:pt>
                  <c:pt idx="3">
                    <c:v>2,000 | 12.5%</c:v>
                  </c:pt>
                  <c:pt idx="4">
                    <c:v>2,000 | 12.5%</c:v>
                  </c:pt>
                  <c:pt idx="5">
                    <c:v>2,000 | 12.5%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C4A5-4564-B975-75F9A2160BE8}"/>
            </c:ext>
          </c:extLst>
        </c:ser>
        <c:ser>
          <c:idx val="2"/>
          <c:order val="2"/>
          <c:tx>
            <c:strRef>
              <c:f>Vảy!$A$6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8917870-CF66-4FB6-8675-3F99CFABF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E7986B-2915-4A1F-84CA-CC382B830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98AE4E-6C05-4FAD-8DB1-DD04FEA80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8773EA-2365-411F-A1B2-266835DEF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F3F104-AFEC-4B73-9346-7CAB5ABCA8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CB55A7-2FB5-490B-B4C5-414C29D2FB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Vảy!$B$6:$G$6</c:f>
              <c:numCache>
                <c:formatCode>_(* #,##0_);_(* \(#,##0\);_(* "-"??_);_(@_)</c:formatCode>
                <c:ptCount val="6"/>
                <c:pt idx="0">
                  <c:v>3000</c:v>
                </c:pt>
                <c:pt idx="1">
                  <c:v>3500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Vảy!$B$20:$G$20</c15:f>
                <c15:dlblRangeCache>
                  <c:ptCount val="6"/>
                  <c:pt idx="0">
                    <c:v>3,000 | 18.8%</c:v>
                  </c:pt>
                  <c:pt idx="1">
                    <c:v>3,500 | 21.2%</c:v>
                  </c:pt>
                  <c:pt idx="2">
                    <c:v>3,000 | 18.8%</c:v>
                  </c:pt>
                  <c:pt idx="3">
                    <c:v>3,000 | 18.8%</c:v>
                  </c:pt>
                  <c:pt idx="4">
                    <c:v>3,000 | 18.8%</c:v>
                  </c:pt>
                  <c:pt idx="5">
                    <c:v>3,000 | 18.8%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C4A5-4564-B975-75F9A2160BE8}"/>
            </c:ext>
          </c:extLst>
        </c:ser>
        <c:ser>
          <c:idx val="3"/>
          <c:order val="3"/>
          <c:tx>
            <c:strRef>
              <c:f>Vảy!$A$7</c:f>
              <c:strCache>
                <c:ptCount val="1"/>
                <c:pt idx="0">
                  <c:v>Chi phí khác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C53B73D-8590-45F7-ABF4-1E8DFAE9E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4A5-4564-B975-75F9A2160B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A91215-BC84-425B-89D9-5B872469B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4A5-4564-B975-75F9A2160B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9A17B0-F0B8-4869-A8A3-A99C640F8D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4A5-4564-B975-75F9A2160B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62D8191-A82F-4733-B989-1A3E377B9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4A5-4564-B975-75F9A2160B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F87C6C-1B54-4E4C-B6F7-AAADD9C85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4A5-4564-B975-75F9A2160BE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A170B8-28FC-4133-84EF-298C93F9E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4A5-4564-B975-75F9A2160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Vảy!$B$3:$G$3</c:f>
              <c:strCache>
                <c:ptCount val="6"/>
                <c:pt idx="0">
                  <c:v>Vảy-Trung bình</c:v>
                </c:pt>
                <c:pt idx="1">
                  <c:v>Vảy B1</c:v>
                </c:pt>
                <c:pt idx="2">
                  <c:v>Vảy B2</c:v>
                </c:pt>
                <c:pt idx="3">
                  <c:v>Vảy B4</c:v>
                </c:pt>
                <c:pt idx="4">
                  <c:v>Vảy B5</c:v>
                </c:pt>
                <c:pt idx="5">
                  <c:v>Vảy B6</c:v>
                </c:pt>
              </c:strCache>
            </c:strRef>
          </c:cat>
          <c:val>
            <c:numRef>
              <c:f>Vảy!$B$7:$G$7</c:f>
              <c:numCache>
                <c:formatCode>_(* #,##0_);_(* \(#,##0\);_(* "-"??_);_(@_)</c:formatCode>
                <c:ptCount val="6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Vảy!$B$21:$G$21</c15:f>
                <c15:dlblRangeCache>
                  <c:ptCount val="6"/>
                  <c:pt idx="0">
                    <c:v>1,000 | 6.3%</c:v>
                  </c:pt>
                  <c:pt idx="1">
                    <c:v>1,000 | 6.1%</c:v>
                  </c:pt>
                  <c:pt idx="2">
                    <c:v>1,000 | 6.3%</c:v>
                  </c:pt>
                  <c:pt idx="3">
                    <c:v>1,000 | 6.3%</c:v>
                  </c:pt>
                  <c:pt idx="4">
                    <c:v>1,000 | 6.3%</c:v>
                  </c:pt>
                  <c:pt idx="5">
                    <c:v>1,000 | 6.3%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C4A5-4564-B975-75F9A216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533962112"/>
        <c:axId val="1533954432"/>
      </c:barChart>
      <c:lineChart>
        <c:grouping val="standard"/>
        <c:varyColors val="0"/>
        <c:ser>
          <c:idx val="4"/>
          <c:order val="4"/>
          <c:tx>
            <c:strRef>
              <c:f>Vảy!$A$8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Vảy!$B$8:$G$8</c:f>
              <c:numCache>
                <c:formatCode>_(* #,##0_);_(* \(#,##0\);_(* "-"??_);_(@_)</c:formatCode>
                <c:ptCount val="6"/>
                <c:pt idx="0">
                  <c:v>16000</c:v>
                </c:pt>
                <c:pt idx="1">
                  <c:v>16500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4A5-4564-B975-75F9A216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2112"/>
        <c:axId val="1533954432"/>
      </c:lineChart>
      <c:catAx>
        <c:axId val="153396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54432"/>
        <c:crosses val="autoZero"/>
        <c:auto val="1"/>
        <c:lblAlgn val="ctr"/>
        <c:lblOffset val="100"/>
        <c:noMultiLvlLbl val="0"/>
      </c:catAx>
      <c:valAx>
        <c:axId val="153395443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19234742621613396"/>
          <c:y val="0.1065513953272566"/>
          <c:w val="0.60811978013729906"/>
          <c:h val="8.1841938141007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5</xdr:col>
      <xdr:colOff>282940</xdr:colOff>
      <xdr:row>36</xdr:row>
      <xdr:rowOff>161337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DD61F-3378-2C88-26A1-3A7E654B3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63987</xdr:colOff>
      <xdr:row>22</xdr:row>
      <xdr:rowOff>133504</xdr:rowOff>
    </xdr:from>
    <xdr:to>
      <xdr:col>7</xdr:col>
      <xdr:colOff>580483</xdr:colOff>
      <xdr:row>36</xdr:row>
      <xdr:rowOff>161337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8F075-99C7-45E5-9B67-FC28FCED8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0.00137</cdr:x>
      <cdr:y>0.1601</cdr:y>
    </cdr:from>
    <cdr:to>
      <cdr:x>0.19459</cdr:x>
      <cdr:y>0.23783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E1A7D-5EEB-2D3E-F018-9B6731A271CB}"/>
            </a:ext>
          </a:extLst>
        </cdr:cNvPr>
        <cdr:cNvSpPr txBox="1"/>
      </cdr:nvSpPr>
      <cdr:spPr>
        <a:xfrm xmlns:a="http://schemas.openxmlformats.org/drawingml/2006/main">
          <a:off x="7258" y="419255"/>
          <a:ext cx="1024585" cy="20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700" i="1" kern="1200">
              <a:solidFill>
                <a:schemeClr val="bg2"/>
              </a:solidFill>
            </a:rPr>
            <a:t>Đvt:</a:t>
          </a:r>
          <a:r>
            <a:rPr lang="en-US" sz="700" i="1" kern="1200" baseline="0">
              <a:solidFill>
                <a:schemeClr val="bg2"/>
              </a:solidFill>
            </a:rPr>
            <a:t> đồng/kg | %Cơ cấu</a:t>
          </a:r>
          <a:endParaRPr lang="en-US" sz="700" i="1" kern="1200">
            <a:solidFill>
              <a:schemeClr val="bg2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F3B2-9C55-41EF-AF02-AFBB27AC0003}">
  <dimension ref="A1:G21"/>
  <sheetViews>
    <sheetView showGridLines="0" zoomScale="205" zoomScaleNormal="205" workbookViewId="0">
      <selection activeCell="B4" sqref="B4"/>
    </sheetView>
  </sheetViews>
  <sheetFormatPr defaultRowHeight="14.5" x14ac:dyDescent="0.35"/>
  <cols>
    <col min="1" max="1" width="12.4140625" bestFit="1" customWidth="1"/>
    <col min="2" max="2" width="9.58203125" bestFit="1" customWidth="1"/>
  </cols>
  <sheetData>
    <row r="1" spans="1:7" s="27" customFormat="1" ht="15" thickBot="1" x14ac:dyDescent="0.4">
      <c r="A1" s="28" t="s">
        <v>20</v>
      </c>
      <c r="B1" s="28"/>
      <c r="C1" s="28" t="s">
        <v>21</v>
      </c>
      <c r="D1" s="28"/>
      <c r="E1" s="28"/>
      <c r="F1" s="28"/>
      <c r="G1" s="28"/>
    </row>
    <row r="2" spans="1:7" ht="15" thickTop="1" x14ac:dyDescent="0.35"/>
    <row r="3" spans="1:7" x14ac:dyDescent="0.35">
      <c r="A3" s="11" t="s">
        <v>0</v>
      </c>
      <c r="B3" s="12">
        <v>11300</v>
      </c>
      <c r="C3" s="33">
        <v>0.1</v>
      </c>
    </row>
    <row r="4" spans="1:7" x14ac:dyDescent="0.35">
      <c r="A4" t="s">
        <v>11</v>
      </c>
      <c r="B4" s="1">
        <f>_xlfn.XLOOKUP($A4,Chai!$B$3:$G$3,Chai!$B$8:$G$8)</f>
        <v>16430</v>
      </c>
    </row>
    <row r="5" spans="1:7" x14ac:dyDescent="0.35">
      <c r="A5" t="s">
        <v>1</v>
      </c>
      <c r="B5" s="1">
        <f>_xlfn.XLOOKUP($A5,Chai!$B$3:$G$3,Chai!$B$8:$G$8)</f>
        <v>16430</v>
      </c>
    </row>
    <row r="6" spans="1:7" x14ac:dyDescent="0.35">
      <c r="A6" t="s">
        <v>3</v>
      </c>
      <c r="B6" s="1">
        <f>_xlfn.XLOOKUP($A6,Chai!$B$3:$G$3,Chai!$B$8:$G$8)</f>
        <v>16430</v>
      </c>
    </row>
    <row r="7" spans="1:7" x14ac:dyDescent="0.35">
      <c r="A7" t="s">
        <v>4</v>
      </c>
      <c r="B7" s="1">
        <f>_xlfn.XLOOKUP($A7,Chai!$B$3:$G$3,Chai!$B$8:$G$8)</f>
        <v>16430</v>
      </c>
    </row>
    <row r="8" spans="1:7" x14ac:dyDescent="0.35">
      <c r="A8" t="s">
        <v>5</v>
      </c>
      <c r="B8" s="1">
        <f>_xlfn.XLOOKUP($A8,Chai!$B$3:$G$3,Chai!$B$8:$G$8)</f>
        <v>16430</v>
      </c>
    </row>
    <row r="9" spans="1:7" x14ac:dyDescent="0.35">
      <c r="A9" t="s">
        <v>6</v>
      </c>
      <c r="B9" s="1">
        <f>_xlfn.XLOOKUP($A9,Chai!$B$3:$G$3,Chai!$B$8:$G$8)</f>
        <v>16430</v>
      </c>
    </row>
    <row r="10" spans="1:7" x14ac:dyDescent="0.35">
      <c r="A10" s="31" t="s">
        <v>19</v>
      </c>
      <c r="B10" s="32">
        <f>5500/0.66</f>
        <v>8333.3333333333321</v>
      </c>
    </row>
    <row r="13" spans="1:7" ht="15" thickBot="1" x14ac:dyDescent="0.4">
      <c r="A13" s="28" t="s">
        <v>22</v>
      </c>
      <c r="B13" s="28"/>
      <c r="C13" s="28" t="s">
        <v>21</v>
      </c>
    </row>
    <row r="14" spans="1:7" ht="15" thickTop="1" x14ac:dyDescent="0.35">
      <c r="A14" s="11" t="s">
        <v>30</v>
      </c>
      <c r="B14" s="12">
        <v>11300</v>
      </c>
      <c r="C14" s="33">
        <v>0.1</v>
      </c>
    </row>
    <row r="15" spans="1:7" x14ac:dyDescent="0.35">
      <c r="A15" t="s">
        <v>23</v>
      </c>
      <c r="B15" s="1" t="e">
        <f>_xlfn.XLOOKUP($A15,Chai!$B$3:$G$3,Chai!$B$8:$G$8)</f>
        <v>#N/A</v>
      </c>
    </row>
    <row r="16" spans="1:7" x14ac:dyDescent="0.35">
      <c r="A16" t="s">
        <v>24</v>
      </c>
      <c r="B16" s="1" t="e">
        <f>_xlfn.XLOOKUP($A16,Chai!$B$3:$G$3,Chai!$B$8:$G$8)</f>
        <v>#N/A</v>
      </c>
    </row>
    <row r="17" spans="1:2" x14ac:dyDescent="0.35">
      <c r="A17" t="s">
        <v>25</v>
      </c>
      <c r="B17" s="1" t="e">
        <f>_xlfn.XLOOKUP($A17,Chai!$B$3:$G$3,Chai!$B$8:$G$8)</f>
        <v>#N/A</v>
      </c>
    </row>
    <row r="18" spans="1:2" x14ac:dyDescent="0.35">
      <c r="A18" t="s">
        <v>26</v>
      </c>
      <c r="B18" s="1" t="e">
        <f>_xlfn.XLOOKUP($A18,Chai!$B$3:$G$3,Chai!$B$8:$G$8)</f>
        <v>#N/A</v>
      </c>
    </row>
    <row r="19" spans="1:2" x14ac:dyDescent="0.35">
      <c r="A19" t="s">
        <v>27</v>
      </c>
      <c r="B19" s="1" t="e">
        <f>_xlfn.XLOOKUP($A19,Chai!$B$3:$G$3,Chai!$B$8:$G$8)</f>
        <v>#N/A</v>
      </c>
    </row>
    <row r="20" spans="1:2" x14ac:dyDescent="0.35">
      <c r="A20" t="s">
        <v>28</v>
      </c>
      <c r="B20" s="1" t="e">
        <f>_xlfn.XLOOKUP($A20,Chai!$B$3:$G$3,Chai!$B$8:$G$8)</f>
        <v>#N/A</v>
      </c>
    </row>
    <row r="21" spans="1:2" x14ac:dyDescent="0.35">
      <c r="A21" s="31" t="s">
        <v>32</v>
      </c>
      <c r="B21" s="32">
        <f>5500/0.66</f>
        <v>8333.3333333333321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AFF2-49C1-499F-920B-EA2CB86A9EA7}">
  <dimension ref="A3:G22"/>
  <sheetViews>
    <sheetView showGridLines="0" tabSelected="1" zoomScale="175" zoomScaleNormal="175" workbookViewId="0">
      <selection activeCell="C10" sqref="C10"/>
    </sheetView>
  </sheetViews>
  <sheetFormatPr defaultRowHeight="14.5" x14ac:dyDescent="0.35"/>
  <cols>
    <col min="1" max="1" width="12.4140625" bestFit="1" customWidth="1"/>
    <col min="2" max="7" width="13.58203125" bestFit="1" customWidth="1"/>
    <col min="8" max="8" width="9.58203125" bestFit="1" customWidth="1"/>
  </cols>
  <sheetData>
    <row r="3" spans="1:7" x14ac:dyDescent="0.35">
      <c r="A3" s="3" t="s">
        <v>2</v>
      </c>
      <c r="B3" s="4" t="s">
        <v>11</v>
      </c>
      <c r="C3" s="4" t="s">
        <v>1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x14ac:dyDescent="0.35">
      <c r="A4" s="20" t="s">
        <v>0</v>
      </c>
      <c r="B4" s="21">
        <f>Chai_B0</f>
        <v>11300</v>
      </c>
      <c r="C4" s="21">
        <f>$B4</f>
        <v>11300</v>
      </c>
      <c r="D4" s="21">
        <f t="shared" ref="D4:G5" si="0">$B4</f>
        <v>11300</v>
      </c>
      <c r="E4" s="21">
        <f t="shared" si="0"/>
        <v>11300</v>
      </c>
      <c r="F4" s="21">
        <f t="shared" si="0"/>
        <v>11300</v>
      </c>
      <c r="G4" s="21">
        <f t="shared" si="0"/>
        <v>11300</v>
      </c>
    </row>
    <row r="5" spans="1:7" x14ac:dyDescent="0.35">
      <c r="A5" s="22" t="s">
        <v>7</v>
      </c>
      <c r="B5" s="29">
        <f>B4*'General Data'!C3</f>
        <v>1130</v>
      </c>
      <c r="C5" s="29">
        <f>$B5</f>
        <v>1130</v>
      </c>
      <c r="D5" s="29">
        <f t="shared" si="0"/>
        <v>1130</v>
      </c>
      <c r="E5" s="29">
        <f t="shared" si="0"/>
        <v>1130</v>
      </c>
      <c r="F5" s="29">
        <f t="shared" si="0"/>
        <v>1130</v>
      </c>
      <c r="G5" s="29">
        <f t="shared" si="0"/>
        <v>1130</v>
      </c>
    </row>
    <row r="6" spans="1:7" x14ac:dyDescent="0.35">
      <c r="A6" s="22" t="s">
        <v>8</v>
      </c>
      <c r="B6" s="29">
        <v>3000</v>
      </c>
      <c r="C6" s="29">
        <v>3000</v>
      </c>
      <c r="D6" s="29">
        <v>3000</v>
      </c>
      <c r="E6" s="29">
        <v>3000</v>
      </c>
      <c r="F6" s="29">
        <v>3000</v>
      </c>
      <c r="G6" s="29">
        <v>3000</v>
      </c>
    </row>
    <row r="7" spans="1:7" ht="15" thickBot="1" x14ac:dyDescent="0.4">
      <c r="A7" s="23" t="s">
        <v>9</v>
      </c>
      <c r="B7" s="30">
        <v>1000</v>
      </c>
      <c r="C7" s="30">
        <v>1000</v>
      </c>
      <c r="D7" s="30">
        <v>1000</v>
      </c>
      <c r="E7" s="30">
        <v>1000</v>
      </c>
      <c r="F7" s="30">
        <v>1000</v>
      </c>
      <c r="G7" s="30">
        <v>1000</v>
      </c>
    </row>
    <row r="8" spans="1:7" ht="15" thickBot="1" x14ac:dyDescent="0.4">
      <c r="A8" s="5" t="s">
        <v>10</v>
      </c>
      <c r="B8" s="6">
        <f>SUM(B4:B7)</f>
        <v>16430</v>
      </c>
      <c r="C8" s="6">
        <f t="shared" ref="C8:G8" si="1">SUM(C4:C7)</f>
        <v>16430</v>
      </c>
      <c r="D8" s="6">
        <f t="shared" si="1"/>
        <v>16430</v>
      </c>
      <c r="E8" s="6">
        <f t="shared" si="1"/>
        <v>16430</v>
      </c>
      <c r="F8" s="6">
        <f t="shared" si="1"/>
        <v>16430</v>
      </c>
      <c r="G8" s="6">
        <f t="shared" si="1"/>
        <v>16430</v>
      </c>
    </row>
    <row r="10" spans="1:7" s="8" customFormat="1" ht="15" thickBot="1" x14ac:dyDescent="0.4">
      <c r="A10" s="15" t="s">
        <v>12</v>
      </c>
      <c r="B10" s="16"/>
      <c r="C10" s="16"/>
      <c r="D10" s="16"/>
      <c r="E10" s="16"/>
      <c r="F10" s="16"/>
      <c r="G10" s="16"/>
    </row>
    <row r="11" spans="1:7" s="8" customFormat="1" x14ac:dyDescent="0.35">
      <c r="A11" s="8" t="s">
        <v>0</v>
      </c>
      <c r="B11" s="9">
        <f>IFERROR(B4/B$8,0)</f>
        <v>0.6877662811929397</v>
      </c>
      <c r="C11" s="9">
        <f t="shared" ref="C11:G11" si="2">IFERROR(C4/C$8,0)</f>
        <v>0.6877662811929397</v>
      </c>
      <c r="D11" s="9">
        <f t="shared" si="2"/>
        <v>0.6877662811929397</v>
      </c>
      <c r="E11" s="9">
        <f t="shared" si="2"/>
        <v>0.6877662811929397</v>
      </c>
      <c r="F11" s="9">
        <f t="shared" si="2"/>
        <v>0.6877662811929397</v>
      </c>
      <c r="G11" s="9">
        <f t="shared" si="2"/>
        <v>0.6877662811929397</v>
      </c>
    </row>
    <row r="12" spans="1:7" s="8" customFormat="1" x14ac:dyDescent="0.35">
      <c r="A12" s="8" t="s">
        <v>7</v>
      </c>
      <c r="B12" s="9">
        <f>IFERROR(B5/B$8,0)</f>
        <v>6.877662811929397E-2</v>
      </c>
      <c r="C12" s="9">
        <f t="shared" ref="C12:G12" si="3">IFERROR(C5/C$8,0)</f>
        <v>6.877662811929397E-2</v>
      </c>
      <c r="D12" s="9">
        <f t="shared" si="3"/>
        <v>6.877662811929397E-2</v>
      </c>
      <c r="E12" s="9">
        <f t="shared" si="3"/>
        <v>6.877662811929397E-2</v>
      </c>
      <c r="F12" s="9">
        <f t="shared" si="3"/>
        <v>6.877662811929397E-2</v>
      </c>
      <c r="G12" s="9">
        <f t="shared" si="3"/>
        <v>6.877662811929397E-2</v>
      </c>
    </row>
    <row r="13" spans="1:7" s="8" customFormat="1" x14ac:dyDescent="0.35">
      <c r="A13" s="8" t="s">
        <v>8</v>
      </c>
      <c r="B13" s="9">
        <f>IFERROR(B6/B$8,0)</f>
        <v>0.18259281801582472</v>
      </c>
      <c r="C13" s="9">
        <f t="shared" ref="C13:G13" si="4">IFERROR(C6/C$8,0)</f>
        <v>0.18259281801582472</v>
      </c>
      <c r="D13" s="9">
        <f t="shared" si="4"/>
        <v>0.18259281801582472</v>
      </c>
      <c r="E13" s="9">
        <f t="shared" si="4"/>
        <v>0.18259281801582472</v>
      </c>
      <c r="F13" s="9">
        <f t="shared" si="4"/>
        <v>0.18259281801582472</v>
      </c>
      <c r="G13" s="9">
        <f t="shared" si="4"/>
        <v>0.18259281801582472</v>
      </c>
    </row>
    <row r="14" spans="1:7" s="8" customFormat="1" x14ac:dyDescent="0.35">
      <c r="A14" s="8" t="s">
        <v>9</v>
      </c>
      <c r="B14" s="9">
        <f>IFERROR(B7/B$8,0)</f>
        <v>6.0864272671941569E-2</v>
      </c>
      <c r="C14" s="9">
        <f t="shared" ref="C14:G14" si="5">IFERROR(C7/C$8,0)</f>
        <v>6.0864272671941569E-2</v>
      </c>
      <c r="D14" s="9">
        <f t="shared" si="5"/>
        <v>6.0864272671941569E-2</v>
      </c>
      <c r="E14" s="9">
        <f t="shared" si="5"/>
        <v>6.0864272671941569E-2</v>
      </c>
      <c r="F14" s="9">
        <f t="shared" si="5"/>
        <v>6.0864272671941569E-2</v>
      </c>
      <c r="G14" s="9">
        <f t="shared" si="5"/>
        <v>6.0864272671941569E-2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ref="C15:G15" si="6">IFERROR(C8/C$8,0)</f>
        <v>1</v>
      </c>
      <c r="D15" s="10">
        <f t="shared" si="6"/>
        <v>1</v>
      </c>
      <c r="E15" s="10">
        <f t="shared" si="6"/>
        <v>1</v>
      </c>
      <c r="F15" s="10">
        <f t="shared" si="6"/>
        <v>1</v>
      </c>
      <c r="G15" s="10">
        <f t="shared" si="6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0</v>
      </c>
      <c r="B18" s="13" t="str">
        <f>TEXT(B4,"#,###")&amp;" | "&amp;CHAR(10)&amp;TEXT(B11,"0.0%")</f>
        <v>11,300 | 
68.8%</v>
      </c>
      <c r="C18" s="13" t="str">
        <f t="shared" ref="C18:G18" si="7">TEXT(C4,"#,###")&amp;" | "&amp;CHAR(10)&amp;TEXT(C11,"0.0%")</f>
        <v>11,300 | 
68.8%</v>
      </c>
      <c r="D18" s="13" t="str">
        <f t="shared" si="7"/>
        <v>11,300 | 
68.8%</v>
      </c>
      <c r="E18" s="13" t="str">
        <f t="shared" si="7"/>
        <v>11,300 | 
68.8%</v>
      </c>
      <c r="F18" s="13" t="str">
        <f t="shared" si="7"/>
        <v>11,300 | 
68.8%</v>
      </c>
      <c r="G18" s="13" t="str">
        <f t="shared" si="7"/>
        <v>11,300 | 
68.8%</v>
      </c>
    </row>
    <row r="19" spans="1:7" x14ac:dyDescent="0.35">
      <c r="A19" s="13" t="s">
        <v>7</v>
      </c>
      <c r="B19" s="13" t="str">
        <f t="shared" ref="B19:G19" si="8">TEXT(B5,"#,###")&amp;" | "&amp;TEXT(B12,"0.0%")</f>
        <v>1,130 | 6.9%</v>
      </c>
      <c r="C19" s="13" t="str">
        <f t="shared" si="8"/>
        <v>1,130 | 6.9%</v>
      </c>
      <c r="D19" s="13" t="str">
        <f t="shared" si="8"/>
        <v>1,130 | 6.9%</v>
      </c>
      <c r="E19" s="13" t="str">
        <f t="shared" si="8"/>
        <v>1,130 | 6.9%</v>
      </c>
      <c r="F19" s="13" t="str">
        <f t="shared" si="8"/>
        <v>1,130 | 6.9%</v>
      </c>
      <c r="G19" s="13" t="str">
        <f t="shared" si="8"/>
        <v>1,130 | 6.9%</v>
      </c>
    </row>
    <row r="20" spans="1:7" x14ac:dyDescent="0.35">
      <c r="A20" s="13" t="s">
        <v>8</v>
      </c>
      <c r="B20" s="13" t="str">
        <f t="shared" ref="B20:G20" si="9">TEXT(B6,"#,###")&amp;" | "&amp;TEXT(B13,"0.0%")</f>
        <v>3,000 | 18.3%</v>
      </c>
      <c r="C20" s="13" t="str">
        <f t="shared" si="9"/>
        <v>3,000 | 18.3%</v>
      </c>
      <c r="D20" s="13" t="str">
        <f t="shared" si="9"/>
        <v>3,000 | 18.3%</v>
      </c>
      <c r="E20" s="13" t="str">
        <f t="shared" si="9"/>
        <v>3,000 | 18.3%</v>
      </c>
      <c r="F20" s="13" t="str">
        <f t="shared" si="9"/>
        <v>3,000 | 18.3%</v>
      </c>
      <c r="G20" s="13" t="str">
        <f t="shared" si="9"/>
        <v>3,000 | 18.3%</v>
      </c>
    </row>
    <row r="21" spans="1:7" x14ac:dyDescent="0.35">
      <c r="A21" s="13" t="s">
        <v>9</v>
      </c>
      <c r="B21" s="13" t="str">
        <f t="shared" ref="B21:G21" si="10">TEXT(B7,"#,###")&amp;" | "&amp;TEXT(B14,"0.0%")</f>
        <v>1,000 | 6.1%</v>
      </c>
      <c r="C21" s="13" t="str">
        <f t="shared" si="10"/>
        <v>1,000 | 6.1%</v>
      </c>
      <c r="D21" s="13" t="str">
        <f t="shared" si="10"/>
        <v>1,000 | 6.1%</v>
      </c>
      <c r="E21" s="13" t="str">
        <f t="shared" si="10"/>
        <v>1,000 | 6.1%</v>
      </c>
      <c r="F21" s="13" t="str">
        <f t="shared" si="10"/>
        <v>1,000 | 6.1%</v>
      </c>
      <c r="G21" s="13" t="str">
        <f t="shared" si="10"/>
        <v>1,000 | 6.1%</v>
      </c>
    </row>
    <row r="22" spans="1:7" x14ac:dyDescent="0.35">
      <c r="A22" s="14" t="s">
        <v>10</v>
      </c>
      <c r="B22" s="14" t="str">
        <f t="shared" ref="B22:G22" si="11">TEXT(B8,"#,###")&amp;" | "&amp;TEXT(B15,"0.0%")</f>
        <v>16,430 | 100.0%</v>
      </c>
      <c r="C22" s="14" t="str">
        <f t="shared" si="11"/>
        <v>16,430 | 100.0%</v>
      </c>
      <c r="D22" s="14" t="str">
        <f t="shared" si="11"/>
        <v>16,430 | 100.0%</v>
      </c>
      <c r="E22" s="14" t="str">
        <f t="shared" si="11"/>
        <v>16,430 | 100.0%</v>
      </c>
      <c r="F22" s="14" t="str">
        <f t="shared" si="11"/>
        <v>16,430 | 100.0%</v>
      </c>
      <c r="G22" s="14" t="str">
        <f t="shared" si="11"/>
        <v>16,430 | 100.0%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B7F2-FE9D-40AB-9AFE-6082404F1CC3}">
  <dimension ref="A3:G22"/>
  <sheetViews>
    <sheetView showGridLines="0" topLeftCell="A30" zoomScale="175" zoomScaleNormal="175" workbookViewId="0">
      <selection activeCell="B20" sqref="B20"/>
    </sheetView>
  </sheetViews>
  <sheetFormatPr defaultRowHeight="14.5" x14ac:dyDescent="0.35"/>
  <cols>
    <col min="1" max="1" width="12.4140625" bestFit="1" customWidth="1"/>
    <col min="2" max="2" width="13.25" bestFit="1" customWidth="1"/>
    <col min="3" max="7" width="7.4140625" bestFit="1" customWidth="1"/>
    <col min="8" max="8" width="9.58203125" bestFit="1" customWidth="1"/>
  </cols>
  <sheetData>
    <row r="3" spans="1:7" x14ac:dyDescent="0.35">
      <c r="A3" s="3" t="s">
        <v>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</row>
    <row r="4" spans="1:7" x14ac:dyDescent="0.35">
      <c r="A4" s="20" t="s">
        <v>30</v>
      </c>
      <c r="B4" s="21">
        <v>10000</v>
      </c>
      <c r="C4" s="21">
        <v>10000</v>
      </c>
      <c r="D4" s="21">
        <v>10000</v>
      </c>
      <c r="E4" s="21">
        <v>10000</v>
      </c>
      <c r="F4" s="21">
        <v>10000</v>
      </c>
      <c r="G4" s="21">
        <v>10000</v>
      </c>
    </row>
    <row r="5" spans="1:7" x14ac:dyDescent="0.35">
      <c r="A5" s="22" t="s">
        <v>7</v>
      </c>
      <c r="B5" s="29">
        <v>2000</v>
      </c>
      <c r="C5" s="29">
        <v>2000</v>
      </c>
      <c r="D5" s="29">
        <v>2000</v>
      </c>
      <c r="E5" s="29">
        <v>2000</v>
      </c>
      <c r="F5" s="29">
        <v>2000</v>
      </c>
      <c r="G5" s="29">
        <v>2000</v>
      </c>
    </row>
    <row r="6" spans="1:7" x14ac:dyDescent="0.35">
      <c r="A6" s="22" t="s">
        <v>8</v>
      </c>
      <c r="B6" s="29">
        <v>3000</v>
      </c>
      <c r="C6" s="29">
        <v>3500</v>
      </c>
      <c r="D6" s="29">
        <v>3000</v>
      </c>
      <c r="E6" s="29">
        <v>3000</v>
      </c>
      <c r="F6" s="29">
        <v>3000</v>
      </c>
      <c r="G6" s="29">
        <v>3000</v>
      </c>
    </row>
    <row r="7" spans="1:7" ht="15" thickBot="1" x14ac:dyDescent="0.4">
      <c r="A7" s="23" t="s">
        <v>9</v>
      </c>
      <c r="B7" s="30">
        <v>1000</v>
      </c>
      <c r="C7" s="30">
        <v>1000</v>
      </c>
      <c r="D7" s="30">
        <v>1000</v>
      </c>
      <c r="E7" s="30">
        <v>1000</v>
      </c>
      <c r="F7" s="30">
        <v>1000</v>
      </c>
      <c r="G7" s="30">
        <v>1000</v>
      </c>
    </row>
    <row r="8" spans="1:7" ht="15" thickBot="1" x14ac:dyDescent="0.4">
      <c r="A8" s="5" t="s">
        <v>10</v>
      </c>
      <c r="B8" s="6">
        <f>SUM(B4:B7)</f>
        <v>16000</v>
      </c>
      <c r="C8" s="6">
        <f t="shared" ref="C8:G8" si="0">SUM(C4:C7)</f>
        <v>16500</v>
      </c>
      <c r="D8" s="6">
        <f t="shared" si="0"/>
        <v>16000</v>
      </c>
      <c r="E8" s="6">
        <f t="shared" si="0"/>
        <v>16000</v>
      </c>
      <c r="F8" s="6">
        <f t="shared" si="0"/>
        <v>16000</v>
      </c>
      <c r="G8" s="6">
        <f t="shared" si="0"/>
        <v>16000</v>
      </c>
    </row>
    <row r="10" spans="1:7" s="8" customFormat="1" ht="15" thickBot="1" x14ac:dyDescent="0.4">
      <c r="A10" s="15" t="s">
        <v>12</v>
      </c>
      <c r="B10" s="16"/>
      <c r="C10" s="16"/>
      <c r="D10" s="16"/>
      <c r="E10" s="16"/>
      <c r="F10" s="16"/>
      <c r="G10" s="16"/>
    </row>
    <row r="11" spans="1:7" s="8" customFormat="1" x14ac:dyDescent="0.35">
      <c r="A11" s="8" t="s">
        <v>29</v>
      </c>
      <c r="B11" s="9">
        <f>IFERROR(B4/B$8,0)</f>
        <v>0.625</v>
      </c>
      <c r="C11" s="9">
        <f t="shared" ref="C11:G15" si="1">IFERROR(C4/C$8,0)</f>
        <v>0.60606060606060608</v>
      </c>
      <c r="D11" s="9">
        <f t="shared" si="1"/>
        <v>0.625</v>
      </c>
      <c r="E11" s="9">
        <f t="shared" si="1"/>
        <v>0.625</v>
      </c>
      <c r="F11" s="9">
        <f t="shared" si="1"/>
        <v>0.625</v>
      </c>
      <c r="G11" s="9">
        <f t="shared" si="1"/>
        <v>0.625</v>
      </c>
    </row>
    <row r="12" spans="1:7" s="8" customFormat="1" x14ac:dyDescent="0.35">
      <c r="A12" s="8" t="s">
        <v>7</v>
      </c>
      <c r="B12" s="9">
        <f>IFERROR(B5/B$8,0)</f>
        <v>0.125</v>
      </c>
      <c r="C12" s="9">
        <f t="shared" si="1"/>
        <v>0.12121212121212122</v>
      </c>
      <c r="D12" s="9">
        <f t="shared" si="1"/>
        <v>0.125</v>
      </c>
      <c r="E12" s="9">
        <f t="shared" si="1"/>
        <v>0.125</v>
      </c>
      <c r="F12" s="9">
        <f t="shared" si="1"/>
        <v>0.125</v>
      </c>
      <c r="G12" s="9">
        <f t="shared" si="1"/>
        <v>0.125</v>
      </c>
    </row>
    <row r="13" spans="1:7" s="8" customFormat="1" x14ac:dyDescent="0.35">
      <c r="A13" s="8" t="s">
        <v>8</v>
      </c>
      <c r="B13" s="9">
        <f>IFERROR(B6/B$8,0)</f>
        <v>0.1875</v>
      </c>
      <c r="C13" s="9">
        <f t="shared" si="1"/>
        <v>0.21212121212121213</v>
      </c>
      <c r="D13" s="9">
        <f t="shared" si="1"/>
        <v>0.1875</v>
      </c>
      <c r="E13" s="9">
        <f t="shared" si="1"/>
        <v>0.1875</v>
      </c>
      <c r="F13" s="9">
        <f t="shared" si="1"/>
        <v>0.1875</v>
      </c>
      <c r="G13" s="9">
        <f t="shared" si="1"/>
        <v>0.1875</v>
      </c>
    </row>
    <row r="14" spans="1:7" s="8" customFormat="1" x14ac:dyDescent="0.35">
      <c r="A14" s="8" t="s">
        <v>9</v>
      </c>
      <c r="B14" s="9">
        <f>IFERROR(B7/B$8,0)</f>
        <v>6.25E-2</v>
      </c>
      <c r="C14" s="9">
        <f t="shared" si="1"/>
        <v>6.0606060606060608E-2</v>
      </c>
      <c r="D14" s="9">
        <f t="shared" si="1"/>
        <v>6.25E-2</v>
      </c>
      <c r="E14" s="9">
        <f t="shared" si="1"/>
        <v>6.25E-2</v>
      </c>
      <c r="F14" s="9">
        <f t="shared" si="1"/>
        <v>6.25E-2</v>
      </c>
      <c r="G14" s="9">
        <f t="shared" si="1"/>
        <v>6.25E-2</v>
      </c>
    </row>
    <row r="15" spans="1:7" s="8" customFormat="1" x14ac:dyDescent="0.35">
      <c r="A15" s="7" t="s">
        <v>10</v>
      </c>
      <c r="B15" s="10">
        <f>IFERROR(B8/B$8,0)</f>
        <v>1</v>
      </c>
      <c r="C15" s="10">
        <f t="shared" si="1"/>
        <v>1</v>
      </c>
      <c r="D15" s="10">
        <f t="shared" si="1"/>
        <v>1</v>
      </c>
      <c r="E15" s="10">
        <f t="shared" si="1"/>
        <v>1</v>
      </c>
      <c r="F15" s="10">
        <f t="shared" si="1"/>
        <v>1</v>
      </c>
      <c r="G15" s="10">
        <f t="shared" si="1"/>
        <v>1</v>
      </c>
    </row>
    <row r="17" spans="1:7" ht="15" thickBot="1" x14ac:dyDescent="0.4">
      <c r="A17" s="17" t="s">
        <v>13</v>
      </c>
      <c r="B17" s="17"/>
      <c r="C17" s="17"/>
      <c r="D17" s="17"/>
      <c r="E17" s="17"/>
      <c r="F17" s="17"/>
      <c r="G17" s="17"/>
    </row>
    <row r="18" spans="1:7" x14ac:dyDescent="0.35">
      <c r="A18" s="13" t="s">
        <v>30</v>
      </c>
      <c r="B18" s="13" t="str">
        <f>TEXT(B4,"#,###")&amp;" | "&amp;CHAR(10)&amp;TEXT(B11,"0.0%")</f>
        <v>10,000 | 
62.5%</v>
      </c>
      <c r="C18" s="13" t="str">
        <f t="shared" ref="C18:G18" si="2">TEXT(C4,"#,###")&amp;" | "&amp;CHAR(10)&amp;TEXT(C11,"0.0%")</f>
        <v>10,000 | 
60.6%</v>
      </c>
      <c r="D18" s="13" t="str">
        <f t="shared" si="2"/>
        <v>10,000 | 
62.5%</v>
      </c>
      <c r="E18" s="13" t="str">
        <f t="shared" si="2"/>
        <v>10,000 | 
62.5%</v>
      </c>
      <c r="F18" s="13" t="str">
        <f t="shared" si="2"/>
        <v>10,000 | 
62.5%</v>
      </c>
      <c r="G18" s="13" t="str">
        <f t="shared" si="2"/>
        <v>10,000 | 
62.5%</v>
      </c>
    </row>
    <row r="19" spans="1:7" x14ac:dyDescent="0.35">
      <c r="A19" s="13" t="s">
        <v>7</v>
      </c>
      <c r="B19" s="13" t="str">
        <f t="shared" ref="B19:G22" si="3">TEXT(B5,"#,###")&amp;" | "&amp;TEXT(B12,"0.0%")</f>
        <v>2,000 | 12.5%</v>
      </c>
      <c r="C19" s="13" t="str">
        <f t="shared" si="3"/>
        <v>2,000 | 12.1%</v>
      </c>
      <c r="D19" s="13" t="str">
        <f t="shared" si="3"/>
        <v>2,000 | 12.5%</v>
      </c>
      <c r="E19" s="13" t="str">
        <f t="shared" si="3"/>
        <v>2,000 | 12.5%</v>
      </c>
      <c r="F19" s="13" t="str">
        <f t="shared" si="3"/>
        <v>2,000 | 12.5%</v>
      </c>
      <c r="G19" s="13" t="str">
        <f t="shared" si="3"/>
        <v>2,000 | 12.5%</v>
      </c>
    </row>
    <row r="20" spans="1:7" x14ac:dyDescent="0.35">
      <c r="A20" s="13" t="s">
        <v>8</v>
      </c>
      <c r="B20" s="13" t="str">
        <f t="shared" si="3"/>
        <v>3,000 | 18.8%</v>
      </c>
      <c r="C20" s="13" t="str">
        <f t="shared" si="3"/>
        <v>3,500 | 21.2%</v>
      </c>
      <c r="D20" s="13" t="str">
        <f t="shared" si="3"/>
        <v>3,000 | 18.8%</v>
      </c>
      <c r="E20" s="13" t="str">
        <f t="shared" si="3"/>
        <v>3,000 | 18.8%</v>
      </c>
      <c r="F20" s="13" t="str">
        <f t="shared" si="3"/>
        <v>3,000 | 18.8%</v>
      </c>
      <c r="G20" s="13" t="str">
        <f t="shared" si="3"/>
        <v>3,000 | 18.8%</v>
      </c>
    </row>
    <row r="21" spans="1:7" x14ac:dyDescent="0.35">
      <c r="A21" s="13" t="s">
        <v>9</v>
      </c>
      <c r="B21" s="13" t="str">
        <f t="shared" si="3"/>
        <v>1,000 | 6.3%</v>
      </c>
      <c r="C21" s="13" t="str">
        <f t="shared" si="3"/>
        <v>1,000 | 6.1%</v>
      </c>
      <c r="D21" s="13" t="str">
        <f t="shared" si="3"/>
        <v>1,000 | 6.3%</v>
      </c>
      <c r="E21" s="13" t="str">
        <f t="shared" si="3"/>
        <v>1,000 | 6.3%</v>
      </c>
      <c r="F21" s="13" t="str">
        <f t="shared" si="3"/>
        <v>1,000 | 6.3%</v>
      </c>
      <c r="G21" s="13" t="str">
        <f t="shared" si="3"/>
        <v>1,000 | 6.3%</v>
      </c>
    </row>
    <row r="22" spans="1:7" x14ac:dyDescent="0.35">
      <c r="A22" s="14" t="s">
        <v>10</v>
      </c>
      <c r="B22" s="14" t="str">
        <f t="shared" si="3"/>
        <v>16,000 | 100.0%</v>
      </c>
      <c r="C22" s="14" t="str">
        <f t="shared" si="3"/>
        <v>16,500 | 100.0%</v>
      </c>
      <c r="D22" s="14" t="str">
        <f t="shared" si="3"/>
        <v>16,000 | 100.0%</v>
      </c>
      <c r="E22" s="14" t="str">
        <f t="shared" si="3"/>
        <v>16,000 | 100.0%</v>
      </c>
      <c r="F22" s="14" t="str">
        <f t="shared" si="3"/>
        <v>16,000 | 100.0%</v>
      </c>
      <c r="G22" s="14" t="str">
        <f t="shared" si="3"/>
        <v>16,000 | 100.0%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9453-B77B-4AE4-A5F5-FD1781DA00A5}">
  <dimension ref="A2:E18"/>
  <sheetViews>
    <sheetView showGridLines="0" topLeftCell="A4" zoomScale="175" zoomScaleNormal="175" workbookViewId="0">
      <selection activeCell="A17" sqref="A17"/>
    </sheetView>
  </sheetViews>
  <sheetFormatPr defaultRowHeight="14.5" x14ac:dyDescent="0.35"/>
  <cols>
    <col min="2" max="2" width="9.08203125" customWidth="1"/>
  </cols>
  <sheetData>
    <row r="2" spans="1:5" x14ac:dyDescent="0.35">
      <c r="A2" s="18"/>
      <c r="B2" s="19" t="s">
        <v>16</v>
      </c>
      <c r="C2" s="19" t="s">
        <v>17</v>
      </c>
      <c r="D2" s="19" t="s">
        <v>14</v>
      </c>
      <c r="E2" s="19" t="s">
        <v>18</v>
      </c>
    </row>
    <row r="3" spans="1:5" s="2" customFormat="1" x14ac:dyDescent="0.35">
      <c r="A3" s="24" t="s">
        <v>15</v>
      </c>
      <c r="B3" s="25">
        <f>SUM(B4:B8)</f>
        <v>1</v>
      </c>
      <c r="C3" s="25">
        <f t="shared" ref="C3:E3" si="0">SUM(C4:C8)</f>
        <v>0</v>
      </c>
      <c r="D3" s="25">
        <f t="shared" si="0"/>
        <v>0</v>
      </c>
      <c r="E3" s="25">
        <f t="shared" si="0"/>
        <v>0</v>
      </c>
    </row>
    <row r="4" spans="1:5" x14ac:dyDescent="0.35">
      <c r="A4" s="22" t="s">
        <v>1</v>
      </c>
      <c r="B4" s="26">
        <v>1</v>
      </c>
      <c r="C4" s="26"/>
      <c r="D4" s="26"/>
      <c r="E4" s="26"/>
    </row>
    <row r="5" spans="1:5" x14ac:dyDescent="0.35">
      <c r="A5" s="22" t="s">
        <v>3</v>
      </c>
      <c r="B5" s="26"/>
      <c r="C5" s="26"/>
      <c r="D5" s="26"/>
      <c r="E5" s="26"/>
    </row>
    <row r="6" spans="1:5" x14ac:dyDescent="0.35">
      <c r="A6" s="22" t="s">
        <v>4</v>
      </c>
      <c r="B6" s="26"/>
      <c r="C6" s="26"/>
      <c r="D6" s="26"/>
      <c r="E6" s="26"/>
    </row>
    <row r="7" spans="1:5" x14ac:dyDescent="0.35">
      <c r="A7" s="22" t="s">
        <v>5</v>
      </c>
      <c r="B7" s="26"/>
      <c r="C7" s="26"/>
      <c r="D7" s="26"/>
      <c r="E7" s="26"/>
    </row>
    <row r="8" spans="1:5" x14ac:dyDescent="0.35">
      <c r="A8" s="22" t="s">
        <v>6</v>
      </c>
      <c r="B8" s="26"/>
      <c r="C8" s="26"/>
      <c r="D8" s="26"/>
      <c r="E8" s="26"/>
    </row>
    <row r="9" spans="1:5" x14ac:dyDescent="0.35">
      <c r="A9" t="s">
        <v>19</v>
      </c>
    </row>
    <row r="11" spans="1:5" x14ac:dyDescent="0.35">
      <c r="A11" s="18"/>
      <c r="B11" s="19" t="s">
        <v>16</v>
      </c>
      <c r="C11" s="19" t="s">
        <v>17</v>
      </c>
      <c r="D11" s="19" t="s">
        <v>14</v>
      </c>
      <c r="E11" s="19" t="s">
        <v>18</v>
      </c>
    </row>
    <row r="12" spans="1:5" x14ac:dyDescent="0.35">
      <c r="A12" s="24" t="s">
        <v>31</v>
      </c>
      <c r="B12" s="25">
        <f>SUM(B13:B17)</f>
        <v>1</v>
      </c>
      <c r="C12" s="25">
        <f t="shared" ref="C12:E12" si="1">SUM(C13:C17)</f>
        <v>0</v>
      </c>
      <c r="D12" s="25">
        <f t="shared" si="1"/>
        <v>0</v>
      </c>
      <c r="E12" s="25">
        <f t="shared" si="1"/>
        <v>0</v>
      </c>
    </row>
    <row r="13" spans="1:5" x14ac:dyDescent="0.35">
      <c r="A13" s="22" t="s">
        <v>24</v>
      </c>
      <c r="B13" s="26">
        <v>1</v>
      </c>
      <c r="C13" s="26"/>
      <c r="D13" s="26"/>
      <c r="E13" s="26"/>
    </row>
    <row r="14" spans="1:5" x14ac:dyDescent="0.35">
      <c r="A14" s="22" t="s">
        <v>25</v>
      </c>
      <c r="B14" s="26"/>
      <c r="C14" s="26"/>
      <c r="D14" s="26"/>
      <c r="E14" s="26"/>
    </row>
    <row r="15" spans="1:5" x14ac:dyDescent="0.35">
      <c r="A15" s="22" t="s">
        <v>26</v>
      </c>
      <c r="B15" s="26"/>
      <c r="C15" s="26"/>
      <c r="D15" s="26"/>
      <c r="E15" s="26"/>
    </row>
    <row r="16" spans="1:5" x14ac:dyDescent="0.35">
      <c r="A16" s="22" t="s">
        <v>27</v>
      </c>
      <c r="B16" s="26"/>
      <c r="C16" s="26"/>
      <c r="D16" s="26"/>
      <c r="E16" s="26"/>
    </row>
    <row r="17" spans="1:5" x14ac:dyDescent="0.35">
      <c r="A17" s="22" t="s">
        <v>28</v>
      </c>
      <c r="B17" s="26"/>
      <c r="C17" s="26"/>
      <c r="D17" s="26"/>
      <c r="E17" s="26"/>
    </row>
    <row r="18" spans="1:5" x14ac:dyDescent="0.35">
      <c r="A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General Data</vt:lpstr>
      <vt:lpstr>Chai</vt:lpstr>
      <vt:lpstr>Vảy</vt:lpstr>
      <vt:lpstr>Thành phẩm</vt:lpstr>
      <vt:lpstr>Chai_B0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2026-05-06T13:22:19Z</dcterms:created>
  <dcterms:modified xsi:type="dcterms:W3CDTF">2026-05-20T04:53:00Z</dcterms:modified>
</cp:coreProperties>
</file>