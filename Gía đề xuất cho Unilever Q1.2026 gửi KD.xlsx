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KTQT\Giá bán\Giá bán Tháng_Năm\2026\"/>
    </mc:Choice>
  </mc:AlternateContent>
  <xr:revisionPtr revIDLastSave="0" documentId="13_ncr:1_{999D3780-819A-45E6-8EEF-7A2D099BA06D}" xr6:coauthVersionLast="47" xr6:coauthVersionMax="47" xr10:uidLastSave="{00000000-0000-0000-0000-000000000000}"/>
  <bookViews>
    <workbookView xWindow="-110" yWindow="-110" windowWidth="19420" windowHeight="10300" activeTab="1" xr2:uid="{9B668D1B-9FF4-4E2B-86BB-341D70F154CD}"/>
  </bookViews>
  <sheets>
    <sheet name="PET-Q1.26 WSS01G" sheetId="1" r:id="rId1"/>
    <sheet name="HDPE-Q1.26_PCF.MBF." sheetId="2" r:id="rId2"/>
  </sheets>
  <definedNames>
    <definedName name="\T">#REF!</definedName>
    <definedName name="__dao1">#REF!</definedName>
    <definedName name="__dao2">#REF!</definedName>
    <definedName name="__dap2">#REF!</definedName>
    <definedName name="__day1">#REF!</definedName>
    <definedName name="__day2">#REF!</definedName>
    <definedName name="__dbu1">#REF!</definedName>
    <definedName name="__dbu2">#REF!</definedName>
    <definedName name="__doi3">#REF!</definedName>
    <definedName name="__E99999">#REF!</definedName>
    <definedName name="__Jan02">#REF!</definedName>
    <definedName name="__lap1">#REF!</definedName>
    <definedName name="__lap2">#REF!</definedName>
    <definedName name="__vc1">#REF!</definedName>
    <definedName name="__vc2">#REF!</definedName>
    <definedName name="__vc3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#REF!</definedName>
    <definedName name="_2STREO7">#REF!</definedName>
    <definedName name="_4GOIC01">#REF!</definedName>
    <definedName name="_4OSLCTT">#REF!</definedName>
    <definedName name="_6BNTTTH">#REF!</definedName>
    <definedName name="_6DCTTBO">#REF!</definedName>
    <definedName name="_6DD24TT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DNCABC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dao1">#REF!</definedName>
    <definedName name="_dao2">#REF!</definedName>
    <definedName name="_dap2">#REF!</definedName>
    <definedName name="_day1">#REF!</definedName>
    <definedName name="_day2">#REF!</definedName>
    <definedName name="_dbu1">#REF!</definedName>
    <definedName name="_dbu2">#REF!</definedName>
    <definedName name="_doi3">#REF!</definedName>
    <definedName name="_E99999">#REF!</definedName>
    <definedName name="_Fill" hidden="1">#REF!</definedName>
    <definedName name="_Jan02">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#REF!</definedName>
    <definedName name="_tram" hidden="1">#REF!</definedName>
    <definedName name="_vc1">#REF!</definedName>
    <definedName name="_vc2">#REF!</definedName>
    <definedName name="_vc3">#REF!</definedName>
    <definedName name="A">#REF!</definedName>
    <definedName name="AAA">#REF!</definedName>
    <definedName name="Account">#REF!</definedName>
    <definedName name="All_list">#REF!</definedName>
    <definedName name="anscount" hidden="1">2</definedName>
    <definedName name="AOP">#REF!</definedName>
    <definedName name="AOPP">#REF!</definedName>
    <definedName name="Apr">#REF!</definedName>
    <definedName name="Asset">#REF!</definedName>
    <definedName name="aù0">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#REF!</definedName>
    <definedName name="Brand_Label">#REF!</definedName>
    <definedName name="BREAKDOWN">#REF!</definedName>
    <definedName name="C_">#REF!</definedName>
    <definedName name="cap">#REF!</definedName>
    <definedName name="cap0.7">#REF!</definedName>
    <definedName name="CCNK">#REF!</definedName>
    <definedName name="ChemicalReagent">#REF!</definedName>
    <definedName name="CL">#REF!</definedName>
    <definedName name="CLTMP">#REF!</definedName>
    <definedName name="CLVC">#REF!</definedName>
    <definedName name="cong_bq">#REF!</definedName>
    <definedName name="cong_bv">#REF!</definedName>
    <definedName name="cong_ck">#REF!</definedName>
    <definedName name="cong_d1">#REF!</definedName>
    <definedName name="cong_d2">#REF!</definedName>
    <definedName name="cong_d3">#REF!</definedName>
    <definedName name="cong_dl">#REF!</definedName>
    <definedName name="cong_kcs">#REF!</definedName>
    <definedName name="cong_nb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s">#REF!</definedName>
    <definedName name="cong_xh">#REF!</definedName>
    <definedName name="Contingency">#REF!</definedName>
    <definedName name="COPY">#REF!</definedName>
    <definedName name="COST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D">#REF!</definedName>
    <definedName name="Dandoc">#REF!</definedName>
    <definedName name="daotd">#REF!</definedName>
    <definedName name="dap">#REF!</definedName>
    <definedName name="daptd">#REF!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#REF!</definedName>
    <definedName name="ddtt1pvl">#REF!</definedName>
    <definedName name="ddtt3pnc">#REF!</definedName>
    <definedName name="ddtt3pvl">#REF!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1">{"Book1"}</definedName>
    <definedName name="Document_array">{"Book1"}</definedName>
    <definedName name="DocumentYear">#REF!</definedName>
    <definedName name="domestic">#REF!</definedName>
    <definedName name="domesticcost">#REF!</definedName>
    <definedName name="domesticcostt">#REF!</definedName>
    <definedName name="domesticostts">#REF!</definedName>
    <definedName name="domestics">#REF!</definedName>
    <definedName name="DONVI">OFFSET(#REF!,1,0,COUNTA(#REF!)-1,5)</definedName>
    <definedName name="DONVIDG">OFFSET(#REF!,COUNTIF(#REF!,"&lt;&gt;0")-1,0,1)</definedName>
    <definedName name="DT">#REF!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#REF!</definedName>
    <definedName name="G">#REF!</definedName>
    <definedName name="G23_">#REF!</definedName>
    <definedName name="Gas">#REF!</definedName>
    <definedName name="giaca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HDCCT">#REF!</definedName>
    <definedName name="HDCD">#REF!</definedName>
    <definedName name="HM">#REF!</definedName>
    <definedName name="HSKK">#REF!</definedName>
    <definedName name="Index">100%</definedName>
    <definedName name="Inflation_WC">#REF!</definedName>
    <definedName name="jan">#REF!</definedName>
    <definedName name="Jul">#REF!</definedName>
    <definedName name="Jun">#REF!</definedName>
    <definedName name="Justification">#REF!</definedName>
    <definedName name="K">#REF!</definedName>
    <definedName name="K_1">#REF!</definedName>
    <definedName name="K_2">#REF!</definedName>
    <definedName name="KCSCM">#REF!</definedName>
    <definedName name="KH">#REF!</definedName>
    <definedName name="KVC">#REF!</definedName>
    <definedName name="L">#REF!</definedName>
    <definedName name="Lab_supplies_lists">#REF!</definedName>
    <definedName name="Labsupplieslist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pa">#REF!</definedName>
    <definedName name="lapb">#REF!</definedName>
    <definedName name="lapc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kcs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imcount" hidden="1">1</definedName>
    <definedName name="list">#REF!</definedName>
    <definedName name="Location">#REF!</definedName>
    <definedName name="lVC">#REF!</definedName>
    <definedName name="MADONVI">OFFSET(#REF!,COUNTA(#REF!)-1,0,1)</definedName>
    <definedName name="MajorHeader">#REF!</definedName>
    <definedName name="mar">#REF!</definedName>
    <definedName name="mat">#REF!</definedName>
    <definedName name="may">#REF!</definedName>
    <definedName name="MPETABLE">#REF!</definedName>
    <definedName name="N">#REF!</definedName>
    <definedName name="NCcap0.7">#REF!</definedName>
    <definedName name="NCcap1">#REF!</definedName>
    <definedName name="NGANHANG">OFFSET(#REF!,COUNTIF(#REF!,"&lt;&gt;0")-1,0,1)</definedName>
    <definedName name="NGAØY">#REF!</definedName>
    <definedName name="NGAY">OFFSET(#REF!,COUNTA(#REF!)-1,0,1)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hap">#REF!</definedName>
    <definedName name="NHAP1">#REF!</definedName>
    <definedName name="NHAP2">#REF!</definedName>
    <definedName name="NOIDUNG">OFFSET(#REF!,COUNTA(#REF!)-1,0,1)</definedName>
    <definedName name="Nov">#REF!</definedName>
    <definedName name="NToS">#REF!</definedName>
    <definedName name="Oct">#REF!</definedName>
    <definedName name="OneTwoThree">#REF!</definedName>
    <definedName name="oo">#REF!</definedName>
    <definedName name="ooo">#REF!</definedName>
    <definedName name="Other_Lab_Supplies">#REF!</definedName>
    <definedName name="oversea">#REF!</definedName>
    <definedName name="PackMat">#REF!</definedName>
    <definedName name="PC_LB">#REF!</definedName>
    <definedName name="PG_LB">#REF!</definedName>
    <definedName name="PHUONG" hidden="1">#REF!</definedName>
    <definedName name="_xlnm.Print_Area" localSheetId="1">'HDPE-Q1.26_PCF.MBF.'!$A$1:$AR$21</definedName>
    <definedName name="_xlnm.Print_Area" localSheetId="0">'PET-Q1.26 WSS01G'!$A$1:$BA$26</definedName>
    <definedName name="Print_Area_MI">#REF!</definedName>
    <definedName name="_xlnm.Print_Titles">#N/A</definedName>
    <definedName name="QUYLUONG">#REF!</definedName>
    <definedName name="RawMat">#REF!</definedName>
    <definedName name="re">#REF!</definedName>
    <definedName name="ree">#REF!</definedName>
    <definedName name="rr">#REF!</definedName>
    <definedName name="SALES">#REF!</definedName>
    <definedName name="sau">#REF!</definedName>
    <definedName name="sdafds">#REF!</definedName>
    <definedName name="SDDL">#REF!</definedName>
    <definedName name="sdgt" hidden="1">#REF!</definedName>
    <definedName name="sencount" hidden="1">1</definedName>
    <definedName name="Sep">#REF!</definedName>
    <definedName name="Sheet1">#REF!</definedName>
    <definedName name="shii">#REF!</definedName>
    <definedName name="SKU">#REF!</definedName>
    <definedName name="SO">OFFSET(#REF!,COUNTA(#REF!)-1,0,1)</definedName>
    <definedName name="Sort" hidden="1">#REF!</definedName>
    <definedName name="SORT_AREA">#REF!</definedName>
    <definedName name="SOTIEN">OFFSET(#REF!,COUNTA(#REF!)-1,0,1)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ss">#REF!</definedName>
    <definedName name="TAIKHOAN">OFFSET(#REF!,COUNTIF(#REF!,"&lt;&gt;0")-1,0,1)</definedName>
    <definedName name="TAMTINH">#REF!</definedName>
    <definedName name="tdtrnc">#REF!</definedName>
    <definedName name="tdtrvl">#REF!</definedName>
    <definedName name="TG">#REF!</definedName>
    <definedName name="TGxayduong">#REF!</definedName>
    <definedName name="thgian_bq">#REF!</definedName>
    <definedName name="thgian_bv">#REF!</definedName>
    <definedName name="thgian_ck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INHTP">OFFSET(#REF!,COUNTIF(#REF!,"&lt;&gt;0")-1,0,1)</definedName>
    <definedName name="tluong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ON">#REF!</definedName>
    <definedName name="TOP">#REF!</definedName>
    <definedName name="tram" hidden="1">#REF!</definedName>
    <definedName name="TSSCM">#REF!</definedName>
    <definedName name="TSSlist">#REF!</definedName>
    <definedName name="ttbt">#REF!</definedName>
    <definedName name="ttt">#REF!</definedName>
    <definedName name="tttb">#REF!</definedName>
    <definedName name="vc3.">#REF!</definedName>
    <definedName name="vca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t">#REF!</definedName>
    <definedName name="vcdtb">#REF!</definedName>
    <definedName name="vctb">#REF!</definedName>
    <definedName name="vctt">#REF!</definedName>
    <definedName name="VDCLY">#REF!</definedName>
    <definedName name="Vlcap0.7">#REF!</definedName>
    <definedName name="VLcap1">#REF!</definedName>
    <definedName name="WeekNumbers">#REF!</definedName>
    <definedName name="xfconc">#REF!</definedName>
    <definedName name="xfcovl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Yomos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9" i="2" l="1"/>
  <c r="M20" i="2"/>
  <c r="K20" i="2"/>
  <c r="J17" i="2"/>
  <c r="H17" i="2"/>
  <c r="F17" i="2"/>
  <c r="D17" i="2"/>
  <c r="V16" i="2"/>
  <c r="R16" i="2"/>
  <c r="R17" i="2" s="1"/>
  <c r="K16" i="2"/>
  <c r="K17" i="2" s="1"/>
  <c r="BB15" i="2"/>
  <c r="BB16" i="2" s="1"/>
  <c r="AU15" i="2"/>
  <c r="AU16" i="2" s="1"/>
  <c r="AN15" i="2"/>
  <c r="AH15" i="2"/>
  <c r="AE15" i="2"/>
  <c r="AA15" i="2"/>
  <c r="W15" i="2"/>
  <c r="S15" i="2"/>
  <c r="J15" i="2"/>
  <c r="H15" i="2"/>
  <c r="F15" i="2"/>
  <c r="D15" i="2"/>
  <c r="AN14" i="2"/>
  <c r="AK14" i="2"/>
  <c r="AA14" i="2"/>
  <c r="W14" i="2"/>
  <c r="S14" i="2"/>
  <c r="J14" i="2"/>
  <c r="H14" i="2"/>
  <c r="F14" i="2"/>
  <c r="D14" i="2"/>
  <c r="AN13" i="2"/>
  <c r="AK13" i="2"/>
  <c r="AH13" i="2"/>
  <c r="AA13" i="2"/>
  <c r="W13" i="2"/>
  <c r="S13" i="2"/>
  <c r="AN12" i="2"/>
  <c r="AE12" i="2"/>
  <c r="AA12" i="2"/>
  <c r="W12" i="2"/>
  <c r="S12" i="2"/>
  <c r="AN11" i="2"/>
  <c r="AK11" i="2"/>
  <c r="AA11" i="2"/>
  <c r="W11" i="2"/>
  <c r="S11" i="2"/>
  <c r="AQ10" i="2"/>
  <c r="AQ17" i="2" s="1"/>
  <c r="AD10" i="2"/>
  <c r="AG10" i="2" s="1"/>
  <c r="AA10" i="2"/>
  <c r="Z10" i="2"/>
  <c r="W10" i="2"/>
  <c r="S10" i="2"/>
  <c r="O10" i="2"/>
  <c r="M10" i="2"/>
  <c r="K10" i="2"/>
  <c r="J10" i="2"/>
  <c r="H10" i="2"/>
  <c r="F10" i="2"/>
  <c r="D10" i="2"/>
  <c r="AM9" i="2"/>
  <c r="AJ9" i="2"/>
  <c r="Z9" i="2"/>
  <c r="W9" i="2"/>
  <c r="V9" i="2"/>
  <c r="V17" i="2" s="1"/>
  <c r="R9" i="2"/>
  <c r="T9" i="2" s="1"/>
  <c r="O9" i="2"/>
  <c r="M9" i="2"/>
  <c r="M17" i="2" s="1"/>
  <c r="K9" i="2"/>
  <c r="J9" i="2"/>
  <c r="H9" i="2"/>
  <c r="F9" i="2"/>
  <c r="D9" i="2"/>
  <c r="AN8" i="2"/>
  <c r="AG8" i="2"/>
  <c r="AG9" i="2" s="1"/>
  <c r="AD8" i="2"/>
  <c r="AD9" i="2" s="1"/>
  <c r="Z8" i="2"/>
  <c r="W8" i="2"/>
  <c r="S8" i="2"/>
  <c r="J8" i="2"/>
  <c r="H8" i="2"/>
  <c r="F8" i="2"/>
  <c r="D8" i="2"/>
  <c r="AE13" i="2"/>
  <c r="BA16" i="1"/>
  <c r="AZ16" i="1"/>
  <c r="AZ17" i="1" s="1"/>
  <c r="L16" i="1"/>
  <c r="J16" i="1"/>
  <c r="H16" i="1"/>
  <c r="F16" i="1"/>
  <c r="D16" i="1"/>
  <c r="M15" i="1"/>
  <c r="Q14" i="1"/>
  <c r="X14" i="1" s="1"/>
  <c r="L14" i="1"/>
  <c r="J14" i="1"/>
  <c r="H14" i="1"/>
  <c r="F14" i="1"/>
  <c r="D14" i="1"/>
  <c r="Q13" i="1"/>
  <c r="AW13" i="1" s="1"/>
  <c r="L13" i="1"/>
  <c r="J13" i="1"/>
  <c r="H13" i="1"/>
  <c r="F13" i="1"/>
  <c r="D13" i="1"/>
  <c r="BC12" i="1"/>
  <c r="AT12" i="1"/>
  <c r="AQ12" i="1"/>
  <c r="AN12" i="1"/>
  <c r="AK12" i="1"/>
  <c r="AG12" i="1"/>
  <c r="AC12" i="1"/>
  <c r="Y12" i="1"/>
  <c r="U12" i="1"/>
  <c r="BC11" i="1"/>
  <c r="BC7" i="1" s="1"/>
  <c r="AT11" i="1"/>
  <c r="AQ11" i="1"/>
  <c r="AN11" i="1"/>
  <c r="AG11" i="1"/>
  <c r="AC11" i="1"/>
  <c r="Y11" i="1"/>
  <c r="U11" i="1"/>
  <c r="BC10" i="1"/>
  <c r="AT10" i="1"/>
  <c r="AQ10" i="1"/>
  <c r="AN10" i="1"/>
  <c r="AG10" i="1"/>
  <c r="AC10" i="1"/>
  <c r="Y10" i="1"/>
  <c r="U10" i="1"/>
  <c r="BC9" i="1"/>
  <c r="AT9" i="1"/>
  <c r="AQ9" i="1"/>
  <c r="AN9" i="1"/>
  <c r="AG9" i="1"/>
  <c r="AC9" i="1"/>
  <c r="Y9" i="1"/>
  <c r="U9" i="1"/>
  <c r="BC8" i="1"/>
  <c r="AT8" i="1"/>
  <c r="AQ8" i="1"/>
  <c r="AN8" i="1"/>
  <c r="AG8" i="1"/>
  <c r="AC8" i="1"/>
  <c r="Y8" i="1"/>
  <c r="U8" i="1"/>
  <c r="BA7" i="1"/>
  <c r="AW7" i="1"/>
  <c r="AJ7" i="1"/>
  <c r="AM7" i="1" s="1"/>
  <c r="AG7" i="1"/>
  <c r="AF7" i="1"/>
  <c r="AC7" i="1"/>
  <c r="Y7" i="1"/>
  <c r="U7" i="1"/>
  <c r="O7" i="1"/>
  <c r="Q7" i="1" s="1"/>
  <c r="M7" i="1"/>
  <c r="L7" i="1"/>
  <c r="J7" i="1"/>
  <c r="H7" i="1"/>
  <c r="F7" i="1"/>
  <c r="D7" i="1"/>
  <c r="BA6" i="1"/>
  <c r="AW6" i="1"/>
  <c r="AT6" i="1"/>
  <c r="AS6" i="1"/>
  <c r="AP6" i="1"/>
  <c r="AN6" i="1"/>
  <c r="AM6" i="1"/>
  <c r="AJ6" i="1"/>
  <c r="AK6" i="1" s="1"/>
  <c r="AG6" i="1"/>
  <c r="AF6" i="1"/>
  <c r="AB6" i="1"/>
  <c r="X6" i="1"/>
  <c r="T6" i="1"/>
  <c r="Q6" i="1"/>
  <c r="O6" i="1"/>
  <c r="M6" i="1"/>
  <c r="L6" i="1"/>
  <c r="J6" i="1"/>
  <c r="H6" i="1"/>
  <c r="F6" i="1"/>
  <c r="D6" i="1"/>
  <c r="BA5" i="1"/>
  <c r="AT5" i="1"/>
  <c r="AQ5" i="1"/>
  <c r="AN5" i="1"/>
  <c r="AG5" i="1"/>
  <c r="AC5" i="1"/>
  <c r="Y5" i="1"/>
  <c r="U5" i="1"/>
  <c r="L5" i="1"/>
  <c r="J5" i="1"/>
  <c r="H5" i="1"/>
  <c r="F5" i="1"/>
  <c r="D5" i="1"/>
  <c r="AK11" i="1"/>
  <c r="L15" i="2" l="1"/>
  <c r="L14" i="2"/>
  <c r="L17" i="2"/>
  <c r="L8" i="2"/>
  <c r="AH10" i="2"/>
  <c r="AJ10" i="2"/>
  <c r="L10" i="2"/>
  <c r="AR8" i="2"/>
  <c r="AR9" i="2"/>
  <c r="AR17" i="2"/>
  <c r="AR10" i="2"/>
  <c r="AQ18" i="2"/>
  <c r="X16" i="2"/>
  <c r="R18" i="2"/>
  <c r="R20" i="2" s="1"/>
  <c r="T14" i="2"/>
  <c r="T8" i="2"/>
  <c r="T15" i="2"/>
  <c r="T10" i="2"/>
  <c r="T17" i="2"/>
  <c r="S17" i="2"/>
  <c r="S20" i="2" s="1"/>
  <c r="X14" i="2"/>
  <c r="X12" i="2"/>
  <c r="X9" i="2"/>
  <c r="X17" i="2"/>
  <c r="X15" i="2"/>
  <c r="X10" i="2"/>
  <c r="V18" i="2"/>
  <c r="X11" i="2"/>
  <c r="W17" i="2"/>
  <c r="W20" i="2" s="1"/>
  <c r="X13" i="2"/>
  <c r="X8" i="2"/>
  <c r="L9" i="2"/>
  <c r="AD16" i="2"/>
  <c r="AE9" i="2"/>
  <c r="N15" i="2"/>
  <c r="N10" i="2"/>
  <c r="N17" i="2"/>
  <c r="N16" i="2"/>
  <c r="N8" i="2"/>
  <c r="N14" i="2"/>
  <c r="N9" i="2"/>
  <c r="AH9" i="2"/>
  <c r="AH8" i="2"/>
  <c r="AA9" i="2"/>
  <c r="AE10" i="2"/>
  <c r="AA8" i="2"/>
  <c r="AK8" i="2"/>
  <c r="S9" i="2"/>
  <c r="AH12" i="2"/>
  <c r="AE14" i="2"/>
  <c r="L16" i="2"/>
  <c r="W16" i="2"/>
  <c r="AG16" i="2"/>
  <c r="AE11" i="2"/>
  <c r="AK15" i="2"/>
  <c r="T16" i="2"/>
  <c r="AK9" i="2"/>
  <c r="AK12" i="2"/>
  <c r="AH14" i="2"/>
  <c r="O16" i="2"/>
  <c r="O17" i="2" s="1"/>
  <c r="Z16" i="2"/>
  <c r="AE8" i="2"/>
  <c r="AH11" i="2"/>
  <c r="AJ16" i="2"/>
  <c r="AJ17" i="2" s="1"/>
  <c r="S16" i="2"/>
  <c r="AP7" i="1"/>
  <c r="AN7" i="1"/>
  <c r="BC16" i="1"/>
  <c r="BD7" i="1"/>
  <c r="Q16" i="1"/>
  <c r="AX7" i="1" s="1"/>
  <c r="AX13" i="1"/>
  <c r="AB14" i="1"/>
  <c r="AJ14" i="1"/>
  <c r="Y14" i="1"/>
  <c r="AC6" i="1"/>
  <c r="AK9" i="1"/>
  <c r="U6" i="1"/>
  <c r="AK7" i="1"/>
  <c r="R14" i="1"/>
  <c r="M16" i="1"/>
  <c r="N6" i="1" s="1"/>
  <c r="AK10" i="1"/>
  <c r="T14" i="1"/>
  <c r="AW14" i="1"/>
  <c r="AX14" i="1" s="1"/>
  <c r="O15" i="1"/>
  <c r="AK5" i="1"/>
  <c r="AQ6" i="1"/>
  <c r="T13" i="1"/>
  <c r="Y6" i="1"/>
  <c r="AK8" i="1"/>
  <c r="Q15" i="1"/>
  <c r="AK17" i="2" l="1"/>
  <c r="AK20" i="2" s="1"/>
  <c r="O18" i="2"/>
  <c r="O20" i="2" s="1"/>
  <c r="P17" i="2"/>
  <c r="P8" i="2"/>
  <c r="P15" i="2"/>
  <c r="P14" i="2"/>
  <c r="P10" i="2"/>
  <c r="P9" i="2"/>
  <c r="AE16" i="2"/>
  <c r="AF16" i="2"/>
  <c r="AM10" i="2"/>
  <c r="AK10" i="2"/>
  <c r="AI16" i="2"/>
  <c r="AH16" i="2"/>
  <c r="AG17" i="2"/>
  <c r="AK16" i="2"/>
  <c r="AA16" i="2"/>
  <c r="Z17" i="2"/>
  <c r="P16" i="2"/>
  <c r="AD17" i="2"/>
  <c r="AF14" i="1"/>
  <c r="AC14" i="1"/>
  <c r="BD16" i="1"/>
  <c r="BD5" i="1"/>
  <c r="BD6" i="1"/>
  <c r="BC17" i="1"/>
  <c r="U13" i="1"/>
  <c r="X13" i="1"/>
  <c r="R6" i="1"/>
  <c r="AS7" i="1"/>
  <c r="AQ7" i="1"/>
  <c r="AM14" i="1"/>
  <c r="AK14" i="1"/>
  <c r="AR12" i="1"/>
  <c r="AD12" i="1"/>
  <c r="AX11" i="1"/>
  <c r="AO10" i="1"/>
  <c r="Z10" i="1"/>
  <c r="AL8" i="1"/>
  <c r="V8" i="1"/>
  <c r="AL9" i="1"/>
  <c r="AU11" i="1"/>
  <c r="AH11" i="1"/>
  <c r="R11" i="1"/>
  <c r="AR9" i="1"/>
  <c r="AD9" i="1"/>
  <c r="AX8" i="1"/>
  <c r="AX5" i="1"/>
  <c r="AO11" i="1"/>
  <c r="AO12" i="1"/>
  <c r="Z12" i="1"/>
  <c r="AL10" i="1"/>
  <c r="V10" i="1"/>
  <c r="AU8" i="1"/>
  <c r="AH8" i="1"/>
  <c r="R8" i="1"/>
  <c r="V9" i="1"/>
  <c r="R9" i="1"/>
  <c r="R13" i="1"/>
  <c r="AR11" i="1"/>
  <c r="AD11" i="1"/>
  <c r="AX10" i="1"/>
  <c r="AO9" i="1"/>
  <c r="Z9" i="1"/>
  <c r="AX12" i="1"/>
  <c r="AL11" i="1"/>
  <c r="AL12" i="1"/>
  <c r="V12" i="1"/>
  <c r="AU10" i="1"/>
  <c r="AH10" i="1"/>
  <c r="R10" i="1"/>
  <c r="AR8" i="1"/>
  <c r="AD8" i="1"/>
  <c r="R5" i="1"/>
  <c r="Z11" i="1"/>
  <c r="AU9" i="1"/>
  <c r="Q17" i="1"/>
  <c r="Q19" i="1" s="1"/>
  <c r="AU12" i="1"/>
  <c r="AH12" i="1"/>
  <c r="R12" i="1"/>
  <c r="AR10" i="1"/>
  <c r="AD10" i="1"/>
  <c r="AX9" i="1"/>
  <c r="AO8" i="1"/>
  <c r="Z8" i="1"/>
  <c r="R16" i="1"/>
  <c r="V11" i="1"/>
  <c r="AH9" i="1"/>
  <c r="R15" i="1"/>
  <c r="AW15" i="1"/>
  <c r="AX15" i="1" s="1"/>
  <c r="U14" i="1"/>
  <c r="AW16" i="1"/>
  <c r="T15" i="1"/>
  <c r="T16" i="1" s="1"/>
  <c r="R7" i="1"/>
  <c r="N16" i="1"/>
  <c r="N7" i="1"/>
  <c r="N13" i="1"/>
  <c r="N5" i="1"/>
  <c r="N14" i="1"/>
  <c r="O16" i="1"/>
  <c r="P15" i="1" s="1"/>
  <c r="BE7" i="1"/>
  <c r="N15" i="1"/>
  <c r="AX6" i="1"/>
  <c r="AE17" i="2" l="1"/>
  <c r="AE20" i="2" s="1"/>
  <c r="AD18" i="2"/>
  <c r="AF17" i="2"/>
  <c r="AB17" i="2"/>
  <c r="AL14" i="2"/>
  <c r="AA17" i="2"/>
  <c r="AA20" i="2" s="1"/>
  <c r="AO15" i="2"/>
  <c r="AB15" i="2"/>
  <c r="AI11" i="2"/>
  <c r="AF8" i="2"/>
  <c r="AI14" i="2"/>
  <c r="AL12" i="2"/>
  <c r="AO8" i="2"/>
  <c r="AF15" i="2"/>
  <c r="AI13" i="2"/>
  <c r="AB10" i="2"/>
  <c r="AL15" i="2"/>
  <c r="AO13" i="2"/>
  <c r="AB13" i="2"/>
  <c r="AF11" i="2"/>
  <c r="Z18" i="2"/>
  <c r="AB14" i="2"/>
  <c r="AL11" i="2"/>
  <c r="AO12" i="2"/>
  <c r="AF14" i="2"/>
  <c r="AI12" i="2"/>
  <c r="AL8" i="2"/>
  <c r="AO14" i="2"/>
  <c r="AI15" i="2"/>
  <c r="AL13" i="2"/>
  <c r="AO11" i="2"/>
  <c r="AB11" i="2"/>
  <c r="AF12" i="2"/>
  <c r="AB12" i="2"/>
  <c r="AF13" i="2"/>
  <c r="AI9" i="2"/>
  <c r="AB8" i="2"/>
  <c r="AL9" i="2"/>
  <c r="AF10" i="2"/>
  <c r="AB9" i="2"/>
  <c r="AI10" i="2"/>
  <c r="AF9" i="2"/>
  <c r="AO9" i="2"/>
  <c r="AI8" i="2"/>
  <c r="AI17" i="2"/>
  <c r="AH17" i="2"/>
  <c r="AH20" i="2" s="1"/>
  <c r="AG18" i="2"/>
  <c r="AL10" i="2"/>
  <c r="AB16" i="2"/>
  <c r="AO10" i="2"/>
  <c r="AM17" i="2"/>
  <c r="AN10" i="2"/>
  <c r="AM16" i="2"/>
  <c r="AL16" i="2"/>
  <c r="AL17" i="2"/>
  <c r="AO5" i="1"/>
  <c r="Z5" i="1"/>
  <c r="AD7" i="1"/>
  <c r="AL5" i="1"/>
  <c r="V5" i="1"/>
  <c r="Z7" i="1"/>
  <c r="U16" i="1"/>
  <c r="U19" i="1" s="1"/>
  <c r="AL6" i="1"/>
  <c r="V16" i="1"/>
  <c r="AO6" i="1"/>
  <c r="AU5" i="1"/>
  <c r="AH5" i="1"/>
  <c r="V7" i="1"/>
  <c r="T17" i="1"/>
  <c r="T19" i="1" s="1"/>
  <c r="AR5" i="1"/>
  <c r="AD5" i="1"/>
  <c r="AH7" i="1"/>
  <c r="AD6" i="1"/>
  <c r="V6" i="1"/>
  <c r="AL7" i="1"/>
  <c r="Z6" i="1"/>
  <c r="AR6" i="1"/>
  <c r="Z14" i="1"/>
  <c r="AU6" i="1"/>
  <c r="AO7" i="1"/>
  <c r="AH6" i="1"/>
  <c r="V13" i="1"/>
  <c r="AD14" i="1"/>
  <c r="AL14" i="1"/>
  <c r="AR7" i="1"/>
  <c r="V14" i="1"/>
  <c r="AW17" i="1"/>
  <c r="AW19" i="1" s="1"/>
  <c r="AX16" i="1"/>
  <c r="AU7" i="1"/>
  <c r="AT7" i="1"/>
  <c r="BE16" i="1"/>
  <c r="V15" i="1"/>
  <c r="U15" i="1"/>
  <c r="BA13" i="1"/>
  <c r="BB13" i="1" s="1"/>
  <c r="P16" i="1"/>
  <c r="BA14" i="1"/>
  <c r="BB14" i="1" s="1"/>
  <c r="BA15" i="1"/>
  <c r="BB15" i="1" s="1"/>
  <c r="BD15" i="1"/>
  <c r="BE15" i="1" s="1"/>
  <c r="P5" i="1"/>
  <c r="P13" i="1"/>
  <c r="P14" i="1"/>
  <c r="BD13" i="1"/>
  <c r="BE13" i="1" s="1"/>
  <c r="BD14" i="1"/>
  <c r="BE14" i="1" s="1"/>
  <c r="BB7" i="1"/>
  <c r="BB16" i="1"/>
  <c r="P7" i="1"/>
  <c r="P6" i="1"/>
  <c r="Z13" i="1"/>
  <c r="AB13" i="1"/>
  <c r="AJ13" i="1"/>
  <c r="Y13" i="1"/>
  <c r="X15" i="1"/>
  <c r="AP14" i="1"/>
  <c r="AO14" i="1"/>
  <c r="AN14" i="1"/>
  <c r="AH14" i="1"/>
  <c r="AG14" i="1"/>
  <c r="AO17" i="2" l="1"/>
  <c r="AN17" i="2"/>
  <c r="AN20" i="2" s="1"/>
  <c r="AO16" i="2"/>
  <c r="AN16" i="2"/>
  <c r="AK13" i="1"/>
  <c r="AM13" i="1"/>
  <c r="AL13" i="1"/>
  <c r="AJ15" i="1"/>
  <c r="Z15" i="1"/>
  <c r="Y15" i="1"/>
  <c r="AF13" i="1"/>
  <c r="AD13" i="1"/>
  <c r="AC13" i="1"/>
  <c r="AB15" i="1"/>
  <c r="AQ14" i="1"/>
  <c r="AS14" i="1"/>
  <c r="AR14" i="1"/>
  <c r="X16" i="1"/>
  <c r="Z16" i="1" l="1"/>
  <c r="Y16" i="1"/>
  <c r="Y19" i="1" s="1"/>
  <c r="Z20" i="1" s="1"/>
  <c r="X17" i="1"/>
  <c r="X19" i="1" s="1"/>
  <c r="AT14" i="1"/>
  <c r="AU14" i="1"/>
  <c r="AG13" i="1"/>
  <c r="AH13" i="1"/>
  <c r="AF16" i="1"/>
  <c r="AF15" i="1"/>
  <c r="AL15" i="1"/>
  <c r="AK15" i="1"/>
  <c r="AC15" i="1"/>
  <c r="AD15" i="1"/>
  <c r="AJ16" i="1"/>
  <c r="AB16" i="1"/>
  <c r="AP13" i="1"/>
  <c r="AO13" i="1"/>
  <c r="AN13" i="1"/>
  <c r="AM15" i="1"/>
  <c r="AB17" i="1" l="1"/>
  <c r="AB19" i="1" s="1"/>
  <c r="AD16" i="1"/>
  <c r="AC16" i="1"/>
  <c r="AC19" i="1" s="1"/>
  <c r="AD20" i="1" s="1"/>
  <c r="AS13" i="1"/>
  <c r="AR13" i="1"/>
  <c r="AQ13" i="1"/>
  <c r="AP15" i="1"/>
  <c r="AF17" i="1"/>
  <c r="AF19" i="1" s="1"/>
  <c r="AH16" i="1"/>
  <c r="AG16" i="1"/>
  <c r="AG19" i="1" s="1"/>
  <c r="AH20" i="1" s="1"/>
  <c r="AO15" i="1"/>
  <c r="AN15" i="1"/>
  <c r="AM16" i="1"/>
  <c r="AL16" i="1"/>
  <c r="AJ17" i="1"/>
  <c r="AJ19" i="1" s="1"/>
  <c r="AK16" i="1"/>
  <c r="AK19" i="1" s="1"/>
  <c r="AG15" i="1"/>
  <c r="AH15" i="1"/>
  <c r="AR15" i="1" l="1"/>
  <c r="AQ15" i="1"/>
  <c r="AP16" i="1"/>
  <c r="AM17" i="1"/>
  <c r="AM19" i="1" s="1"/>
  <c r="AO16" i="1"/>
  <c r="AN16" i="1"/>
  <c r="AN19" i="1" s="1"/>
  <c r="AU13" i="1"/>
  <c r="AT13" i="1"/>
  <c r="AS15" i="1"/>
  <c r="AS16" i="1" s="1"/>
  <c r="AU16" i="1" l="1"/>
  <c r="AT16" i="1"/>
  <c r="AT19" i="1" s="1"/>
  <c r="AS17" i="1"/>
  <c r="AU15" i="1"/>
  <c r="AT15" i="1"/>
  <c r="AP17" i="1"/>
  <c r="AP19" i="1" s="1"/>
  <c r="AR16" i="1"/>
  <c r="AQ16" i="1"/>
  <c r="AQ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tc={76ECED64-A6FD-47EA-A30B-4394D2883768}</author>
    <author>tc={D4F7757C-4CE9-4411-86A2-6EDB54EACC34}</author>
    <author>tc={5F65B232-0D8F-44F4-892B-078B22BE291B}</author>
    <author>tc={A33459C6-BFFD-413B-B7EE-3A3F96CAC11A}</author>
    <author>tc={F9B7A198-C918-4C03-BEE7-8BB6737C2627}</author>
    <author>tc={00B65C8E-3B74-4AA9-BFB8-C4955FBB8011}</author>
    <author>tc={DB6D875F-678A-4C43-9243-049887550F8A}</author>
    <author>tc={442066B6-2933-4F06-B57E-6B6624B2517A}</author>
    <author>tc={2BECFB42-FDA9-4A6C-8274-05D01E5BA4E7}</author>
    <author>tc={2485BA8F-1E14-4F89-8F38-186D78268B6C}</author>
    <author>tc={54709D88-285E-42C6-8673-5E77A006E2A1}</author>
    <author>tc={055CFE2A-51BD-4DB0-8328-4AB791129CC3}</author>
    <author>tc={03C5D6AB-8DB2-44E2-8FB5-4517145F1405}</author>
    <author>tc={AD51B5CF-ED17-4A2B-80EC-6AA4AED4E80B}</author>
  </authors>
  <commentList>
    <comment ref="Q5" authorId="0" shapeId="0" xr:uid="{76ECED64-A6FD-47EA-A30B-4394D2883768}">
      <text>
        <t>[Threaded comment]
Your version of Excel allows you to read this threaded comment; however, any edits to it will get removed if the file is opened in a newer version of Excel. Learn more: https://go.microsoft.com/fwlink/?linkid=870924
Comment:
    Giá mua của trạm của tháng giữa Quý trước để báo giá cho Quý sau. Ví dụ Quý 2 lấy tháng 2.</t>
      </text>
    </comment>
    <comment ref="Q6" authorId="1" shapeId="0" xr:uid="{D4F7757C-4CE9-4411-86A2-6EDB54EACC34}">
      <text>
        <t>[Threaded comment]
Your version of Excel allows you to read this threaded comment; however, any edits to it will get removed if the file is opened in a newer version of Excel. Learn more: https://go.microsoft.com/fwlink/?linkid=870924
Comment:
    Mặc định tỷ lệ 30%</t>
      </text>
    </comment>
    <comment ref="T6" authorId="2" shapeId="0" xr:uid="{5F65B232-0D8F-44F4-892B-078B22BE291B}">
      <text>
        <t>[Threaded comment]
Your version of Excel allows you to read this threaded comment; however, any edits to it will get removed if the file is opened in a newer version of Excel. Learn more: https://go.microsoft.com/fwlink/?linkid=870924
Comment:
    Mặc định tỷ lệ 30%</t>
      </text>
    </comment>
    <comment ref="Q7" authorId="3" shapeId="0" xr:uid="{A33459C6-BFFD-413B-B7EE-3A3F96CAC1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Mỗi năm tăng 6% trong 55% của conversion cost </t>
      </text>
    </comment>
    <comment ref="T7" authorId="4" shapeId="0" xr:uid="{F9B7A198-C918-4C03-BEE7-8BB6737C26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Mỗi năm tăng 6% trong 55% của conversion cost </t>
      </text>
    </comment>
    <comment ref="Q13" authorId="5" shapeId="0" xr:uid="{00B65C8E-3B74-4AA9-BFB8-C4955FBB8011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cố định</t>
      </text>
    </comment>
    <comment ref="T13" authorId="6" shapeId="0" xr:uid="{DB6D875F-678A-4C43-9243-049887550F8A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cố định</t>
      </text>
    </comment>
    <comment ref="Q14" authorId="7" shapeId="0" xr:uid="{442066B6-2933-4F06-B57E-6B6624B2517A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cố định</t>
      </text>
    </comment>
    <comment ref="T14" authorId="8" shapeId="0" xr:uid="{2BECFB42-FDA9-4A6C-8274-05D01E5BA4E7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cố định</t>
      </text>
    </comment>
    <comment ref="Q15" authorId="9" shapeId="0" xr:uid="{2485BA8F-1E14-4F89-8F38-186D78268B6C}">
      <text>
        <t>[Threaded comment]
Your version of Excel allows you to read this threaded comment; however, any edits to it will get removed if the file is opened in a newer version of Excel. Learn more: https://go.microsoft.com/fwlink/?linkid=870924
Comment:
    % lãi suất cố định</t>
      </text>
    </comment>
    <comment ref="T15" authorId="10" shapeId="0" xr:uid="{54709D88-285E-42C6-8673-5E77A006E2A1}">
      <text>
        <t>[Threaded comment]
Your version of Excel allows you to read this threaded comment; however, any edits to it will get removed if the file is opened in a newer version of Excel. Learn more: https://go.microsoft.com/fwlink/?linkid=870924
Comment:
    % lãi suất cố định</t>
      </text>
    </comment>
    <comment ref="Q18" authorId="11" shapeId="0" xr:uid="{055CFE2A-51BD-4DB0-8328-4AB791129CC3}">
      <text>
        <t>[Threaded comment]
Your version of Excel allows you to read this threaded comment; however, any edits to it will get removed if the file is opened in a newer version of Excel. Learn more: https://go.microsoft.com/fwlink/?linkid=870924
Comment:
    Chú duyệt</t>
      </text>
    </comment>
    <comment ref="T18" authorId="12" shapeId="0" xr:uid="{03C5D6AB-8DB2-44E2-8FB5-4517145F1405}">
      <text>
        <t>[Threaded comment]
Your version of Excel allows you to read this threaded comment; however, any edits to it will get removed if the file is opened in a newer version of Excel. Learn more: https://go.microsoft.com/fwlink/?linkid=870924
Comment:
    Chú duyệt</t>
      </text>
    </comment>
    <comment ref="U18" authorId="13" shapeId="0" xr:uid="{AD51B5CF-ED17-4A2B-80EC-6AA4AED4E80B}">
      <text>
        <t>[Threaded comment]
Your version of Excel allows you to read this threaded comment; however, any edits to it will get removed if the file is opened in a newer version of Excel. Learn more: https://go.microsoft.com/fwlink/?linkid=870924
Comment:
    Chú duyệt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tc={82CDE6C4-CB20-4BE4-89E2-B4921B746B50}</author>
    <author>tc={E0BDDF8B-4E94-40D9-8A5A-216F28EE5108}</author>
    <author>Nhâm, Hoàng Thị</author>
  </authors>
  <commentList>
    <comment ref="Z8" authorId="0" shapeId="0" xr:uid="{82CDE6C4-CB20-4BE4-89E2-B4921B746B50}">
      <text>
        <t>[Threaded comment]
Your version of Excel allows you to read this threaded comment; however, any edits to it will get removed if the file is opened in a newer version of Excel. Learn more: https://go.microsoft.com/fwlink/?linkid=870924
Comment:
    HV01.1 TM 21.200
Bình HD01.1 24.000</t>
      </text>
    </comment>
    <comment ref="AP8" authorId="1" shapeId="0" xr:uid="{E0BDDF8B-4E94-40D9-8A5A-216F28EE5108}">
      <text>
        <t>[Threaded comment]
Your version of Excel allows you to read this threaded comment; however, any edits to it will get removed if the file is opened in a newer version of Excel. Learn more: https://go.microsoft.com/fwlink/?linkid=870924
Comment:
    HV-01.1:  21.200
HV-01.3: 24.000</t>
      </text>
    </comment>
    <comment ref="Z10" authorId="2" shapeId="0" xr:uid="{A07DEBA8-2F39-4458-8338-F6D7844FE51E}">
      <text>
        <r>
          <rPr>
            <b/>
            <sz val="9"/>
            <color indexed="81"/>
            <rFont val="Tahoma"/>
            <family val="2"/>
          </rPr>
          <t>Nhâm, Hoàng Thị:</t>
        </r>
        <r>
          <rPr>
            <sz val="9"/>
            <color indexed="81"/>
            <rFont val="Tahoma"/>
            <family val="2"/>
          </rPr>
          <t xml:space="preserve">
55% biến phí tăng theo chỉ số trượt giá CPI 4% (10 tháng 2024 ~3,78%). 233đ/kg là chi phí tăng thêm của máy khử mùi</t>
        </r>
      </text>
    </comment>
  </commentList>
</comments>
</file>

<file path=xl/sharedStrings.xml><?xml version="1.0" encoding="utf-8"?>
<sst xmlns="http://schemas.openxmlformats.org/spreadsheetml/2006/main" count="198" uniqueCount="102">
  <si>
    <r>
      <t xml:space="preserve">BÁO GIÁ </t>
    </r>
    <r>
      <rPr>
        <b/>
        <sz val="16"/>
        <color rgb="FFFF0000"/>
        <rFont val="Times New Roman"/>
        <family val="1"/>
      </rPr>
      <t>rPET</t>
    </r>
    <r>
      <rPr>
        <b/>
        <sz val="16"/>
        <color rgb="FF0000FF"/>
        <rFont val="Times New Roman"/>
        <family val="1"/>
      </rPr>
      <t xml:space="preserve"> ÁP DỤNG QUÝ 1 NĂM 2026</t>
    </r>
  </si>
  <si>
    <t>Option 1 : Conversion cost báo giá 2023 tăng 6% trượt giá</t>
  </si>
  <si>
    <t>Tỷ giá</t>
  </si>
  <si>
    <t>Option 2 : Conversion cost thực tế hiện tại</t>
  </si>
  <si>
    <t>KHÔNG BÙ GIÁ TRẠM</t>
  </si>
  <si>
    <t>CÓ BÙ GIÁ TRẠM</t>
  </si>
  <si>
    <t>Quý 1.2024</t>
  </si>
  <si>
    <t>Quý 2.2024</t>
  </si>
  <si>
    <t>Quý 3.2024</t>
  </si>
  <si>
    <t>Quý 4.2024</t>
  </si>
  <si>
    <t>Quý 1.2025</t>
  </si>
  <si>
    <t>Quý 2.2025</t>
  </si>
  <si>
    <t>Quý 3.2025</t>
  </si>
  <si>
    <t>Quý 4.2025</t>
  </si>
  <si>
    <t>Quý 1.2026</t>
  </si>
  <si>
    <t>No.</t>
  </si>
  <si>
    <t>Cost elements</t>
  </si>
  <si>
    <t>Năm 2021 đến Q2/2022</t>
  </si>
  <si>
    <t>%</t>
  </si>
  <si>
    <t>Q3/2022</t>
  </si>
  <si>
    <t>Q4/2022</t>
  </si>
  <si>
    <t>Q1.23</t>
  </si>
  <si>
    <t>Q2.23</t>
  </si>
  <si>
    <t>Q3.23</t>
  </si>
  <si>
    <t>Q4.23</t>
  </si>
  <si>
    <t>% /giá bán</t>
  </si>
  <si>
    <t>Q1.24</t>
  </si>
  <si>
    <t>Q2.24 
(VND/Kg)</t>
  </si>
  <si>
    <t>Q2.24 
(USD/TON)</t>
  </si>
  <si>
    <t>(VND/Kg)</t>
  </si>
  <si>
    <t>(USD/TON)</t>
  </si>
  <si>
    <t>Ghi chú</t>
  </si>
  <si>
    <t>Giá thành từ 100% chai B1</t>
  </si>
  <si>
    <t>% cơ cấu giá thành</t>
  </si>
  <si>
    <r>
      <t xml:space="preserve">Bale price </t>
    </r>
    <r>
      <rPr>
        <b/>
        <sz val="12"/>
        <color rgb="FF0000FF"/>
        <rFont val="Times New Roman"/>
        <family val="1"/>
      </rPr>
      <t>(giá kiện B1)</t>
    </r>
  </si>
  <si>
    <t>Giá mua chai hiện nay 15.000</t>
  </si>
  <si>
    <t>Giá mua chai hiện nay 15.000+ 1.500 hỗ trợ trạm</t>
  </si>
  <si>
    <r>
      <t xml:space="preserve">Yield loss </t>
    </r>
    <r>
      <rPr>
        <b/>
        <sz val="12"/>
        <color rgb="FF0000FF"/>
        <rFont val="Times New Roman"/>
        <family val="1"/>
      </rPr>
      <t>(hao hụt)</t>
    </r>
  </si>
  <si>
    <t xml:space="preserve">30%\ Bale price </t>
  </si>
  <si>
    <t>Tổng hao hụt 24,7% (2,5% mất đi + 22,2% phó sản)</t>
  </si>
  <si>
    <r>
      <t xml:space="preserve">Conversion cost </t>
    </r>
    <r>
      <rPr>
        <b/>
        <sz val="12"/>
        <color rgb="FF0000FF"/>
        <rFont val="Times New Roman"/>
        <family val="1"/>
      </rPr>
      <t>(chi phí sx)</t>
    </r>
    <r>
      <rPr>
        <b/>
        <sz val="12"/>
        <color rgb="FF000000"/>
        <rFont val="Times New Roman"/>
        <family val="1"/>
      </rPr>
      <t xml:space="preserve"> </t>
    </r>
  </si>
  <si>
    <r>
      <t xml:space="preserve">55% biến phí tăng theo chỉ số trượt giá </t>
    </r>
    <r>
      <rPr>
        <sz val="12"/>
        <color rgb="FFFF0000"/>
        <rFont val="Times New Roman"/>
        <family val="1"/>
      </rPr>
      <t>CPI 3,27%</t>
    </r>
    <r>
      <rPr>
        <sz val="12"/>
        <color rgb="FF000000"/>
        <rFont val="Times New Roman"/>
        <family val="1"/>
      </rPr>
      <t>.</t>
    </r>
  </si>
  <si>
    <t>Conversion cost thực tế hiện tại</t>
  </si>
  <si>
    <t>Băm</t>
  </si>
  <si>
    <t>Rửa</t>
  </si>
  <si>
    <t>Tạo hạt</t>
  </si>
  <si>
    <t>nâng IV</t>
  </si>
  <si>
    <t>Chi phí quản lý + bán hàng+ lãi vay</t>
  </si>
  <si>
    <r>
      <t xml:space="preserve">Delivery cost </t>
    </r>
    <r>
      <rPr>
        <b/>
        <sz val="12"/>
        <color rgb="FF0000FF"/>
        <rFont val="Times New Roman"/>
        <family val="1"/>
      </rPr>
      <t>(vận chuyển trong HCM)</t>
    </r>
  </si>
  <si>
    <t>Truck 5T = 1.283.636đ; 4300kg/ trip</t>
  </si>
  <si>
    <r>
      <t xml:space="preserve">EBT </t>
    </r>
    <r>
      <rPr>
        <b/>
        <sz val="12"/>
        <color rgb="FF0000FF"/>
        <rFont val="Times New Roman"/>
        <family val="1"/>
      </rPr>
      <t>(Lợi nhuận trước thuế)</t>
    </r>
  </si>
  <si>
    <r>
      <t xml:space="preserve">Interest </t>
    </r>
    <r>
      <rPr>
        <b/>
        <sz val="12"/>
        <color rgb="FF0000FF"/>
        <rFont val="Times New Roman"/>
        <family val="1"/>
      </rPr>
      <t>(lãi vay)</t>
    </r>
  </si>
  <si>
    <t>8%/năm * 30 ngày. Công nợ 90 ngày, kỳ vọng tt 60 ngày</t>
  </si>
  <si>
    <t>8,8%/năm * 30 ngày</t>
  </si>
  <si>
    <r>
      <t xml:space="preserve">Selling price </t>
    </r>
    <r>
      <rPr>
        <b/>
        <sz val="12"/>
        <color rgb="FF0000FF"/>
        <rFont val="Times New Roman"/>
        <family val="1"/>
      </rPr>
      <t>(giá bán chưa VAT 10%)</t>
    </r>
  </si>
  <si>
    <t>$ USD/ton</t>
  </si>
  <si>
    <t>Lợi nhuận 10% với giá bán này</t>
  </si>
  <si>
    <t>Lợi nhuận 4% với giá bán này</t>
  </si>
  <si>
    <t>Discount</t>
  </si>
  <si>
    <t>$ USD/ton (làm tròn)</t>
  </si>
  <si>
    <t>% LNST</t>
  </si>
  <si>
    <t>Phê duyệt</t>
  </si>
  <si>
    <t>Đề xuất</t>
  </si>
  <si>
    <t>Trần Duy Hy</t>
  </si>
  <si>
    <t>Dương Từ Uyên Thảo</t>
  </si>
  <si>
    <r>
      <t xml:space="preserve">BÁO GIÁ </t>
    </r>
    <r>
      <rPr>
        <b/>
        <sz val="14"/>
        <color rgb="FFFF0000"/>
        <rFont val="Times New Roman"/>
        <family val="1"/>
      </rPr>
      <t>rHDPE</t>
    </r>
    <r>
      <rPr>
        <b/>
        <sz val="14"/>
        <color rgb="FF0000FF"/>
        <rFont val="Times New Roman"/>
        <family val="1"/>
      </rPr>
      <t xml:space="preserve"> ÁP DỤNG QUÝ 1 NĂM 2026</t>
    </r>
  </si>
  <si>
    <r>
      <t>HẠT NHỰA rHDPE</t>
    </r>
    <r>
      <rPr>
        <b/>
        <sz val="13"/>
        <color theme="9" tint="-0.499984740745262"/>
        <rFont val="Times New Roman"/>
        <family val="1"/>
      </rPr>
      <t xml:space="preserve"> PCF/MBF01</t>
    </r>
  </si>
  <si>
    <t>50% vảy tách màu, rửa + 50% vảy không rửa</t>
  </si>
  <si>
    <t>NỘI DUNG</t>
  </si>
  <si>
    <t>Năm 2021 đến Q2/22</t>
  </si>
  <si>
    <t>Q3 &amp; Q4/22</t>
  </si>
  <si>
    <t>Giá thành DTR</t>
  </si>
  <si>
    <t>VND/Kg</t>
  </si>
  <si>
    <t>USD/TON</t>
  </si>
  <si>
    <r>
      <t>Flake</t>
    </r>
    <r>
      <rPr>
        <b/>
        <sz val="12"/>
        <color rgb="FF0000FF"/>
        <rFont val="Times New Roman"/>
        <family val="1"/>
      </rPr>
      <t>(giá vảy)</t>
    </r>
  </si>
  <si>
    <t>Giá vảy HV01.3</t>
  </si>
  <si>
    <t>Trộn 50% vảy tách màu, rửa + 50% vảy không rửa</t>
  </si>
  <si>
    <t>C:\Users\YenTTH\OneDrive - DuyTan Group\00.DỮ LIỆU TÀI CHÍNH DTR\11.BÁO CÁO GIÁ MUA, GIÁ BÁN, GIÁ THÀNH\GIÁ MUA\2. GIÁ MUA NVL BÌNH QUÂN\2024\Gia tri mua NVL T1.2024.xlsx</t>
  </si>
  <si>
    <r>
      <t xml:space="preserve">Yield loss  </t>
    </r>
    <r>
      <rPr>
        <b/>
        <sz val="12"/>
        <color rgb="FF0000FF"/>
        <rFont val="Times New Roman"/>
        <family val="1"/>
      </rPr>
      <t>(hao hụt)</t>
    </r>
  </si>
  <si>
    <t>21,3%\ Flake price</t>
  </si>
  <si>
    <r>
      <t>Tổng hao hụt về lượng 28,3% (</t>
    </r>
    <r>
      <rPr>
        <i/>
        <sz val="12"/>
        <color theme="1"/>
        <rFont val="Times New Roman"/>
        <family val="1"/>
      </rPr>
      <t>3,3% mất đi + 25% phó sản</t>
    </r>
    <r>
      <rPr>
        <sz val="12"/>
        <color theme="1"/>
        <rFont val="Times New Roman"/>
        <family val="1"/>
      </rPr>
      <t>)</t>
    </r>
  </si>
  <si>
    <t>Hỏi lai ty le hao hut thuc te, kiem tra lai ti le BP, DP; chi phi van chuyen den nhà may Ngoc Nghia Tay Ninh bao nhiu?</t>
  </si>
  <si>
    <r>
      <t xml:space="preserve">Conversion cost </t>
    </r>
    <r>
      <rPr>
        <b/>
        <sz val="12"/>
        <color rgb="FF0000FF"/>
        <rFont val="Times New Roman"/>
        <family val="1"/>
      </rPr>
      <t>(chi phí SX)</t>
    </r>
  </si>
  <si>
    <t>Tong BP+DP 2023</t>
  </si>
  <si>
    <t>C:\Users\YenTTH\OneDrive - DuyTan Group\KTQT\Năm 2023\BÁO CÁO\Tháng 12\NHAM</t>
  </si>
  <si>
    <t>tách màu</t>
  </si>
  <si>
    <t>50% tách màu</t>
  </si>
  <si>
    <t>tạo hạt</t>
  </si>
  <si>
    <t>chi phí quản lý+ bán hàng+ lãi vay</t>
  </si>
  <si>
    <t>SL 2023</t>
  </si>
  <si>
    <r>
      <t xml:space="preserve">EBT </t>
    </r>
    <r>
      <rPr>
        <b/>
        <sz val="12"/>
        <color rgb="FF0000FF"/>
        <rFont val="Times New Roman"/>
        <family val="1"/>
      </rPr>
      <t>(LN trước thuế)</t>
    </r>
  </si>
  <si>
    <t>LN trước thuế ko tính trên % của chi phí?</t>
  </si>
  <si>
    <t>8%/năm * 30 ngày. Công nợ 90 ngày, kì vọng thanh toán 30 ngày</t>
  </si>
  <si>
    <t>BP+DP (KO BOM)</t>
  </si>
  <si>
    <t>Vì sao lãi vay *2</t>
  </si>
  <si>
    <r>
      <t xml:space="preserve">Selling price </t>
    </r>
    <r>
      <rPr>
        <b/>
        <sz val="12"/>
        <color rgb="FF0000FF"/>
        <rFont val="Times New Roman"/>
        <family val="1"/>
      </rPr>
      <t>(Giá bán trước VAT 10%)</t>
    </r>
  </si>
  <si>
    <t>Giá bán $ USD/ton</t>
  </si>
  <si>
    <t>Lợi nhuận 11% với giá bán này</t>
  </si>
  <si>
    <t>Chiết khấu USD/tấn</t>
  </si>
  <si>
    <t>Giá sau chiết khấu (USD/ton)</t>
  </si>
  <si>
    <t>Lưu ý :</t>
  </si>
  <si>
    <t>Đối với giá rHDPE màu giảm thêm 50$ so với rHDPE 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</si>
</sst>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\$\ #,##0"/>
    <numFmt numFmtId="167" formatCode="0.0%"/>
    <numFmt numFmtId="168" formatCode="#,##0.0"/>
  </numFmts>
  <fonts count="34">
    <font>
      <sz val="10"/>
      <color theme="1"/>
      <name val=".VnArial"/>
      <family val="2"/>
      <charset val="163"/>
    </font>
    <font>
      <sz val="10"/>
      <color theme="1"/>
      <name val=".VnArial"/>
      <family val="2"/>
      <charset val="163"/>
    </font>
    <font>
      <sz val="12"/>
      <color theme="1"/>
      <name val="Times New Roman"/>
      <family val="1"/>
    </font>
    <font>
      <b/>
      <sz val="16"/>
      <color rgb="FF0000FF"/>
      <name val="Times New Roman"/>
      <family val="1"/>
    </font>
    <font>
      <b/>
      <sz val="16"/>
      <color rgb="FFFF0000"/>
      <name val="Times New Roman"/>
      <family val="1"/>
    </font>
    <font>
      <b/>
      <sz val="18"/>
      <color rgb="FF0000FF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2"/>
      <name val="Times New Roman"/>
      <family val="1"/>
    </font>
    <font>
      <b/>
      <sz val="12"/>
      <color theme="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FF"/>
      <name val="Times New Roman"/>
      <family val="1"/>
    </font>
    <font>
      <sz val="12"/>
      <color rgb="FF000000"/>
      <name val="Times New Roman"/>
      <family val="1"/>
    </font>
    <font>
      <i/>
      <sz val="12"/>
      <color rgb="FF0000FF"/>
      <name val="Times New Roman"/>
      <family val="1"/>
    </font>
    <font>
      <sz val="12"/>
      <color rgb="FF0000CC"/>
      <name val="Times New Roman"/>
      <family val="1"/>
    </font>
    <font>
      <sz val="12"/>
      <color rgb="FF0000FF"/>
      <name val="Times New Roman"/>
      <family val="1"/>
    </font>
    <font>
      <b/>
      <sz val="12"/>
      <color rgb="FF0000CC"/>
      <name val="Times New Roman"/>
      <family val="1"/>
    </font>
    <font>
      <b/>
      <sz val="14"/>
      <color rgb="FFFF0000"/>
      <name val="Times New Roman"/>
      <family val="1"/>
    </font>
    <font>
      <sz val="12"/>
      <name val="Times New Roman"/>
      <family val="1"/>
    </font>
    <font>
      <u/>
      <sz val="10"/>
      <color theme="10"/>
      <name val=".VnArial"/>
      <family val="2"/>
      <charset val="163"/>
    </font>
    <font>
      <b/>
      <sz val="14"/>
      <color rgb="FF0000FF"/>
      <name val="Times New Roman"/>
      <family val="1"/>
    </font>
    <font>
      <sz val="11"/>
      <color theme="1"/>
      <name val="Calibri"/>
      <family val="2"/>
      <scheme val="minor"/>
    </font>
    <font>
      <b/>
      <sz val="13"/>
      <color theme="9" tint="-0.249977111117893"/>
      <name val="Times New Roman"/>
      <family val="1"/>
    </font>
    <font>
      <b/>
      <sz val="13"/>
      <color theme="9" tint="-0.499984740745262"/>
      <name val="Times New Roman"/>
      <family val="1"/>
    </font>
    <font>
      <b/>
      <sz val="12"/>
      <color rgb="FFC00000"/>
      <name val="Times New Roman"/>
      <family val="1"/>
    </font>
    <font>
      <b/>
      <sz val="11"/>
      <color rgb="FF0000FF"/>
      <name val="Times New Roman"/>
      <family val="1"/>
    </font>
    <font>
      <b/>
      <sz val="10"/>
      <color rgb="FF0000FF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u/>
      <sz val="12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3" fillId="0" borderId="0"/>
  </cellStyleXfs>
  <cellXfs count="141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165" fontId="6" fillId="0" borderId="0" xfId="1" applyNumberFormat="1" applyFont="1" applyBorder="1"/>
    <xf numFmtId="0" fontId="7" fillId="0" borderId="3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9" fontId="13" fillId="0" borderId="3" xfId="0" applyNumberFormat="1" applyFont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9" fontId="13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9" fontId="13" fillId="3" borderId="3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9" fontId="13" fillId="2" borderId="3" xfId="0" applyNumberFormat="1" applyFont="1" applyFill="1" applyBorder="1" applyAlignment="1">
      <alignment horizontal="center" vertical="center" wrapText="1"/>
    </xf>
    <xf numFmtId="9" fontId="11" fillId="4" borderId="3" xfId="0" applyNumberFormat="1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2" fillId="0" borderId="3" xfId="0" applyFont="1" applyBorder="1" applyAlignment="1">
      <alignment vertical="center" wrapText="1"/>
    </xf>
    <xf numFmtId="165" fontId="12" fillId="0" borderId="3" xfId="1" applyNumberFormat="1" applyFont="1" applyBorder="1" applyAlignment="1">
      <alignment vertical="center"/>
    </xf>
    <xf numFmtId="9" fontId="8" fillId="0" borderId="3" xfId="1" applyNumberFormat="1" applyFont="1" applyBorder="1" applyAlignment="1">
      <alignment vertical="center"/>
    </xf>
    <xf numFmtId="165" fontId="13" fillId="5" borderId="3" xfId="1" applyNumberFormat="1" applyFont="1" applyFill="1" applyBorder="1" applyAlignment="1">
      <alignment horizontal="right" vertical="center"/>
    </xf>
    <xf numFmtId="9" fontId="13" fillId="5" borderId="3" xfId="1" applyNumberFormat="1" applyFont="1" applyFill="1" applyBorder="1" applyAlignment="1">
      <alignment horizontal="right" vertical="center"/>
    </xf>
    <xf numFmtId="3" fontId="13" fillId="7" borderId="3" xfId="1" applyNumberFormat="1" applyFont="1" applyFill="1" applyBorder="1" applyAlignment="1">
      <alignment horizontal="right" vertical="center"/>
    </xf>
    <xf numFmtId="9" fontId="13" fillId="7" borderId="3" xfId="1" applyNumberFormat="1" applyFont="1" applyFill="1" applyBorder="1" applyAlignment="1">
      <alignment horizontal="right" vertical="center"/>
    </xf>
    <xf numFmtId="3" fontId="13" fillId="7" borderId="3" xfId="0" applyNumberFormat="1" applyFont="1" applyFill="1" applyBorder="1" applyAlignment="1">
      <alignment horizontal="right" vertical="center"/>
    </xf>
    <xf numFmtId="3" fontId="13" fillId="5" borderId="3" xfId="1" applyNumberFormat="1" applyFont="1" applyFill="1" applyBorder="1" applyAlignment="1">
      <alignment horizontal="right" vertical="center"/>
    </xf>
    <xf numFmtId="3" fontId="13" fillId="5" borderId="3" xfId="0" applyNumberFormat="1" applyFont="1" applyFill="1" applyBorder="1" applyAlignment="1">
      <alignment horizontal="right" vertical="center"/>
    </xf>
    <xf numFmtId="166" fontId="13" fillId="5" borderId="3" xfId="0" applyNumberFormat="1" applyFont="1" applyFill="1" applyBorder="1" applyAlignment="1">
      <alignment horizontal="right" vertical="center"/>
    </xf>
    <xf numFmtId="0" fontId="2" fillId="0" borderId="3" xfId="0" applyFont="1" applyBorder="1" applyAlignment="1">
      <alignment vertical="center" wrapText="1"/>
    </xf>
    <xf numFmtId="9" fontId="13" fillId="0" borderId="3" xfId="0" applyNumberFormat="1" applyFont="1" applyBorder="1" applyAlignment="1">
      <alignment horizontal="right" vertical="center"/>
    </xf>
    <xf numFmtId="9" fontId="13" fillId="0" borderId="3" xfId="0" applyNumberFormat="1" applyFont="1" applyBorder="1" applyAlignment="1">
      <alignment horizontal="left" vertical="center" wrapText="1"/>
    </xf>
    <xf numFmtId="167" fontId="13" fillId="0" borderId="3" xfId="2" applyNumberFormat="1" applyFont="1" applyBorder="1" applyAlignment="1">
      <alignment horizontal="right" vertical="center"/>
    </xf>
    <xf numFmtId="165" fontId="13" fillId="8" borderId="3" xfId="1" applyNumberFormat="1" applyFont="1" applyFill="1" applyBorder="1" applyAlignment="1">
      <alignment horizontal="right" vertical="center"/>
    </xf>
    <xf numFmtId="165" fontId="13" fillId="0" borderId="3" xfId="1" applyNumberFormat="1" applyFont="1" applyFill="1" applyBorder="1" applyAlignment="1">
      <alignment horizontal="right" vertical="center"/>
    </xf>
    <xf numFmtId="0" fontId="14" fillId="0" borderId="3" xfId="0" applyFont="1" applyBorder="1" applyAlignment="1">
      <alignment vertical="center" wrapText="1"/>
    </xf>
    <xf numFmtId="0" fontId="2" fillId="0" borderId="3" xfId="0" quotePrefix="1" applyFont="1" applyBorder="1" applyAlignment="1">
      <alignment vertical="center" wrapText="1"/>
    </xf>
    <xf numFmtId="0" fontId="2" fillId="0" borderId="3" xfId="0" quotePrefix="1" applyFont="1" applyBorder="1" applyAlignment="1">
      <alignment vertical="center"/>
    </xf>
    <xf numFmtId="165" fontId="15" fillId="5" borderId="3" xfId="1" applyNumberFormat="1" applyFont="1" applyFill="1" applyBorder="1" applyAlignment="1">
      <alignment horizontal="right" vertical="center"/>
    </xf>
    <xf numFmtId="0" fontId="12" fillId="0" borderId="3" xfId="0" applyFont="1" applyBorder="1" applyAlignment="1">
      <alignment vertical="center"/>
    </xf>
    <xf numFmtId="165" fontId="8" fillId="0" borderId="3" xfId="1" applyNumberFormat="1" applyFont="1" applyBorder="1" applyAlignment="1">
      <alignment vertical="center"/>
    </xf>
    <xf numFmtId="9" fontId="2" fillId="0" borderId="3" xfId="2" applyFont="1" applyBorder="1" applyAlignment="1">
      <alignment horizontal="left" vertical="center" wrapText="1"/>
    </xf>
    <xf numFmtId="0" fontId="7" fillId="0" borderId="3" xfId="0" applyFont="1" applyBorder="1" applyAlignment="1">
      <alignment vertical="center" wrapText="1"/>
    </xf>
    <xf numFmtId="0" fontId="16" fillId="0" borderId="3" xfId="0" applyFont="1" applyBorder="1" applyAlignment="1">
      <alignment vertical="center"/>
    </xf>
    <xf numFmtId="166" fontId="13" fillId="0" borderId="3" xfId="0" applyNumberFormat="1" applyFont="1" applyBorder="1" applyAlignment="1">
      <alignment horizontal="right" vertical="center"/>
    </xf>
    <xf numFmtId="0" fontId="17" fillId="0" borderId="3" xfId="0" applyFont="1" applyBorder="1" applyAlignment="1">
      <alignment wrapText="1"/>
    </xf>
    <xf numFmtId="166" fontId="11" fillId="0" borderId="3" xfId="0" applyNumberFormat="1" applyFont="1" applyBorder="1" applyAlignment="1">
      <alignment horizontal="right" vertical="center" wrapText="1"/>
    </xf>
    <xf numFmtId="0" fontId="18" fillId="0" borderId="3" xfId="0" applyFont="1" applyBorder="1" applyAlignment="1">
      <alignment vertical="center"/>
    </xf>
    <xf numFmtId="165" fontId="19" fillId="8" borderId="3" xfId="1" applyNumberFormat="1" applyFont="1" applyFill="1" applyBorder="1" applyAlignment="1">
      <alignment vertical="center"/>
    </xf>
    <xf numFmtId="0" fontId="13" fillId="0" borderId="3" xfId="0" applyFont="1" applyBorder="1" applyAlignment="1">
      <alignment wrapText="1"/>
    </xf>
    <xf numFmtId="165" fontId="20" fillId="0" borderId="3" xfId="1" applyNumberFormat="1" applyFont="1" applyBorder="1"/>
    <xf numFmtId="9" fontId="2" fillId="0" borderId="3" xfId="2" applyFont="1" applyBorder="1"/>
    <xf numFmtId="165" fontId="20" fillId="5" borderId="3" xfId="1" applyNumberFormat="1" applyFont="1" applyFill="1" applyBorder="1"/>
    <xf numFmtId="167" fontId="20" fillId="5" borderId="3" xfId="2" applyNumberFormat="1" applyFont="1" applyFill="1" applyBorder="1"/>
    <xf numFmtId="165" fontId="20" fillId="0" borderId="3" xfId="1" applyNumberFormat="1" applyFont="1" applyBorder="1" applyAlignment="1">
      <alignment wrapText="1"/>
    </xf>
    <xf numFmtId="9" fontId="20" fillId="0" borderId="3" xfId="1" applyNumberFormat="1" applyFont="1" applyBorder="1"/>
    <xf numFmtId="165" fontId="20" fillId="0" borderId="0" xfId="1" applyNumberFormat="1" applyFont="1"/>
    <xf numFmtId="166" fontId="2" fillId="0" borderId="0" xfId="0" applyNumberFormat="1" applyFont="1"/>
    <xf numFmtId="0" fontId="2" fillId="0" borderId="0" xfId="0" applyFont="1" applyAlignment="1">
      <alignment horizontal="left" vertical="center"/>
    </xf>
    <xf numFmtId="1" fontId="2" fillId="0" borderId="0" xfId="0" applyNumberFormat="1" applyFont="1"/>
    <xf numFmtId="9" fontId="2" fillId="0" borderId="0" xfId="0" applyNumberFormat="1" applyFont="1"/>
    <xf numFmtId="165" fontId="2" fillId="0" borderId="0" xfId="1" applyNumberFormat="1" applyFont="1"/>
    <xf numFmtId="0" fontId="24" fillId="0" borderId="0" xfId="4" applyFont="1" applyAlignment="1">
      <alignment vertical="center"/>
    </xf>
    <xf numFmtId="0" fontId="7" fillId="8" borderId="1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24" fillId="0" borderId="5" xfId="4" applyFont="1" applyBorder="1" applyAlignment="1">
      <alignment vertical="center"/>
    </xf>
    <xf numFmtId="165" fontId="6" fillId="5" borderId="0" xfId="1" applyNumberFormat="1" applyFont="1" applyFill="1" applyBorder="1"/>
    <xf numFmtId="0" fontId="12" fillId="0" borderId="3" xfId="0" applyFont="1" applyBorder="1" applyAlignment="1">
      <alignment horizontal="center" vertical="center" wrapText="1"/>
    </xf>
    <xf numFmtId="9" fontId="13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9" fontId="27" fillId="2" borderId="3" xfId="0" applyNumberFormat="1" applyFont="1" applyFill="1" applyBorder="1" applyAlignment="1">
      <alignment horizontal="center" vertical="center" wrapText="1"/>
    </xf>
    <xf numFmtId="9" fontId="27" fillId="3" borderId="3" xfId="0" applyNumberFormat="1" applyFont="1" applyFill="1" applyBorder="1" applyAlignment="1">
      <alignment horizontal="center" vertical="center" wrapText="1"/>
    </xf>
    <xf numFmtId="9" fontId="28" fillId="3" borderId="3" xfId="0" applyNumberFormat="1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3" fontId="13" fillId="11" borderId="3" xfId="0" applyNumberFormat="1" applyFont="1" applyFill="1" applyBorder="1" applyAlignment="1">
      <alignment horizontal="right" vertical="center"/>
    </xf>
    <xf numFmtId="9" fontId="13" fillId="11" borderId="3" xfId="0" applyNumberFormat="1" applyFont="1" applyFill="1" applyBorder="1" applyAlignment="1">
      <alignment horizontal="right" vertical="center"/>
    </xf>
    <xf numFmtId="168" fontId="13" fillId="11" borderId="3" xfId="0" applyNumberFormat="1" applyFont="1" applyFill="1" applyBorder="1" applyAlignment="1">
      <alignment horizontal="right" vertical="center"/>
    </xf>
    <xf numFmtId="9" fontId="13" fillId="5" borderId="3" xfId="0" applyNumberFormat="1" applyFont="1" applyFill="1" applyBorder="1" applyAlignment="1">
      <alignment horizontal="right" vertical="center"/>
    </xf>
    <xf numFmtId="0" fontId="21" fillId="0" borderId="0" xfId="3"/>
    <xf numFmtId="3" fontId="2" fillId="0" borderId="0" xfId="0" applyNumberFormat="1" applyFont="1"/>
    <xf numFmtId="9" fontId="2" fillId="0" borderId="0" xfId="2" applyFont="1"/>
    <xf numFmtId="9" fontId="2" fillId="0" borderId="3" xfId="0" applyNumberFormat="1" applyFont="1" applyBorder="1" applyAlignment="1">
      <alignment horizontal="left" vertical="center" wrapText="1"/>
    </xf>
    <xf numFmtId="165" fontId="2" fillId="0" borderId="0" xfId="0" applyNumberFormat="1" applyFont="1"/>
    <xf numFmtId="165" fontId="13" fillId="11" borderId="3" xfId="1" applyNumberFormat="1" applyFont="1" applyFill="1" applyBorder="1" applyAlignment="1">
      <alignment horizontal="right" vertical="center"/>
    </xf>
    <xf numFmtId="165" fontId="13" fillId="5" borderId="3" xfId="0" applyNumberFormat="1" applyFont="1" applyFill="1" applyBorder="1" applyAlignment="1">
      <alignment horizontal="right" vertical="center"/>
    </xf>
    <xf numFmtId="164" fontId="2" fillId="0" borderId="0" xfId="1" applyFont="1"/>
    <xf numFmtId="0" fontId="30" fillId="0" borderId="3" xfId="0" applyFont="1" applyBorder="1" applyAlignment="1">
      <alignment vertical="center" wrapText="1"/>
    </xf>
    <xf numFmtId="0" fontId="14" fillId="0" borderId="3" xfId="0" applyFont="1" applyBorder="1" applyAlignment="1">
      <alignment vertical="center"/>
    </xf>
    <xf numFmtId="9" fontId="17" fillId="0" borderId="3" xfId="0" applyNumberFormat="1" applyFont="1" applyBorder="1" applyAlignment="1">
      <alignment horizontal="right" vertical="center"/>
    </xf>
    <xf numFmtId="165" fontId="13" fillId="11" borderId="3" xfId="0" applyNumberFormat="1" applyFont="1" applyFill="1" applyBorder="1" applyAlignment="1">
      <alignment horizontal="right" vertical="center"/>
    </xf>
    <xf numFmtId="43" fontId="2" fillId="0" borderId="0" xfId="0" applyNumberFormat="1" applyFont="1"/>
    <xf numFmtId="6" fontId="13" fillId="5" borderId="3" xfId="0" applyNumberFormat="1" applyFont="1" applyFill="1" applyBorder="1" applyAlignment="1">
      <alignment vertical="center"/>
    </xf>
    <xf numFmtId="6" fontId="13" fillId="11" borderId="3" xfId="0" applyNumberFormat="1" applyFont="1" applyFill="1" applyBorder="1" applyAlignment="1">
      <alignment vertical="center"/>
    </xf>
    <xf numFmtId="6" fontId="11" fillId="5" borderId="3" xfId="0" applyNumberFormat="1" applyFont="1" applyFill="1" applyBorder="1" applyAlignment="1">
      <alignment vertical="center" wrapText="1"/>
    </xf>
    <xf numFmtId="6" fontId="2" fillId="0" borderId="0" xfId="0" applyNumberFormat="1" applyFont="1"/>
    <xf numFmtId="165" fontId="20" fillId="11" borderId="3" xfId="1" applyNumberFormat="1" applyFont="1" applyFill="1" applyBorder="1"/>
    <xf numFmtId="167" fontId="20" fillId="11" borderId="3" xfId="2" applyNumberFormat="1" applyFont="1" applyFill="1" applyBorder="1"/>
    <xf numFmtId="0" fontId="31" fillId="0" borderId="0" xfId="0" applyFont="1"/>
    <xf numFmtId="0" fontId="17" fillId="0" borderId="0" xfId="0" applyFont="1"/>
    <xf numFmtId="165" fontId="11" fillId="4" borderId="3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5" fontId="10" fillId="2" borderId="3" xfId="1" applyNumberFormat="1" applyFont="1" applyFill="1" applyBorder="1" applyAlignment="1">
      <alignment horizontal="center" vertical="center"/>
    </xf>
    <xf numFmtId="165" fontId="11" fillId="10" borderId="2" xfId="1" applyNumberFormat="1" applyFont="1" applyFill="1" applyBorder="1" applyAlignment="1">
      <alignment horizontal="center" vertical="center"/>
    </xf>
    <xf numFmtId="165" fontId="11" fillId="10" borderId="4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7" fillId="8" borderId="1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26" fillId="0" borderId="3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horizontal="center" vertical="center"/>
    </xf>
    <xf numFmtId="165" fontId="10" fillId="2" borderId="2" xfId="1" applyNumberFormat="1" applyFont="1" applyFill="1" applyBorder="1" applyAlignment="1">
      <alignment horizontal="center" vertical="center"/>
    </xf>
    <xf numFmtId="165" fontId="10" fillId="2" borderId="4" xfId="1" applyNumberFormat="1" applyFont="1" applyFill="1" applyBorder="1" applyAlignment="1">
      <alignment horizontal="center" vertical="center"/>
    </xf>
    <xf numFmtId="165" fontId="11" fillId="4" borderId="2" xfId="1" applyNumberFormat="1" applyFont="1" applyFill="1" applyBorder="1" applyAlignment="1">
      <alignment horizontal="center" vertical="center"/>
    </xf>
    <xf numFmtId="165" fontId="11" fillId="4" borderId="4" xfId="1" applyNumberFormat="1" applyFont="1" applyFill="1" applyBorder="1" applyAlignment="1">
      <alignment horizontal="center" vertical="center"/>
    </xf>
    <xf numFmtId="165" fontId="11" fillId="9" borderId="2" xfId="1" applyNumberFormat="1" applyFont="1" applyFill="1" applyBorder="1" applyAlignment="1">
      <alignment horizontal="center" vertical="center"/>
    </xf>
    <xf numFmtId="165" fontId="11" fillId="9" borderId="4" xfId="1" applyNumberFormat="1" applyFont="1" applyFill="1" applyBorder="1" applyAlignment="1">
      <alignment horizontal="center" vertical="center"/>
    </xf>
  </cellXfs>
  <cellStyles count="5">
    <cellStyle name="Comma" xfId="1" builtinId="3"/>
    <cellStyle name="Hyperlink" xfId="3" builtinId="8"/>
    <cellStyle name="Normal" xfId="0" builtinId="0"/>
    <cellStyle name="Normal 2" xfId="4" xr:uid="{AA2CE62C-A22E-48EA-A441-8A6D044A2AC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hâm, Hoàng Thị" id="{819427A0-A4A0-410E-9465-7B547ADE07F2}" userId="S::HoangThiNham@duytanrecycling.com::20046c98-83a2-4a52-9716-2c168ced023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5" dT="2024-01-23T08:07:38.48" personId="{819427A0-A4A0-410E-9465-7B547ADE07F2}" id="{76ECED64-A6FD-47EA-A30B-4394D2883768}">
    <text>Giá mua của trạm của tháng giữa Quý trước để báo giá cho Quý sau. Ví dụ Quý 2 lấy tháng 2.</text>
  </threadedComment>
  <threadedComment ref="Q6" dT="2024-01-23T08:19:37.55" personId="{819427A0-A4A0-410E-9465-7B547ADE07F2}" id="{D4F7757C-4CE9-4411-86A2-6EDB54EACC34}">
    <text>Mặc định tỷ lệ 30%</text>
  </threadedComment>
  <threadedComment ref="T6" dT="2024-01-23T08:19:37.55" personId="{819427A0-A4A0-410E-9465-7B547ADE07F2}" id="{5F65B232-0D8F-44F4-892B-078B22BE291B}">
    <text>Mặc định tỷ lệ 30%</text>
  </threadedComment>
  <threadedComment ref="Q7" dT="2024-01-23T08:20:24.02" personId="{819427A0-A4A0-410E-9465-7B547ADE07F2}" id="{A33459C6-BFFD-413B-B7EE-3A3F96CAC11A}">
    <text xml:space="preserve">Mỗi năm tăng 6% trong 55% của conversion cost </text>
  </threadedComment>
  <threadedComment ref="T7" dT="2024-01-23T08:20:24.02" personId="{819427A0-A4A0-410E-9465-7B547ADE07F2}" id="{F9B7A198-C918-4C03-BEE7-8BB6737C2627}">
    <text xml:space="preserve">Mỗi năm tăng 6% trong 55% của conversion cost </text>
  </threadedComment>
  <threadedComment ref="Q13" dT="2024-01-23T08:20:52.43" personId="{819427A0-A4A0-410E-9465-7B547ADE07F2}" id="{00B65C8E-3B74-4AA9-BFB8-C4955FBB8011}">
    <text>Số tiền cố định</text>
  </threadedComment>
  <threadedComment ref="T13" dT="2024-01-23T08:20:52.43" personId="{819427A0-A4A0-410E-9465-7B547ADE07F2}" id="{DB6D875F-678A-4C43-9243-049887550F8A}">
    <text>Số tiền cố định</text>
  </threadedComment>
  <threadedComment ref="Q14" dT="2024-01-23T08:21:53.58" personId="{819427A0-A4A0-410E-9465-7B547ADE07F2}" id="{442066B6-2933-4F06-B57E-6B6624B2517A}">
    <text>Số tiền cố định</text>
  </threadedComment>
  <threadedComment ref="T14" dT="2024-01-23T08:21:53.58" personId="{819427A0-A4A0-410E-9465-7B547ADE07F2}" id="{2BECFB42-FDA9-4A6C-8274-05D01E5BA4E7}">
    <text>Số tiền cố định</text>
  </threadedComment>
  <threadedComment ref="Q15" dT="2024-01-23T08:23:22.61" personId="{819427A0-A4A0-410E-9465-7B547ADE07F2}" id="{2485BA8F-1E14-4F89-8F38-186D78268B6C}">
    <text>% lãi suất cố định</text>
  </threadedComment>
  <threadedComment ref="T15" dT="2024-01-23T08:23:22.61" personId="{819427A0-A4A0-410E-9465-7B547ADE07F2}" id="{54709D88-285E-42C6-8673-5E77A006E2A1}">
    <text>% lãi suất cố định</text>
  </threadedComment>
  <threadedComment ref="Q18" dT="2024-01-23T08:22:43.76" personId="{819427A0-A4A0-410E-9465-7B547ADE07F2}" id="{055CFE2A-51BD-4DB0-8328-4AB791129CC3}">
    <text>Chú duyệt</text>
  </threadedComment>
  <threadedComment ref="T18" dT="2024-01-23T08:22:43.76" personId="{819427A0-A4A0-410E-9465-7B547ADE07F2}" id="{03C5D6AB-8DB2-44E2-8FB5-4517145F1405}">
    <text>Chú duyệt</text>
  </threadedComment>
  <threadedComment ref="U18" dT="2024-01-23T08:22:43.76" personId="{819427A0-A4A0-410E-9465-7B547ADE07F2}" id="{AD51B5CF-ED17-4A2B-80EC-6AA4AED4E80B}">
    <text>Chú duyệt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Z8" dT="2025-02-19T08:39:18.45" personId="{819427A0-A4A0-410E-9465-7B547ADE07F2}" id="{82CDE6C4-CB20-4BE4-89E2-B4921B746B50}">
    <text>HV01.1 TM 21.200
Bình HD01.1 24.000</text>
  </threadedComment>
  <threadedComment ref="AP8" dT="2024-06-04T02:14:57.98" personId="{819427A0-A4A0-410E-9465-7B547ADE07F2}" id="{E0BDDF8B-4E94-40D9-8A5A-216F28EE5108}">
    <text>HV-01.1:  21.200
HV-01.3: 24.000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../../../Users/YenTTH/OneDrive%20-%20DuyTan%20Group/00.D&#7918;%20LI&#7878;U%20T&#192;I%20CH&#205;NH%20DTR/11.B&#193;O%20C&#193;O%20GI&#193;%20MUA,%20GI&#193;%20B&#193;N,%20GI&#193;%20TH&#192;NH/GI&#193;%20MUA/2.%20GI&#193;%20MUA%20NVL%20B&#204;NH%20QU&#194;N/2024/Gia%20tri%20mua%20NVL%20T1.2024.xlsx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77E5-9A14-48C9-BF7B-7EACE1F11693}">
  <sheetPr>
    <tabColor rgb="FF92D050"/>
  </sheetPr>
  <dimension ref="A1:BF26"/>
  <sheetViews>
    <sheetView showGridLines="0" zoomScale="70" zoomScaleNormal="70" workbookViewId="0">
      <pane xSplit="1" ySplit="4" topLeftCell="B5" activePane="bottomRight" state="frozen"/>
      <selection activeCell="D27" sqref="D27"/>
      <selection pane="topRight" activeCell="D27" sqref="D27"/>
      <selection pane="bottomLeft" activeCell="D27" sqref="D27"/>
      <selection pane="bottomRight" activeCell="AT19" sqref="AT19"/>
    </sheetView>
  </sheetViews>
  <sheetFormatPr defaultColWidth="8.6328125" defaultRowHeight="22.5" outlineLevelRow="1" outlineLevelCol="1"/>
  <cols>
    <col min="1" max="1" width="4.36328125" style="1" bestFit="1" customWidth="1"/>
    <col min="2" max="2" width="26.6328125" style="1" customWidth="1"/>
    <col min="3" max="3" width="10.08984375" style="1" hidden="1" customWidth="1" outlineLevel="1"/>
    <col min="4" max="4" width="6.36328125" style="1" hidden="1" customWidth="1" outlineLevel="1"/>
    <col min="5" max="5" width="8.6328125" style="1" hidden="1" customWidth="1" outlineLevel="1"/>
    <col min="6" max="6" width="6.36328125" style="1" hidden="1" customWidth="1" outlineLevel="1"/>
    <col min="7" max="7" width="8.6328125" style="1" hidden="1" customWidth="1" outlineLevel="1"/>
    <col min="8" max="8" width="6.36328125" style="1" hidden="1" customWidth="1" outlineLevel="1"/>
    <col min="9" max="9" width="8.6328125" style="1" hidden="1" customWidth="1" outlineLevel="1"/>
    <col min="10" max="10" width="6.36328125" style="1" hidden="1" customWidth="1" outlineLevel="1"/>
    <col min="11" max="11" width="9.90625" style="1" hidden="1" customWidth="1" outlineLevel="1"/>
    <col min="12" max="12" width="6.36328125" style="1" hidden="1" customWidth="1" outlineLevel="1"/>
    <col min="13" max="13" width="9.36328125" style="1" hidden="1" customWidth="1" outlineLevel="1"/>
    <col min="14" max="14" width="6.36328125" style="1" hidden="1" customWidth="1" outlineLevel="1"/>
    <col min="15" max="15" width="13.08984375" style="1" hidden="1" customWidth="1" collapsed="1"/>
    <col min="16" max="16" width="10.453125" style="1" hidden="1" customWidth="1"/>
    <col min="17" max="17" width="16" style="1" hidden="1" customWidth="1" outlineLevel="1"/>
    <col min="18" max="18" width="16.36328125" style="1" hidden="1" customWidth="1" outlineLevel="1"/>
    <col min="19" max="19" width="0.54296875" style="1" hidden="1" customWidth="1" outlineLevel="1"/>
    <col min="20" max="21" width="15.453125" style="1" hidden="1" customWidth="1" outlineLevel="1"/>
    <col min="22" max="22" width="16.36328125" style="1" hidden="1" customWidth="1" outlineLevel="1"/>
    <col min="23" max="23" width="0.6328125" style="1" hidden="1" customWidth="1" outlineLevel="1"/>
    <col min="24" max="26" width="16.36328125" style="1" hidden="1" customWidth="1" outlineLevel="1"/>
    <col min="27" max="27" width="1.36328125" style="3" hidden="1" customWidth="1" collapsed="1"/>
    <col min="28" max="30" width="16.36328125" style="1" hidden="1" customWidth="1"/>
    <col min="31" max="31" width="1.6328125" style="1" hidden="1" customWidth="1"/>
    <col min="32" max="34" width="16.36328125" style="1" hidden="1" customWidth="1"/>
    <col min="35" max="35" width="1.6328125" style="1" hidden="1" customWidth="1"/>
    <col min="36" max="44" width="16.36328125" style="1" hidden="1" customWidth="1"/>
    <col min="45" max="47" width="16.36328125" style="1" customWidth="1"/>
    <col min="48" max="48" width="34.54296875" style="1" customWidth="1"/>
    <col min="49" max="49" width="14.6328125" style="1" hidden="1" customWidth="1" outlineLevel="1"/>
    <col min="50" max="50" width="17.36328125" style="1" hidden="1" customWidth="1" outlineLevel="1"/>
    <col min="51" max="51" width="24.54296875" style="4" hidden="1" customWidth="1" outlineLevel="1"/>
    <col min="52" max="52" width="14" style="1" hidden="1" customWidth="1" outlineLevel="1"/>
    <col min="53" max="53" width="8.36328125" style="1" hidden="1" customWidth="1" outlineLevel="1"/>
    <col min="54" max="54" width="22.453125" style="1" hidden="1" customWidth="1" outlineLevel="1"/>
    <col min="55" max="55" width="14" style="1" hidden="1" customWidth="1" outlineLevel="1"/>
    <col min="56" max="56" width="8.36328125" style="1" hidden="1" customWidth="1" outlineLevel="1"/>
    <col min="57" max="57" width="25.6328125" style="1" hidden="1" customWidth="1" outlineLevel="1"/>
    <col min="58" max="58" width="11" style="1" bestFit="1" customWidth="1" collapsed="1"/>
    <col min="59" max="16384" width="8.6328125" style="1"/>
  </cols>
  <sheetData>
    <row r="1" spans="1:57" ht="27.5" customHeight="1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Z1" s="3"/>
      <c r="BA1" s="3"/>
    </row>
    <row r="2" spans="1:57" ht="34.25" customHeight="1">
      <c r="A2" s="5"/>
      <c r="M2" s="6"/>
      <c r="N2" s="6"/>
      <c r="Q2" s="115" t="s">
        <v>1</v>
      </c>
      <c r="R2" s="116"/>
      <c r="S2" s="3"/>
      <c r="T2" s="7" t="s">
        <v>2</v>
      </c>
      <c r="U2" s="8">
        <v>24500</v>
      </c>
      <c r="W2" s="8"/>
      <c r="X2" s="8" t="s">
        <v>2</v>
      </c>
      <c r="Y2" s="8">
        <v>25000</v>
      </c>
      <c r="AB2" s="8" t="s">
        <v>2</v>
      </c>
      <c r="AC2" s="8">
        <v>25000</v>
      </c>
      <c r="AF2" s="8" t="s">
        <v>2</v>
      </c>
      <c r="AG2" s="8">
        <v>25000</v>
      </c>
      <c r="AJ2" s="8" t="s">
        <v>2</v>
      </c>
      <c r="AK2" s="8">
        <v>26000</v>
      </c>
      <c r="AL2" s="8"/>
      <c r="AM2" s="8"/>
      <c r="AN2" s="8">
        <v>25500</v>
      </c>
      <c r="AO2" s="8"/>
      <c r="AP2" s="8"/>
      <c r="AQ2" s="8">
        <v>25500</v>
      </c>
      <c r="AR2" s="8"/>
      <c r="AS2" s="8"/>
      <c r="AT2" s="8">
        <v>26000</v>
      </c>
      <c r="AU2" s="8"/>
      <c r="AV2" s="3"/>
      <c r="AW2" s="117" t="s">
        <v>3</v>
      </c>
      <c r="AX2" s="117"/>
      <c r="AY2" s="3"/>
      <c r="AZ2" s="118" t="s">
        <v>4</v>
      </c>
      <c r="BA2" s="119"/>
      <c r="BB2" s="120"/>
      <c r="BC2" s="118" t="s">
        <v>5</v>
      </c>
      <c r="BD2" s="119"/>
      <c r="BE2" s="120"/>
    </row>
    <row r="3" spans="1:57" ht="34.25" customHeight="1">
      <c r="A3" s="5"/>
      <c r="M3" s="6"/>
      <c r="N3" s="6"/>
      <c r="Q3" s="121" t="s">
        <v>6</v>
      </c>
      <c r="R3" s="121"/>
      <c r="S3" s="3"/>
      <c r="T3" s="122" t="s">
        <v>7</v>
      </c>
      <c r="U3" s="122"/>
      <c r="V3" s="122"/>
      <c r="W3" s="8"/>
      <c r="X3" s="123" t="s">
        <v>8</v>
      </c>
      <c r="Y3" s="123"/>
      <c r="Z3" s="123"/>
      <c r="AB3" s="123" t="s">
        <v>9</v>
      </c>
      <c r="AC3" s="123"/>
      <c r="AD3" s="123"/>
      <c r="AF3" s="114" t="s">
        <v>10</v>
      </c>
      <c r="AG3" s="114"/>
      <c r="AH3" s="114"/>
      <c r="AJ3" s="114" t="s">
        <v>11</v>
      </c>
      <c r="AK3" s="114"/>
      <c r="AL3" s="114"/>
      <c r="AM3" s="114" t="s">
        <v>12</v>
      </c>
      <c r="AN3" s="114"/>
      <c r="AO3" s="114"/>
      <c r="AP3" s="114" t="s">
        <v>13</v>
      </c>
      <c r="AQ3" s="114"/>
      <c r="AR3" s="114"/>
      <c r="AS3" s="114" t="s">
        <v>14</v>
      </c>
      <c r="AT3" s="114"/>
      <c r="AU3" s="114"/>
      <c r="AV3" s="3"/>
      <c r="AW3" s="9"/>
      <c r="AX3" s="9"/>
      <c r="AY3" s="3"/>
      <c r="AZ3" s="10"/>
      <c r="BA3" s="11"/>
      <c r="BB3" s="12"/>
      <c r="BC3" s="10"/>
      <c r="BD3" s="11"/>
      <c r="BE3" s="12"/>
    </row>
    <row r="4" spans="1:57" s="27" customFormat="1" ht="45">
      <c r="A4" s="13" t="s">
        <v>15</v>
      </c>
      <c r="B4" s="13" t="s">
        <v>16</v>
      </c>
      <c r="C4" s="14" t="s">
        <v>17</v>
      </c>
      <c r="D4" s="15" t="s">
        <v>18</v>
      </c>
      <c r="E4" s="16" t="s">
        <v>19</v>
      </c>
      <c r="F4" s="15" t="s">
        <v>18</v>
      </c>
      <c r="G4" s="16" t="s">
        <v>20</v>
      </c>
      <c r="H4" s="15" t="s">
        <v>18</v>
      </c>
      <c r="I4" s="13" t="s">
        <v>21</v>
      </c>
      <c r="J4" s="15" t="s">
        <v>18</v>
      </c>
      <c r="K4" s="13" t="s">
        <v>22</v>
      </c>
      <c r="L4" s="15" t="s">
        <v>18</v>
      </c>
      <c r="M4" s="17" t="s">
        <v>23</v>
      </c>
      <c r="N4" s="15" t="s">
        <v>18</v>
      </c>
      <c r="O4" s="17" t="s">
        <v>24</v>
      </c>
      <c r="P4" s="18" t="s">
        <v>25</v>
      </c>
      <c r="Q4" s="19" t="s">
        <v>26</v>
      </c>
      <c r="R4" s="20" t="s">
        <v>25</v>
      </c>
      <c r="S4" s="3"/>
      <c r="T4" s="21" t="s">
        <v>27</v>
      </c>
      <c r="U4" s="21" t="s">
        <v>28</v>
      </c>
      <c r="V4" s="22" t="s">
        <v>25</v>
      </c>
      <c r="W4" s="8"/>
      <c r="X4" s="23" t="s">
        <v>29</v>
      </c>
      <c r="Y4" s="23" t="s">
        <v>30</v>
      </c>
      <c r="Z4" s="20" t="s">
        <v>25</v>
      </c>
      <c r="AA4" s="3"/>
      <c r="AB4" s="23" t="s">
        <v>29</v>
      </c>
      <c r="AC4" s="23" t="s">
        <v>30</v>
      </c>
      <c r="AD4" s="20" t="s">
        <v>25</v>
      </c>
      <c r="AE4" s="1"/>
      <c r="AF4" s="24" t="s">
        <v>29</v>
      </c>
      <c r="AG4" s="24" t="s">
        <v>30</v>
      </c>
      <c r="AH4" s="24" t="s">
        <v>25</v>
      </c>
      <c r="AI4" s="1"/>
      <c r="AJ4" s="24" t="s">
        <v>29</v>
      </c>
      <c r="AK4" s="24" t="s">
        <v>30</v>
      </c>
      <c r="AL4" s="24" t="s">
        <v>25</v>
      </c>
      <c r="AM4" s="24" t="s">
        <v>29</v>
      </c>
      <c r="AN4" s="24" t="s">
        <v>30</v>
      </c>
      <c r="AO4" s="24" t="s">
        <v>25</v>
      </c>
      <c r="AP4" s="24" t="s">
        <v>29</v>
      </c>
      <c r="AQ4" s="24" t="s">
        <v>30</v>
      </c>
      <c r="AR4" s="24" t="s">
        <v>25</v>
      </c>
      <c r="AS4" s="24" t="s">
        <v>29</v>
      </c>
      <c r="AT4" s="24" t="s">
        <v>30</v>
      </c>
      <c r="AU4" s="24" t="s">
        <v>25</v>
      </c>
      <c r="AV4" s="25" t="s">
        <v>31</v>
      </c>
      <c r="AW4" s="17" t="s">
        <v>26</v>
      </c>
      <c r="AX4" s="18" t="s">
        <v>25</v>
      </c>
      <c r="AY4" s="25" t="s">
        <v>31</v>
      </c>
      <c r="AZ4" s="26" t="s">
        <v>32</v>
      </c>
      <c r="BA4" s="26" t="s">
        <v>33</v>
      </c>
      <c r="BB4" s="26" t="s">
        <v>31</v>
      </c>
      <c r="BC4" s="26" t="s">
        <v>32</v>
      </c>
      <c r="BD4" s="26" t="s">
        <v>33</v>
      </c>
      <c r="BE4" s="26" t="s">
        <v>31</v>
      </c>
    </row>
    <row r="5" spans="1:57" ht="43.25" customHeight="1">
      <c r="A5" s="13">
        <v>1</v>
      </c>
      <c r="B5" s="28" t="s">
        <v>34</v>
      </c>
      <c r="C5" s="29">
        <v>12000</v>
      </c>
      <c r="D5" s="30">
        <f>C5/C$16</f>
        <v>0.42506464524813148</v>
      </c>
      <c r="E5" s="29">
        <v>18000</v>
      </c>
      <c r="F5" s="30">
        <f>E5/E$16</f>
        <v>0.5014765699002619</v>
      </c>
      <c r="G5" s="29">
        <v>17709.211012116615</v>
      </c>
      <c r="H5" s="30">
        <f>G5/G$16</f>
        <v>0.49862664204772916</v>
      </c>
      <c r="I5" s="29">
        <v>17094</v>
      </c>
      <c r="J5" s="30">
        <f>I5/I$16</f>
        <v>0.49239260057264334</v>
      </c>
      <c r="K5" s="29">
        <v>18000</v>
      </c>
      <c r="L5" s="30">
        <f>K5/K$16</f>
        <v>0.5014765699002619</v>
      </c>
      <c r="M5" s="31">
        <v>17000</v>
      </c>
      <c r="N5" s="32">
        <f>M5/$M$16</f>
        <v>0.4878372232198121</v>
      </c>
      <c r="O5" s="31">
        <v>15150</v>
      </c>
      <c r="P5" s="32">
        <f>O5/$O$16</f>
        <v>0.46723131511130517</v>
      </c>
      <c r="Q5" s="33">
        <v>16500</v>
      </c>
      <c r="R5" s="34">
        <f t="shared" ref="R5:R16" si="0">Q5/$Q$16</f>
        <v>0.47873334005558765</v>
      </c>
      <c r="S5" s="3"/>
      <c r="T5" s="33">
        <v>16500</v>
      </c>
      <c r="U5" s="35">
        <f t="shared" ref="U5:U16" si="1">ROUND((T5/$U$2)*1000,0)</f>
        <v>673</v>
      </c>
      <c r="V5" s="34">
        <f>T5/$T$16</f>
        <v>0.47872914530116223</v>
      </c>
      <c r="W5" s="8"/>
      <c r="X5" s="36">
        <v>16500</v>
      </c>
      <c r="Y5" s="37">
        <f t="shared" ref="Y5:Y16" si="2">ROUND((X5/$Y$2)*1000,0)</f>
        <v>660</v>
      </c>
      <c r="Z5" s="32">
        <f>X5/$T$16</f>
        <v>0.47872914530116223</v>
      </c>
      <c r="AB5" s="36">
        <v>16500</v>
      </c>
      <c r="AC5" s="37">
        <f t="shared" ref="AC5:AC16" si="3">ROUND((AB5/$Y$2)*1000,0)</f>
        <v>660</v>
      </c>
      <c r="AD5" s="32">
        <f>AB5/$T$16</f>
        <v>0.47872914530116223</v>
      </c>
      <c r="AF5" s="36">
        <v>16500</v>
      </c>
      <c r="AG5" s="37">
        <f t="shared" ref="AG5:AG16" si="4">ROUND((AF5/$Y$2)*1000,0)</f>
        <v>660</v>
      </c>
      <c r="AH5" s="32">
        <f>AF5/$T$16</f>
        <v>0.47872914530116223</v>
      </c>
      <c r="AJ5" s="31">
        <v>16800</v>
      </c>
      <c r="AK5" s="37">
        <f>ROUND((AJ5/$AK$2)*1000,0)</f>
        <v>646</v>
      </c>
      <c r="AL5" s="32">
        <f>AJ5/$T$16</f>
        <v>0.48743331157936515</v>
      </c>
      <c r="AM5" s="31">
        <v>18140</v>
      </c>
      <c r="AN5" s="38">
        <f>ROUND((AM5/$AN$2)*1000,0)</f>
        <v>711</v>
      </c>
      <c r="AO5" s="32">
        <f>AM5/$T$16</f>
        <v>0.5263119209553383</v>
      </c>
      <c r="AP5" s="31">
        <v>18140</v>
      </c>
      <c r="AQ5" s="38">
        <f>ROUND((AP5/$AQ$2)*1000,0)</f>
        <v>711</v>
      </c>
      <c r="AR5" s="32">
        <f>AP5/$T$16</f>
        <v>0.5263119209553383</v>
      </c>
      <c r="AS5" s="31">
        <v>15000</v>
      </c>
      <c r="AT5" s="38">
        <f>ROUND((AS5/$AT$2)*1000,0)</f>
        <v>577</v>
      </c>
      <c r="AU5" s="32">
        <f>AS5/$T$16</f>
        <v>0.43520831391014747</v>
      </c>
      <c r="AV5" s="32"/>
      <c r="AW5" s="36">
        <v>16500</v>
      </c>
      <c r="AX5" s="32">
        <f t="shared" ref="AX5:AX16" si="5">AW5/$Q$16</f>
        <v>0.47873334005558765</v>
      </c>
      <c r="AY5" s="39"/>
      <c r="AZ5" s="31">
        <v>15000</v>
      </c>
      <c r="BA5" s="40">
        <f>AZ5/$AZ$16</f>
        <v>0.51806994351497426</v>
      </c>
      <c r="BB5" s="41" t="s">
        <v>35</v>
      </c>
      <c r="BC5" s="31">
        <v>16500</v>
      </c>
      <c r="BD5" s="40">
        <f>BC5/$BC$16</f>
        <v>0.53915437373612574</v>
      </c>
      <c r="BE5" s="41" t="s">
        <v>36</v>
      </c>
    </row>
    <row r="6" spans="1:57" ht="45">
      <c r="A6" s="13">
        <v>2</v>
      </c>
      <c r="B6" s="28" t="s">
        <v>37</v>
      </c>
      <c r="C6" s="29">
        <v>3600</v>
      </c>
      <c r="D6" s="30">
        <f>C6/C$16</f>
        <v>0.12751939357443945</v>
      </c>
      <c r="E6" s="29">
        <v>5400</v>
      </c>
      <c r="F6" s="30">
        <f>E6/E$16</f>
        <v>0.15044297097007855</v>
      </c>
      <c r="G6" s="29">
        <v>5312.7633036349844</v>
      </c>
      <c r="H6" s="30">
        <f>G6/G$16</f>
        <v>0.14958799261431874</v>
      </c>
      <c r="I6" s="29">
        <v>5128.2</v>
      </c>
      <c r="J6" s="30">
        <f>I6/I$16</f>
        <v>0.14771778017179299</v>
      </c>
      <c r="K6" s="29">
        <v>5400</v>
      </c>
      <c r="L6" s="30">
        <f>K6/K$16</f>
        <v>0.15044297097007855</v>
      </c>
      <c r="M6" s="31">
        <f>M5*30%</f>
        <v>5100</v>
      </c>
      <c r="N6" s="32">
        <f>M6/$M$16</f>
        <v>0.14635116696594364</v>
      </c>
      <c r="O6" s="31">
        <f>O5*30%</f>
        <v>4545</v>
      </c>
      <c r="P6" s="32">
        <f>O6/$O$16</f>
        <v>0.14016939453339156</v>
      </c>
      <c r="Q6" s="31">
        <f>Q5*30%</f>
        <v>4950</v>
      </c>
      <c r="R6" s="32">
        <f t="shared" si="0"/>
        <v>0.1436200020166763</v>
      </c>
      <c r="S6" s="3"/>
      <c r="T6" s="31">
        <f>T5*30%</f>
        <v>4950</v>
      </c>
      <c r="U6" s="37">
        <f t="shared" si="1"/>
        <v>202</v>
      </c>
      <c r="V6" s="32">
        <f>T6/$T$16</f>
        <v>0.14361874359034865</v>
      </c>
      <c r="W6" s="8"/>
      <c r="X6" s="31">
        <f>X5*30%</f>
        <v>4950</v>
      </c>
      <c r="Y6" s="37">
        <f t="shared" si="2"/>
        <v>198</v>
      </c>
      <c r="Z6" s="32">
        <f>X6/$T$16</f>
        <v>0.14361874359034865</v>
      </c>
      <c r="AB6" s="31">
        <f>AB5*30%</f>
        <v>4950</v>
      </c>
      <c r="AC6" s="37">
        <f t="shared" si="3"/>
        <v>198</v>
      </c>
      <c r="AD6" s="32">
        <f>AB6/$T$16</f>
        <v>0.14361874359034865</v>
      </c>
      <c r="AF6" s="31">
        <f>AF5*30%</f>
        <v>4950</v>
      </c>
      <c r="AG6" s="37">
        <f t="shared" si="4"/>
        <v>198</v>
      </c>
      <c r="AH6" s="32">
        <f>AF6/$T$16</f>
        <v>0.14361874359034865</v>
      </c>
      <c r="AJ6" s="31">
        <f>AJ5*30%</f>
        <v>5040</v>
      </c>
      <c r="AK6" s="37">
        <f t="shared" ref="AK6:AK16" si="6">ROUND((AJ6/$AK$2)*1000,0)</f>
        <v>194</v>
      </c>
      <c r="AL6" s="32">
        <f>AJ6/$T$16</f>
        <v>0.14622999347380955</v>
      </c>
      <c r="AM6" s="31">
        <f>AM5*30%</f>
        <v>5442</v>
      </c>
      <c r="AN6" s="38">
        <f t="shared" ref="AN6:AN16" si="7">ROUND((AM6/$AN$2)*1000,0)</f>
        <v>213</v>
      </c>
      <c r="AO6" s="32">
        <f>AM6/$T$16</f>
        <v>0.1578935762866015</v>
      </c>
      <c r="AP6" s="31">
        <f>AP5*30%</f>
        <v>5442</v>
      </c>
      <c r="AQ6" s="38">
        <f t="shared" ref="AQ6:AQ16" si="8">ROUND((AP6/$AQ$2)*1000,0)</f>
        <v>213</v>
      </c>
      <c r="AR6" s="32">
        <f>AP6/$T$16</f>
        <v>0.1578935762866015</v>
      </c>
      <c r="AS6" s="31">
        <f>AS5*30%</f>
        <v>4500</v>
      </c>
      <c r="AT6" s="38">
        <f t="shared" ref="AT6:AT16" si="9">ROUND((AS6/$AT$2)*1000,0)</f>
        <v>173</v>
      </c>
      <c r="AU6" s="32">
        <f>AS6/$T$16</f>
        <v>0.13056249417304425</v>
      </c>
      <c r="AV6" s="39" t="s">
        <v>38</v>
      </c>
      <c r="AW6" s="31">
        <f>AW5*30%</f>
        <v>4950</v>
      </c>
      <c r="AX6" s="32">
        <f t="shared" si="5"/>
        <v>0.1436200020166763</v>
      </c>
      <c r="AY6" s="39" t="s">
        <v>38</v>
      </c>
      <c r="AZ6" s="31">
        <v>2714.5329605366533</v>
      </c>
      <c r="BA6" s="42">
        <f>AZ6/$AZ$16</f>
        <v>9.3754529168983983E-2</v>
      </c>
      <c r="BB6" s="41" t="s">
        <v>39</v>
      </c>
      <c r="BC6" s="31">
        <v>2628.0397527139767</v>
      </c>
      <c r="BD6" s="42">
        <f>BC6/$BC$16</f>
        <v>8.5873886486554363E-2</v>
      </c>
      <c r="BE6" s="41" t="s">
        <v>39</v>
      </c>
    </row>
    <row r="7" spans="1:57" ht="33.5" customHeight="1">
      <c r="A7" s="13">
        <v>3</v>
      </c>
      <c r="B7" s="28" t="s">
        <v>40</v>
      </c>
      <c r="C7" s="29">
        <v>9793</v>
      </c>
      <c r="D7" s="30">
        <f>C7/C$16</f>
        <v>0.34688817257624599</v>
      </c>
      <c r="E7" s="29">
        <v>8900</v>
      </c>
      <c r="F7" s="30">
        <f>E7/E$16</f>
        <v>0.2479523040062406</v>
      </c>
      <c r="G7" s="29">
        <v>8900</v>
      </c>
      <c r="H7" s="30">
        <f>G7/G$16</f>
        <v>0.25059146402335314</v>
      </c>
      <c r="I7" s="29">
        <v>8900</v>
      </c>
      <c r="J7" s="30">
        <f>I7/I$16</f>
        <v>0.25636446385261064</v>
      </c>
      <c r="K7" s="29">
        <v>8900</v>
      </c>
      <c r="L7" s="30">
        <f>K7/K$16</f>
        <v>0.2479523040062406</v>
      </c>
      <c r="M7" s="31">
        <f>8900</f>
        <v>8900</v>
      </c>
      <c r="N7" s="32">
        <f>M7/$M$16</f>
        <v>0.25539713450919577</v>
      </c>
      <c r="O7" s="31">
        <f>8900</f>
        <v>8900</v>
      </c>
      <c r="P7" s="32">
        <f>O7/$O$16</f>
        <v>0.27447912240862155</v>
      </c>
      <c r="Q7" s="31">
        <f>O7*55%*106%+O7*45%</f>
        <v>9193.7000000000007</v>
      </c>
      <c r="R7" s="32">
        <f t="shared" si="0"/>
        <v>0.26674731566479132</v>
      </c>
      <c r="S7" s="3"/>
      <c r="T7" s="31">
        <v>9194</v>
      </c>
      <c r="U7" s="37">
        <f t="shared" si="1"/>
        <v>375</v>
      </c>
      <c r="V7" s="32">
        <f>T7/$T$16</f>
        <v>0.26675368253932641</v>
      </c>
      <c r="W7" s="8"/>
      <c r="X7" s="31">
        <v>9194</v>
      </c>
      <c r="Y7" s="37">
        <f t="shared" si="2"/>
        <v>368</v>
      </c>
      <c r="Z7" s="32">
        <f>X7/$T$16</f>
        <v>0.26675368253932641</v>
      </c>
      <c r="AB7" s="43">
        <v>9194</v>
      </c>
      <c r="AC7" s="37">
        <f t="shared" si="3"/>
        <v>368</v>
      </c>
      <c r="AD7" s="32">
        <f>AB7/$T$16</f>
        <v>0.26675368253932641</v>
      </c>
      <c r="AF7" s="44">
        <f>+AB7*55%*103.63%+AB7*45%</f>
        <v>9377.5582100000011</v>
      </c>
      <c r="AG7" s="37">
        <f t="shared" si="4"/>
        <v>375</v>
      </c>
      <c r="AH7" s="32">
        <f>AF7/$T$16</f>
        <v>0.27207941981122408</v>
      </c>
      <c r="AJ7" s="31">
        <f>+X7*55%*103.63%+X7*45%</f>
        <v>9377.5582100000011</v>
      </c>
      <c r="AK7" s="37">
        <f t="shared" si="6"/>
        <v>361</v>
      </c>
      <c r="AL7" s="32">
        <f>AJ7/$T$16</f>
        <v>0.27207941981122408</v>
      </c>
      <c r="AM7" s="31">
        <f>+AJ7</f>
        <v>9377.5582100000011</v>
      </c>
      <c r="AN7" s="38">
        <f t="shared" si="7"/>
        <v>368</v>
      </c>
      <c r="AO7" s="32">
        <f>AM7/$T$16</f>
        <v>0.27207941981122408</v>
      </c>
      <c r="AP7" s="31">
        <f>+AM7</f>
        <v>9377.5582100000011</v>
      </c>
      <c r="AQ7" s="38">
        <f t="shared" si="8"/>
        <v>368</v>
      </c>
      <c r="AR7" s="32">
        <f>AP7/$T$16</f>
        <v>0.27207941981122408</v>
      </c>
      <c r="AS7" s="31">
        <f>+AP7*55%*103.27%+AP7*45%</f>
        <v>9546.2135944068505</v>
      </c>
      <c r="AT7" s="38">
        <f t="shared" si="9"/>
        <v>367</v>
      </c>
      <c r="AU7" s="32">
        <f>AS7/$T$16</f>
        <v>0.27697276817652894</v>
      </c>
      <c r="AV7" s="45" t="s">
        <v>41</v>
      </c>
      <c r="AW7" s="31">
        <f>AZ7</f>
        <v>11239.086502945001</v>
      </c>
      <c r="AX7" s="32">
        <f t="shared" si="5"/>
        <v>0.32609244974112334</v>
      </c>
      <c r="AY7" s="46" t="s">
        <v>42</v>
      </c>
      <c r="AZ7" s="31">
        <v>11239.086502945001</v>
      </c>
      <c r="BA7" s="40">
        <f>AZ7/$AZ$16</f>
        <v>0.38817552731604171</v>
      </c>
      <c r="BB7" s="40">
        <f>BA7/$O$16</f>
        <v>1.1971469446990004E-5</v>
      </c>
      <c r="BC7" s="31">
        <f>SUM(BC8:BC12)</f>
        <v>11475.440073780892</v>
      </c>
      <c r="BD7" s="40">
        <f>BC7/$BC$16</f>
        <v>0.37497173977731985</v>
      </c>
      <c r="BE7" s="40">
        <f>BD7/$O$16</f>
        <v>1.1564260006978961E-5</v>
      </c>
    </row>
    <row r="8" spans="1:57" hidden="1" outlineLevel="1">
      <c r="A8" s="13"/>
      <c r="B8" s="28" t="s">
        <v>43</v>
      </c>
      <c r="C8" s="29"/>
      <c r="D8" s="30"/>
      <c r="E8" s="29"/>
      <c r="F8" s="30"/>
      <c r="G8" s="29"/>
      <c r="H8" s="30"/>
      <c r="I8" s="29"/>
      <c r="J8" s="30"/>
      <c r="K8" s="29"/>
      <c r="L8" s="30"/>
      <c r="M8" s="31"/>
      <c r="N8" s="31"/>
      <c r="O8" s="31"/>
      <c r="P8" s="31"/>
      <c r="Q8" s="31"/>
      <c r="R8" s="32">
        <f t="shared" si="0"/>
        <v>0</v>
      </c>
      <c r="S8" s="3"/>
      <c r="T8" s="31"/>
      <c r="U8" s="37">
        <f t="shared" si="1"/>
        <v>0</v>
      </c>
      <c r="V8" s="32">
        <f>T8/$Q$16</f>
        <v>0</v>
      </c>
      <c r="W8" s="8"/>
      <c r="X8" s="31"/>
      <c r="Y8" s="37">
        <f t="shared" si="2"/>
        <v>0</v>
      </c>
      <c r="Z8" s="32">
        <f>X8/$Q$16</f>
        <v>0</v>
      </c>
      <c r="AB8" s="31"/>
      <c r="AC8" s="37">
        <f t="shared" si="3"/>
        <v>0</v>
      </c>
      <c r="AD8" s="32">
        <f>AB8/$Q$16</f>
        <v>0</v>
      </c>
      <c r="AF8" s="31"/>
      <c r="AG8" s="37">
        <f t="shared" si="4"/>
        <v>0</v>
      </c>
      <c r="AH8" s="32">
        <f>AF8/$Q$16</f>
        <v>0</v>
      </c>
      <c r="AJ8" s="31"/>
      <c r="AK8" s="37">
        <f t="shared" si="6"/>
        <v>0</v>
      </c>
      <c r="AL8" s="32">
        <f>AJ8/$Q$16</f>
        <v>0</v>
      </c>
      <c r="AM8" s="31"/>
      <c r="AN8" s="38">
        <f t="shared" si="7"/>
        <v>0</v>
      </c>
      <c r="AO8" s="32">
        <f>AM8/$Q$16</f>
        <v>0</v>
      </c>
      <c r="AP8" s="31"/>
      <c r="AQ8" s="38">
        <f t="shared" si="8"/>
        <v>0</v>
      </c>
      <c r="AR8" s="32">
        <f>AP8/$Q$16</f>
        <v>0</v>
      </c>
      <c r="AS8" s="31"/>
      <c r="AT8" s="38">
        <f t="shared" si="9"/>
        <v>0</v>
      </c>
      <c r="AU8" s="32">
        <f>AS8/$Q$16</f>
        <v>0</v>
      </c>
      <c r="AV8" s="47"/>
      <c r="AW8" s="31"/>
      <c r="AX8" s="32">
        <f t="shared" si="5"/>
        <v>0</v>
      </c>
      <c r="AY8" s="47"/>
      <c r="AZ8" s="48">
        <v>2011.1412459089279</v>
      </c>
      <c r="BA8" s="40"/>
      <c r="BB8" s="40"/>
      <c r="BC8" s="48">
        <f>AZ8</f>
        <v>2011.1412459089279</v>
      </c>
      <c r="BD8" s="40"/>
      <c r="BE8" s="40"/>
    </row>
    <row r="9" spans="1:57" hidden="1" outlineLevel="1">
      <c r="A9" s="13"/>
      <c r="B9" s="28" t="s">
        <v>44</v>
      </c>
      <c r="C9" s="29"/>
      <c r="D9" s="30"/>
      <c r="E9" s="29"/>
      <c r="F9" s="30"/>
      <c r="G9" s="29"/>
      <c r="H9" s="30"/>
      <c r="I9" s="29"/>
      <c r="J9" s="30"/>
      <c r="K9" s="29"/>
      <c r="L9" s="30"/>
      <c r="M9" s="31"/>
      <c r="N9" s="31"/>
      <c r="O9" s="31"/>
      <c r="P9" s="31"/>
      <c r="Q9" s="31"/>
      <c r="R9" s="32">
        <f t="shared" si="0"/>
        <v>0</v>
      </c>
      <c r="S9" s="3"/>
      <c r="T9" s="31"/>
      <c r="U9" s="37">
        <f t="shared" si="1"/>
        <v>0</v>
      </c>
      <c r="V9" s="32">
        <f>T9/$Q$16</f>
        <v>0</v>
      </c>
      <c r="W9" s="8"/>
      <c r="X9" s="31"/>
      <c r="Y9" s="37">
        <f t="shared" si="2"/>
        <v>0</v>
      </c>
      <c r="Z9" s="32">
        <f>X9/$Q$16</f>
        <v>0</v>
      </c>
      <c r="AB9" s="31"/>
      <c r="AC9" s="37">
        <f t="shared" si="3"/>
        <v>0</v>
      </c>
      <c r="AD9" s="32">
        <f>AB9/$Q$16</f>
        <v>0</v>
      </c>
      <c r="AF9" s="31"/>
      <c r="AG9" s="37">
        <f t="shared" si="4"/>
        <v>0</v>
      </c>
      <c r="AH9" s="32">
        <f>AF9/$Q$16</f>
        <v>0</v>
      </c>
      <c r="AJ9" s="31"/>
      <c r="AK9" s="37">
        <f t="shared" si="6"/>
        <v>0</v>
      </c>
      <c r="AL9" s="32">
        <f>AJ9/$Q$16</f>
        <v>0</v>
      </c>
      <c r="AM9" s="31"/>
      <c r="AN9" s="38">
        <f t="shared" si="7"/>
        <v>0</v>
      </c>
      <c r="AO9" s="32">
        <f>AM9/$Q$16</f>
        <v>0</v>
      </c>
      <c r="AP9" s="31"/>
      <c r="AQ9" s="38">
        <f t="shared" si="8"/>
        <v>0</v>
      </c>
      <c r="AR9" s="32">
        <f>AP9/$Q$16</f>
        <v>0</v>
      </c>
      <c r="AS9" s="31"/>
      <c r="AT9" s="38">
        <f t="shared" si="9"/>
        <v>0</v>
      </c>
      <c r="AU9" s="32">
        <f>AS9/$Q$16</f>
        <v>0</v>
      </c>
      <c r="AV9" s="47"/>
      <c r="AW9" s="31"/>
      <c r="AX9" s="32">
        <f t="shared" si="5"/>
        <v>0</v>
      </c>
      <c r="AY9" s="47"/>
      <c r="AZ9" s="48">
        <v>2686</v>
      </c>
      <c r="BA9" s="40"/>
      <c r="BB9" s="40"/>
      <c r="BC9" s="48">
        <f>AZ9</f>
        <v>2686</v>
      </c>
      <c r="BD9" s="40"/>
      <c r="BE9" s="40"/>
    </row>
    <row r="10" spans="1:57" hidden="1" outlineLevel="1">
      <c r="A10" s="13"/>
      <c r="B10" s="28" t="s">
        <v>45</v>
      </c>
      <c r="C10" s="29"/>
      <c r="D10" s="30"/>
      <c r="E10" s="29"/>
      <c r="F10" s="30"/>
      <c r="G10" s="29"/>
      <c r="H10" s="30"/>
      <c r="I10" s="29"/>
      <c r="J10" s="30"/>
      <c r="K10" s="29"/>
      <c r="L10" s="30"/>
      <c r="M10" s="31"/>
      <c r="N10" s="31"/>
      <c r="O10" s="31"/>
      <c r="P10" s="31"/>
      <c r="Q10" s="31"/>
      <c r="R10" s="32">
        <f t="shared" si="0"/>
        <v>0</v>
      </c>
      <c r="S10" s="3"/>
      <c r="T10" s="31"/>
      <c r="U10" s="37">
        <f t="shared" si="1"/>
        <v>0</v>
      </c>
      <c r="V10" s="32">
        <f>T10/$Q$16</f>
        <v>0</v>
      </c>
      <c r="W10" s="8"/>
      <c r="X10" s="31"/>
      <c r="Y10" s="37">
        <f t="shared" si="2"/>
        <v>0</v>
      </c>
      <c r="Z10" s="32">
        <f>X10/$Q$16</f>
        <v>0</v>
      </c>
      <c r="AB10" s="31"/>
      <c r="AC10" s="37">
        <f t="shared" si="3"/>
        <v>0</v>
      </c>
      <c r="AD10" s="32">
        <f>AB10/$Q$16</f>
        <v>0</v>
      </c>
      <c r="AF10" s="31"/>
      <c r="AG10" s="37">
        <f t="shared" si="4"/>
        <v>0</v>
      </c>
      <c r="AH10" s="32">
        <f>AF10/$Q$16</f>
        <v>0</v>
      </c>
      <c r="AJ10" s="31"/>
      <c r="AK10" s="37">
        <f t="shared" si="6"/>
        <v>0</v>
      </c>
      <c r="AL10" s="32">
        <f>AJ10/$Q$16</f>
        <v>0</v>
      </c>
      <c r="AM10" s="31"/>
      <c r="AN10" s="38">
        <f t="shared" si="7"/>
        <v>0</v>
      </c>
      <c r="AO10" s="32">
        <f>AM10/$Q$16</f>
        <v>0</v>
      </c>
      <c r="AP10" s="31"/>
      <c r="AQ10" s="38">
        <f t="shared" si="8"/>
        <v>0</v>
      </c>
      <c r="AR10" s="32">
        <f>AP10/$Q$16</f>
        <v>0</v>
      </c>
      <c r="AS10" s="31"/>
      <c r="AT10" s="38">
        <f t="shared" si="9"/>
        <v>0</v>
      </c>
      <c r="AU10" s="32">
        <f>AS10/$Q$16</f>
        <v>0</v>
      </c>
      <c r="AV10" s="47"/>
      <c r="AW10" s="31"/>
      <c r="AX10" s="32">
        <f t="shared" si="5"/>
        <v>0</v>
      </c>
      <c r="AY10" s="47"/>
      <c r="AZ10" s="48">
        <v>2262</v>
      </c>
      <c r="BA10" s="40"/>
      <c r="BB10" s="40"/>
      <c r="BC10" s="48">
        <f>AZ10</f>
        <v>2262</v>
      </c>
      <c r="BD10" s="40"/>
      <c r="BE10" s="40"/>
    </row>
    <row r="11" spans="1:57" hidden="1" outlineLevel="1">
      <c r="A11" s="13"/>
      <c r="B11" s="28" t="s">
        <v>46</v>
      </c>
      <c r="C11" s="29"/>
      <c r="D11" s="30"/>
      <c r="E11" s="29"/>
      <c r="F11" s="30"/>
      <c r="G11" s="29"/>
      <c r="H11" s="30"/>
      <c r="I11" s="29"/>
      <c r="J11" s="30"/>
      <c r="K11" s="29"/>
      <c r="L11" s="30"/>
      <c r="M11" s="31"/>
      <c r="N11" s="31"/>
      <c r="O11" s="31"/>
      <c r="P11" s="31"/>
      <c r="Q11" s="31"/>
      <c r="R11" s="32">
        <f t="shared" si="0"/>
        <v>0</v>
      </c>
      <c r="S11" s="3"/>
      <c r="T11" s="31"/>
      <c r="U11" s="37">
        <f t="shared" si="1"/>
        <v>0</v>
      </c>
      <c r="V11" s="32">
        <f>T11/$Q$16</f>
        <v>0</v>
      </c>
      <c r="W11" s="8"/>
      <c r="X11" s="31"/>
      <c r="Y11" s="37">
        <f t="shared" si="2"/>
        <v>0</v>
      </c>
      <c r="Z11" s="32">
        <f>X11/$Q$16</f>
        <v>0</v>
      </c>
      <c r="AB11" s="31"/>
      <c r="AC11" s="37">
        <f t="shared" si="3"/>
        <v>0</v>
      </c>
      <c r="AD11" s="32">
        <f>AB11/$Q$16</f>
        <v>0</v>
      </c>
      <c r="AF11" s="31"/>
      <c r="AG11" s="37">
        <f t="shared" si="4"/>
        <v>0</v>
      </c>
      <c r="AH11" s="32">
        <f>AF11/$Q$16</f>
        <v>0</v>
      </c>
      <c r="AJ11" s="31"/>
      <c r="AK11" s="37">
        <f t="shared" si="6"/>
        <v>0</v>
      </c>
      <c r="AL11" s="32">
        <f>AJ11/$Q$16</f>
        <v>0</v>
      </c>
      <c r="AM11" s="31"/>
      <c r="AN11" s="38">
        <f t="shared" si="7"/>
        <v>0</v>
      </c>
      <c r="AO11" s="32">
        <f>AM11/$Q$16</f>
        <v>0</v>
      </c>
      <c r="AP11" s="31"/>
      <c r="AQ11" s="38">
        <f t="shared" si="8"/>
        <v>0</v>
      </c>
      <c r="AR11" s="32">
        <f>AP11/$Q$16</f>
        <v>0</v>
      </c>
      <c r="AS11" s="31"/>
      <c r="AT11" s="38">
        <f t="shared" si="9"/>
        <v>0</v>
      </c>
      <c r="AU11" s="32">
        <f>AS11/$Q$16</f>
        <v>0</v>
      </c>
      <c r="AV11" s="47"/>
      <c r="AW11" s="31"/>
      <c r="AX11" s="32">
        <f t="shared" si="5"/>
        <v>0</v>
      </c>
      <c r="AY11" s="47"/>
      <c r="AZ11" s="48">
        <v>2360.9563338281596</v>
      </c>
      <c r="BA11" s="40"/>
      <c r="BB11" s="40"/>
      <c r="BC11" s="48">
        <f>AZ11</f>
        <v>2360.9563338281596</v>
      </c>
      <c r="BD11" s="40"/>
      <c r="BE11" s="40"/>
    </row>
    <row r="12" spans="1:57" ht="30" hidden="1" outlineLevel="1">
      <c r="A12" s="13"/>
      <c r="B12" s="28" t="s">
        <v>47</v>
      </c>
      <c r="C12" s="29"/>
      <c r="D12" s="30"/>
      <c r="E12" s="29"/>
      <c r="F12" s="30"/>
      <c r="G12" s="29"/>
      <c r="H12" s="30"/>
      <c r="I12" s="29"/>
      <c r="J12" s="30"/>
      <c r="K12" s="29"/>
      <c r="L12" s="30"/>
      <c r="M12" s="31"/>
      <c r="N12" s="31"/>
      <c r="O12" s="31"/>
      <c r="P12" s="31"/>
      <c r="Q12" s="31"/>
      <c r="R12" s="32">
        <f t="shared" si="0"/>
        <v>0</v>
      </c>
      <c r="S12" s="3"/>
      <c r="T12" s="31"/>
      <c r="U12" s="37">
        <f t="shared" si="1"/>
        <v>0</v>
      </c>
      <c r="V12" s="32">
        <f>T12/$Q$16</f>
        <v>0</v>
      </c>
      <c r="W12" s="8"/>
      <c r="X12" s="31"/>
      <c r="Y12" s="37">
        <f t="shared" si="2"/>
        <v>0</v>
      </c>
      <c r="Z12" s="32">
        <f>X12/$Q$16</f>
        <v>0</v>
      </c>
      <c r="AB12" s="31"/>
      <c r="AC12" s="37">
        <f t="shared" si="3"/>
        <v>0</v>
      </c>
      <c r="AD12" s="32">
        <f>AB12/$Q$16</f>
        <v>0</v>
      </c>
      <c r="AF12" s="31"/>
      <c r="AG12" s="37">
        <f t="shared" si="4"/>
        <v>0</v>
      </c>
      <c r="AH12" s="32">
        <f>AF12/$Q$16</f>
        <v>0</v>
      </c>
      <c r="AJ12" s="31"/>
      <c r="AK12" s="37">
        <f t="shared" si="6"/>
        <v>0</v>
      </c>
      <c r="AL12" s="32">
        <f>AJ12/$Q$16</f>
        <v>0</v>
      </c>
      <c r="AM12" s="31"/>
      <c r="AN12" s="38">
        <f t="shared" si="7"/>
        <v>0</v>
      </c>
      <c r="AO12" s="32">
        <f>AM12/$Q$16</f>
        <v>0</v>
      </c>
      <c r="AP12" s="31"/>
      <c r="AQ12" s="38">
        <f t="shared" si="8"/>
        <v>0</v>
      </c>
      <c r="AR12" s="32">
        <f>AP12/$Q$16</f>
        <v>0</v>
      </c>
      <c r="AS12" s="31"/>
      <c r="AT12" s="38">
        <f t="shared" si="9"/>
        <v>0</v>
      </c>
      <c r="AU12" s="32">
        <f>AS12/$Q$16</f>
        <v>0</v>
      </c>
      <c r="AV12" s="47"/>
      <c r="AW12" s="31"/>
      <c r="AX12" s="32">
        <f t="shared" si="5"/>
        <v>0</v>
      </c>
      <c r="AY12" s="47"/>
      <c r="AZ12" s="48">
        <v>2155.3424940438035</v>
      </c>
      <c r="BA12" s="40"/>
      <c r="BB12" s="40"/>
      <c r="BC12" s="48">
        <f>AZ12</f>
        <v>2155.3424940438035</v>
      </c>
      <c r="BD12" s="40"/>
      <c r="BE12" s="40"/>
    </row>
    <row r="13" spans="1:57" ht="44.75" customHeight="1" collapsed="1">
      <c r="A13" s="13">
        <v>4</v>
      </c>
      <c r="B13" s="28" t="s">
        <v>48</v>
      </c>
      <c r="C13" s="29">
        <v>299</v>
      </c>
      <c r="D13" s="30">
        <f>C13/C$16</f>
        <v>1.0591194077432609E-2</v>
      </c>
      <c r="E13" s="29">
        <v>299</v>
      </c>
      <c r="F13" s="30">
        <f>E13/E$16</f>
        <v>8.3300830222321279E-3</v>
      </c>
      <c r="G13" s="29">
        <v>299</v>
      </c>
      <c r="H13" s="30">
        <f>G13/G$16</f>
        <v>8.4187469374137729E-3</v>
      </c>
      <c r="I13" s="29">
        <v>299</v>
      </c>
      <c r="J13" s="30">
        <f>I13/I$16</f>
        <v>8.612693785610177E-3</v>
      </c>
      <c r="K13" s="29">
        <v>299</v>
      </c>
      <c r="L13" s="30">
        <f>K13/K$16</f>
        <v>8.3300830222321279E-3</v>
      </c>
      <c r="M13" s="31">
        <v>299</v>
      </c>
      <c r="N13" s="32">
        <f>M13/$M$16</f>
        <v>8.5801958672190488E-3</v>
      </c>
      <c r="O13" s="31">
        <v>299</v>
      </c>
      <c r="P13" s="32">
        <f>O13/$O$16</f>
        <v>9.221264898896386E-3</v>
      </c>
      <c r="Q13" s="31">
        <f>O13</f>
        <v>299</v>
      </c>
      <c r="R13" s="32">
        <f t="shared" si="0"/>
        <v>8.6752284046436798E-3</v>
      </c>
      <c r="S13" s="3"/>
      <c r="T13" s="31">
        <f>Q13</f>
        <v>299</v>
      </c>
      <c r="U13" s="37">
        <f t="shared" si="1"/>
        <v>12</v>
      </c>
      <c r="V13" s="32">
        <f>T13/$T$16</f>
        <v>8.6751523906089395E-3</v>
      </c>
      <c r="W13" s="8"/>
      <c r="X13" s="31">
        <f>T13</f>
        <v>299</v>
      </c>
      <c r="Y13" s="37">
        <f t="shared" si="2"/>
        <v>12</v>
      </c>
      <c r="Z13" s="32">
        <f>X13/$T$16</f>
        <v>8.6751523906089395E-3</v>
      </c>
      <c r="AB13" s="31">
        <f>X13</f>
        <v>299</v>
      </c>
      <c r="AC13" s="37">
        <f t="shared" si="3"/>
        <v>12</v>
      </c>
      <c r="AD13" s="32">
        <f>AB13/$T$16</f>
        <v>8.6751523906089395E-3</v>
      </c>
      <c r="AF13" s="31">
        <f>AB13</f>
        <v>299</v>
      </c>
      <c r="AG13" s="37">
        <f t="shared" si="4"/>
        <v>12</v>
      </c>
      <c r="AH13" s="32">
        <f>AF13/$T$16</f>
        <v>8.6751523906089395E-3</v>
      </c>
      <c r="AJ13" s="31">
        <f>X13</f>
        <v>299</v>
      </c>
      <c r="AK13" s="37">
        <f t="shared" si="6"/>
        <v>12</v>
      </c>
      <c r="AL13" s="32">
        <f>AJ13/$T$16</f>
        <v>8.6751523906089395E-3</v>
      </c>
      <c r="AM13" s="31">
        <f>+AJ13</f>
        <v>299</v>
      </c>
      <c r="AN13" s="38">
        <f t="shared" si="7"/>
        <v>12</v>
      </c>
      <c r="AO13" s="32">
        <f>AM13/$T$16</f>
        <v>8.6751523906089395E-3</v>
      </c>
      <c r="AP13" s="31">
        <f>+AM13</f>
        <v>299</v>
      </c>
      <c r="AQ13" s="38">
        <f t="shared" si="8"/>
        <v>12</v>
      </c>
      <c r="AR13" s="32">
        <f>AP13/$T$16</f>
        <v>8.6751523906089395E-3</v>
      </c>
      <c r="AS13" s="31">
        <f>+AP13</f>
        <v>299</v>
      </c>
      <c r="AT13" s="38">
        <f t="shared" si="9"/>
        <v>12</v>
      </c>
      <c r="AU13" s="32">
        <f>AS13/$T$16</f>
        <v>8.6751523906089395E-3</v>
      </c>
      <c r="AV13" s="39" t="s">
        <v>49</v>
      </c>
      <c r="AW13" s="31">
        <f>Q13</f>
        <v>299</v>
      </c>
      <c r="AX13" s="32">
        <f t="shared" si="5"/>
        <v>8.6752284046436798E-3</v>
      </c>
      <c r="AY13" s="39" t="s">
        <v>49</v>
      </c>
      <c r="AZ13" s="31"/>
      <c r="BA13" s="40">
        <f t="shared" ref="BA13:BB16" si="10">AZ13/$O$16</f>
        <v>0</v>
      </c>
      <c r="BB13" s="40">
        <f t="shared" si="10"/>
        <v>0</v>
      </c>
      <c r="BC13" s="31"/>
      <c r="BD13" s="40">
        <f>BC13/$O$16</f>
        <v>0</v>
      </c>
      <c r="BE13" s="40">
        <f t="shared" ref="BE13:BE16" si="11">BD13/$O$16</f>
        <v>0</v>
      </c>
    </row>
    <row r="14" spans="1:57" ht="30">
      <c r="A14" s="13">
        <v>5</v>
      </c>
      <c r="B14" s="28" t="s">
        <v>50</v>
      </c>
      <c r="C14" s="29">
        <v>2539</v>
      </c>
      <c r="D14" s="30">
        <f>C14/C$16</f>
        <v>8.9936594523750482E-2</v>
      </c>
      <c r="E14" s="29">
        <v>3295</v>
      </c>
      <c r="F14" s="30">
        <f>E14/E$16</f>
        <v>9.1798072101186831E-2</v>
      </c>
      <c r="G14" s="29">
        <v>3295</v>
      </c>
      <c r="H14" s="30">
        <f>G14/G$16</f>
        <v>9.2775154377185226E-2</v>
      </c>
      <c r="I14" s="29">
        <v>3295</v>
      </c>
      <c r="J14" s="30">
        <f>I14/I$16</f>
        <v>9.4912461617342916E-2</v>
      </c>
      <c r="K14" s="29">
        <v>3295</v>
      </c>
      <c r="L14" s="30">
        <f>K14/K$16</f>
        <v>9.1798072101186831E-2</v>
      </c>
      <c r="M14" s="31">
        <v>3295</v>
      </c>
      <c r="N14" s="32">
        <f>M14/$M$16</f>
        <v>9.4554332382898884E-2</v>
      </c>
      <c r="O14" s="31">
        <v>3295</v>
      </c>
      <c r="P14" s="32">
        <f>O14/$O$16</f>
        <v>0.10161895599285482</v>
      </c>
      <c r="Q14" s="31">
        <f>O14</f>
        <v>3295</v>
      </c>
      <c r="R14" s="32">
        <f t="shared" si="0"/>
        <v>9.5601597302009775E-2</v>
      </c>
      <c r="S14" s="3"/>
      <c r="T14" s="31">
        <f>Q14</f>
        <v>3295</v>
      </c>
      <c r="U14" s="37">
        <f t="shared" si="1"/>
        <v>134</v>
      </c>
      <c r="V14" s="32">
        <f>T14/$T$16</f>
        <v>9.5600759622262388E-2</v>
      </c>
      <c r="W14" s="8"/>
      <c r="X14" s="31">
        <f>Q14</f>
        <v>3295</v>
      </c>
      <c r="Y14" s="37">
        <f t="shared" si="2"/>
        <v>132</v>
      </c>
      <c r="Z14" s="32">
        <f>X14/$T$16</f>
        <v>9.5600759622262388E-2</v>
      </c>
      <c r="AB14" s="31">
        <f>+X14</f>
        <v>3295</v>
      </c>
      <c r="AC14" s="37">
        <f t="shared" si="3"/>
        <v>132</v>
      </c>
      <c r="AD14" s="32">
        <f>AB14/$T$16</f>
        <v>9.5600759622262388E-2</v>
      </c>
      <c r="AF14" s="31">
        <f>+AB14</f>
        <v>3295</v>
      </c>
      <c r="AG14" s="37">
        <f t="shared" si="4"/>
        <v>132</v>
      </c>
      <c r="AH14" s="32">
        <f>AF14/$T$16</f>
        <v>9.5600759622262388E-2</v>
      </c>
      <c r="AJ14" s="31">
        <f>+X14</f>
        <v>3295</v>
      </c>
      <c r="AK14" s="37">
        <f t="shared" si="6"/>
        <v>127</v>
      </c>
      <c r="AL14" s="32">
        <f>AJ14/$T$16</f>
        <v>9.5600759622262388E-2</v>
      </c>
      <c r="AM14" s="31">
        <f>+AJ14</f>
        <v>3295</v>
      </c>
      <c r="AN14" s="38">
        <f t="shared" si="7"/>
        <v>129</v>
      </c>
      <c r="AO14" s="32">
        <f>AM14/$T$16</f>
        <v>9.5600759622262388E-2</v>
      </c>
      <c r="AP14" s="31">
        <f>+AM14</f>
        <v>3295</v>
      </c>
      <c r="AQ14" s="38">
        <f t="shared" si="8"/>
        <v>129</v>
      </c>
      <c r="AR14" s="32">
        <f>AP14/$T$16</f>
        <v>9.5600759622262388E-2</v>
      </c>
      <c r="AS14" s="31">
        <f>+AP14</f>
        <v>3295</v>
      </c>
      <c r="AT14" s="38">
        <f t="shared" si="9"/>
        <v>127</v>
      </c>
      <c r="AU14" s="32">
        <f>AS14/$T$16</f>
        <v>9.5600759622262388E-2</v>
      </c>
      <c r="AV14" s="39"/>
      <c r="AW14" s="31">
        <f>Q14</f>
        <v>3295</v>
      </c>
      <c r="AX14" s="32">
        <f t="shared" si="5"/>
        <v>9.5601597302009775E-2</v>
      </c>
      <c r="AY14" s="39"/>
      <c r="AZ14" s="31"/>
      <c r="BA14" s="40">
        <f t="shared" si="10"/>
        <v>0</v>
      </c>
      <c r="BB14" s="40">
        <f t="shared" si="10"/>
        <v>0</v>
      </c>
      <c r="BC14" s="31"/>
      <c r="BD14" s="40">
        <f>BC14/$O$16</f>
        <v>0</v>
      </c>
      <c r="BE14" s="40">
        <f t="shared" si="11"/>
        <v>0</v>
      </c>
    </row>
    <row r="15" spans="1:57" ht="31">
      <c r="A15" s="13">
        <v>6</v>
      </c>
      <c r="B15" s="49" t="s">
        <v>51</v>
      </c>
      <c r="C15" s="29"/>
      <c r="D15" s="50"/>
      <c r="E15" s="29"/>
      <c r="F15" s="50"/>
      <c r="G15" s="29"/>
      <c r="H15" s="50"/>
      <c r="I15" s="29"/>
      <c r="J15" s="50"/>
      <c r="K15" s="29"/>
      <c r="L15" s="50"/>
      <c r="M15" s="31">
        <f>SUM(M5:M14)*8.8%/12</f>
        <v>253.68933333333337</v>
      </c>
      <c r="N15" s="32">
        <f>M15/$M$16</f>
        <v>7.2799470549305099E-3</v>
      </c>
      <c r="O15" s="31">
        <f>SUM(O5:O14)*8.8%/12</f>
        <v>236.05266666666668</v>
      </c>
      <c r="P15" s="32">
        <f>O15/$O$16</f>
        <v>7.2799470549305099E-3</v>
      </c>
      <c r="Q15" s="31">
        <f>SUM(Q5:Q14)*8%/12</f>
        <v>228.25133333333329</v>
      </c>
      <c r="R15" s="32">
        <f t="shared" si="0"/>
        <v>6.6225165562913899E-3</v>
      </c>
      <c r="S15" s="3"/>
      <c r="T15" s="31">
        <f>SUM(T5:T14)*8%/12</f>
        <v>228.25333333333333</v>
      </c>
      <c r="U15" s="37">
        <f t="shared" si="1"/>
        <v>9</v>
      </c>
      <c r="V15" s="32">
        <f>T15/$T$16</f>
        <v>6.6225165562913907E-3</v>
      </c>
      <c r="W15" s="8"/>
      <c r="X15" s="31">
        <f>SUM(X5:X14)*8%/12</f>
        <v>228.25333333333333</v>
      </c>
      <c r="Y15" s="37">
        <f t="shared" si="2"/>
        <v>9</v>
      </c>
      <c r="Z15" s="32">
        <f>X15/$T$16</f>
        <v>6.6225165562913907E-3</v>
      </c>
      <c r="AB15" s="31">
        <f>SUM(AB5:AB14)*8%/12</f>
        <v>228.25333333333333</v>
      </c>
      <c r="AC15" s="37">
        <f t="shared" si="3"/>
        <v>9</v>
      </c>
      <c r="AD15" s="32">
        <f>AB15/$T$16</f>
        <v>6.6225165562913907E-3</v>
      </c>
      <c r="AF15" s="31">
        <f>SUM(AF5:AF14)*8%/12</f>
        <v>229.47705473333338</v>
      </c>
      <c r="AG15" s="37">
        <f t="shared" si="4"/>
        <v>9</v>
      </c>
      <c r="AH15" s="32">
        <f>AF15/$T$16</f>
        <v>6.6580214714373762E-3</v>
      </c>
      <c r="AJ15" s="31">
        <f>SUM(AJ5:AJ14)*8%/12</f>
        <v>232.07705473333337</v>
      </c>
      <c r="AK15" s="37">
        <f t="shared" si="6"/>
        <v>9</v>
      </c>
      <c r="AL15" s="32">
        <f>AJ15/$T$16</f>
        <v>6.7334575791818015E-3</v>
      </c>
      <c r="AM15" s="31">
        <f>SUM(AM5:AM14)*8%/12</f>
        <v>243.69038806666671</v>
      </c>
      <c r="AN15" s="38">
        <f t="shared" si="7"/>
        <v>10</v>
      </c>
      <c r="AO15" s="32">
        <f>AM15/$T$16</f>
        <v>7.0704055271069025E-3</v>
      </c>
      <c r="AP15" s="31">
        <f>SUM(AP5:AP14)*8%/12</f>
        <v>243.69038806666671</v>
      </c>
      <c r="AQ15" s="38">
        <f t="shared" si="8"/>
        <v>10</v>
      </c>
      <c r="AR15" s="32">
        <f>AP15/$T$16</f>
        <v>7.0704055271069025E-3</v>
      </c>
      <c r="AS15" s="31">
        <f>SUM(AS5:AS14)*8%/12</f>
        <v>217.60142396271235</v>
      </c>
      <c r="AT15" s="38">
        <f t="shared" si="9"/>
        <v>8</v>
      </c>
      <c r="AU15" s="32">
        <f>AS15/$T$16</f>
        <v>6.3134632551506134E-3</v>
      </c>
      <c r="AV15" s="51" t="s">
        <v>52</v>
      </c>
      <c r="AW15" s="31">
        <f>SUM(AW5:AW14)*8%/12</f>
        <v>241.88724335296669</v>
      </c>
      <c r="AX15" s="32">
        <f t="shared" si="5"/>
        <v>7.0181507834669388E-3</v>
      </c>
      <c r="AY15" s="51" t="s">
        <v>53</v>
      </c>
      <c r="AZ15" s="31"/>
      <c r="BA15" s="40">
        <f t="shared" si="10"/>
        <v>0</v>
      </c>
      <c r="BB15" s="40">
        <f t="shared" si="10"/>
        <v>0</v>
      </c>
      <c r="BC15" s="31"/>
      <c r="BD15" s="40">
        <f>BC15/$O$16</f>
        <v>0</v>
      </c>
      <c r="BE15" s="40">
        <f t="shared" si="11"/>
        <v>0</v>
      </c>
    </row>
    <row r="16" spans="1:57" s="6" customFormat="1" ht="30">
      <c r="A16" s="13"/>
      <c r="B16" s="28" t="s">
        <v>54</v>
      </c>
      <c r="C16" s="29">
        <v>28231</v>
      </c>
      <c r="D16" s="30">
        <f>C16/C$16</f>
        <v>1</v>
      </c>
      <c r="E16" s="29">
        <v>35894</v>
      </c>
      <c r="F16" s="30">
        <f>E16/E$16</f>
        <v>1</v>
      </c>
      <c r="G16" s="29">
        <v>35515.974315751599</v>
      </c>
      <c r="H16" s="30">
        <f>G16/G$16</f>
        <v>1</v>
      </c>
      <c r="I16" s="29">
        <v>34716.199999999997</v>
      </c>
      <c r="J16" s="30">
        <f>I16/I$16</f>
        <v>1</v>
      </c>
      <c r="K16" s="29">
        <v>35894</v>
      </c>
      <c r="L16" s="30">
        <f>K16/K$16</f>
        <v>1</v>
      </c>
      <c r="M16" s="37">
        <f>SUM(M5:M15)</f>
        <v>34847.689333333336</v>
      </c>
      <c r="N16" s="32">
        <f>M16/$M$16</f>
        <v>1</v>
      </c>
      <c r="O16" s="37">
        <f>SUM(O5:O15)</f>
        <v>32425.052666666666</v>
      </c>
      <c r="P16" s="32">
        <f>O16/$O$16</f>
        <v>1</v>
      </c>
      <c r="Q16" s="37">
        <f>SUM(Q5:Q15)</f>
        <v>34465.951333333331</v>
      </c>
      <c r="R16" s="32">
        <f t="shared" si="0"/>
        <v>1</v>
      </c>
      <c r="S16" s="3"/>
      <c r="T16" s="37">
        <f>SUM(T5:T15)</f>
        <v>34466.253333333334</v>
      </c>
      <c r="U16" s="37">
        <f t="shared" si="1"/>
        <v>1407</v>
      </c>
      <c r="V16" s="32">
        <f>T16/$T$16</f>
        <v>1</v>
      </c>
      <c r="W16" s="8"/>
      <c r="X16" s="37">
        <f>SUM(X5:X15)</f>
        <v>34466.253333333334</v>
      </c>
      <c r="Y16" s="37">
        <f t="shared" si="2"/>
        <v>1379</v>
      </c>
      <c r="Z16" s="32">
        <f>X16/$T$16</f>
        <v>1</v>
      </c>
      <c r="AA16" s="3"/>
      <c r="AB16" s="37">
        <f>SUM(AB5:AB15)</f>
        <v>34466.253333333334</v>
      </c>
      <c r="AC16" s="37">
        <f t="shared" si="3"/>
        <v>1379</v>
      </c>
      <c r="AD16" s="32">
        <f>AB16/$T$16</f>
        <v>1</v>
      </c>
      <c r="AE16" s="1"/>
      <c r="AF16" s="37">
        <f>SUM(AF5:AF15)</f>
        <v>34651.035264733335</v>
      </c>
      <c r="AG16" s="37">
        <f t="shared" si="4"/>
        <v>1386</v>
      </c>
      <c r="AH16" s="32">
        <f>AF16/$T$16</f>
        <v>1.0053612421870437</v>
      </c>
      <c r="AI16" s="1"/>
      <c r="AJ16" s="37">
        <f>SUM(AJ5:AJ15)</f>
        <v>35043.635264733333</v>
      </c>
      <c r="AK16" s="37">
        <f t="shared" si="6"/>
        <v>1348</v>
      </c>
      <c r="AL16" s="32">
        <f>AJ16/$T$16</f>
        <v>1.0167520944564519</v>
      </c>
      <c r="AM16" s="37">
        <f>SUM(AM5:AM15)</f>
        <v>36797.248598066668</v>
      </c>
      <c r="AN16" s="38">
        <f t="shared" si="7"/>
        <v>1443</v>
      </c>
      <c r="AO16" s="32">
        <f>AM16/$T$16</f>
        <v>1.0676312345931422</v>
      </c>
      <c r="AP16" s="37">
        <f>SUM(AP5:AP15)</f>
        <v>36797.248598066668</v>
      </c>
      <c r="AQ16" s="38">
        <f t="shared" si="8"/>
        <v>1443</v>
      </c>
      <c r="AR16" s="32">
        <f>AP16/$T$16</f>
        <v>1.0676312345931422</v>
      </c>
      <c r="AS16" s="37">
        <f>SUM(AS5:AS15)</f>
        <v>32857.815018369562</v>
      </c>
      <c r="AT16" s="38">
        <f t="shared" si="9"/>
        <v>1264</v>
      </c>
      <c r="AU16" s="32">
        <f>AS16/$T$16</f>
        <v>0.95333295152774256</v>
      </c>
      <c r="AV16" s="32"/>
      <c r="AW16" s="37">
        <f>SUM(AW5:AW15)</f>
        <v>36524.973746297968</v>
      </c>
      <c r="AX16" s="32">
        <f t="shared" si="5"/>
        <v>1.0597407683035076</v>
      </c>
      <c r="AY16" s="52"/>
      <c r="AZ16" s="37">
        <f>SUM(AZ5:AZ7)</f>
        <v>28953.619463481657</v>
      </c>
      <c r="BA16" s="40">
        <f>AZ16/$AZ$16</f>
        <v>1</v>
      </c>
      <c r="BB16" s="40">
        <f t="shared" si="10"/>
        <v>3.0840350832429388E-5</v>
      </c>
      <c r="BC16" s="37">
        <f>SUM(BC5:BC7)</f>
        <v>30603.479826494869</v>
      </c>
      <c r="BD16" s="40">
        <f>BC16/$BC$16</f>
        <v>1</v>
      </c>
      <c r="BE16" s="40">
        <f t="shared" si="11"/>
        <v>3.0840350832429388E-5</v>
      </c>
    </row>
    <row r="17" spans="1:57" ht="30" hidden="1">
      <c r="A17" s="53"/>
      <c r="B17" s="49" t="s">
        <v>55</v>
      </c>
      <c r="C17" s="29">
        <v>1230</v>
      </c>
      <c r="D17" s="29"/>
      <c r="E17" s="29">
        <v>1550</v>
      </c>
      <c r="F17" s="29"/>
      <c r="G17" s="29">
        <v>1534</v>
      </c>
      <c r="H17" s="29"/>
      <c r="I17" s="29">
        <v>1446.5083333333332</v>
      </c>
      <c r="J17" s="29"/>
      <c r="K17" s="29">
        <v>1495.5833333333333</v>
      </c>
      <c r="L17" s="29"/>
      <c r="M17" s="54">
        <v>1451.9870555555556</v>
      </c>
      <c r="N17" s="54"/>
      <c r="O17" s="54">
        <v>1351.043861111111</v>
      </c>
      <c r="P17" s="54"/>
      <c r="Q17" s="38">
        <f>Q16/U2*1000</f>
        <v>1406.7735238095238</v>
      </c>
      <c r="R17" s="38"/>
      <c r="S17" s="3"/>
      <c r="T17" s="38">
        <f>T16/U2*1000</f>
        <v>1406.785850340136</v>
      </c>
      <c r="U17" s="38"/>
      <c r="V17" s="38"/>
      <c r="W17" s="8"/>
      <c r="X17" s="38">
        <f>X16/Y2*1000</f>
        <v>1378.6501333333333</v>
      </c>
      <c r="Y17" s="38"/>
      <c r="Z17" s="38"/>
      <c r="AB17" s="38">
        <f>AB16/AC2*1000</f>
        <v>1378.6501333333333</v>
      </c>
      <c r="AC17" s="38"/>
      <c r="AD17" s="38"/>
      <c r="AF17" s="38">
        <f>AF16/AG2*1000</f>
        <v>1386.0414105893335</v>
      </c>
      <c r="AG17" s="38"/>
      <c r="AH17" s="38"/>
      <c r="AJ17" s="38">
        <f>AJ16/AK2*1000</f>
        <v>1347.8321255666667</v>
      </c>
      <c r="AK17" s="38"/>
      <c r="AL17" s="38"/>
      <c r="AM17" s="38">
        <f>AM16/AN2*1000</f>
        <v>1443.029356786928</v>
      </c>
      <c r="AN17" s="38"/>
      <c r="AO17" s="38"/>
      <c r="AP17" s="38">
        <f>AP16/AQ2*1000</f>
        <v>1443.029356786928</v>
      </c>
      <c r="AQ17" s="38"/>
      <c r="AR17" s="38"/>
      <c r="AS17" s="38">
        <f>AS16/AT2*1000</f>
        <v>1263.7621160911369</v>
      </c>
      <c r="AT17" s="38"/>
      <c r="AU17" s="38"/>
      <c r="AV17" s="54"/>
      <c r="AW17" s="54">
        <f>AW16/U2*1000</f>
        <v>1490.8152549509375</v>
      </c>
      <c r="AX17" s="54"/>
      <c r="AY17" s="55"/>
      <c r="AZ17" s="54">
        <f>AZ16/U2*1000</f>
        <v>1181.7803862645576</v>
      </c>
      <c r="BA17" s="54"/>
      <c r="BB17" s="56" t="s">
        <v>56</v>
      </c>
      <c r="BC17" s="54">
        <f>BC16/U2*1000</f>
        <v>1249.1216255712193</v>
      </c>
      <c r="BD17" s="54"/>
      <c r="BE17" s="56" t="s">
        <v>57</v>
      </c>
    </row>
    <row r="18" spans="1:57">
      <c r="A18" s="53"/>
      <c r="B18" s="49" t="s">
        <v>58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54"/>
      <c r="N18" s="54"/>
      <c r="O18" s="54"/>
      <c r="P18" s="54"/>
      <c r="Q18" s="38">
        <v>80</v>
      </c>
      <c r="R18" s="38"/>
      <c r="S18" s="3"/>
      <c r="T18" s="38">
        <v>80</v>
      </c>
      <c r="U18" s="38">
        <v>80</v>
      </c>
      <c r="V18" s="38"/>
      <c r="W18" s="8"/>
      <c r="X18" s="38"/>
      <c r="Y18" s="38"/>
      <c r="Z18" s="38"/>
      <c r="AB18" s="38"/>
      <c r="AC18" s="38"/>
      <c r="AD18" s="38"/>
      <c r="AF18" s="38"/>
      <c r="AG18" s="38"/>
      <c r="AH18" s="38"/>
      <c r="AJ18" s="38"/>
      <c r="AK18" s="38">
        <v>120</v>
      </c>
      <c r="AL18" s="38"/>
      <c r="AM18" s="38"/>
      <c r="AN18" s="38">
        <v>160</v>
      </c>
      <c r="AO18" s="38"/>
      <c r="AP18" s="38"/>
      <c r="AQ18" s="38">
        <v>160</v>
      </c>
      <c r="AR18" s="38"/>
      <c r="AS18" s="38"/>
      <c r="AT18" s="38">
        <v>14</v>
      </c>
      <c r="AU18" s="38"/>
      <c r="AV18" s="54"/>
      <c r="AW18" s="54">
        <v>90</v>
      </c>
      <c r="AX18" s="54"/>
      <c r="AY18" s="55"/>
      <c r="AZ18" s="54"/>
      <c r="BA18" s="54"/>
      <c r="BB18" s="56"/>
      <c r="BC18" s="54"/>
      <c r="BD18" s="54"/>
      <c r="BE18" s="56"/>
    </row>
    <row r="19" spans="1:57" s="6" customFormat="1">
      <c r="A19" s="57"/>
      <c r="B19" s="28" t="s">
        <v>59</v>
      </c>
      <c r="C19" s="58">
        <v>1230</v>
      </c>
      <c r="D19" s="58"/>
      <c r="E19" s="58">
        <v>1550</v>
      </c>
      <c r="F19" s="58"/>
      <c r="G19" s="58">
        <v>1530</v>
      </c>
      <c r="H19" s="58"/>
      <c r="I19" s="58">
        <v>1445</v>
      </c>
      <c r="J19" s="58"/>
      <c r="K19" s="58">
        <v>1500</v>
      </c>
      <c r="L19" s="29"/>
      <c r="M19" s="54">
        <v>1450</v>
      </c>
      <c r="N19" s="54"/>
      <c r="O19" s="54">
        <v>1350</v>
      </c>
      <c r="P19" s="54"/>
      <c r="Q19" s="38">
        <f>ROUND(Q17,-2)-Q18</f>
        <v>1320</v>
      </c>
      <c r="R19" s="38"/>
      <c r="S19" s="3"/>
      <c r="T19" s="38">
        <f>ROUND(T17,-2)-T18</f>
        <v>1320</v>
      </c>
      <c r="U19" s="38">
        <f>ROUND(U16,-2)-U18</f>
        <v>1320</v>
      </c>
      <c r="V19" s="38"/>
      <c r="W19" s="8"/>
      <c r="X19" s="38">
        <f>ROUND(X17,-1)-X18</f>
        <v>1380</v>
      </c>
      <c r="Y19" s="38">
        <f>ROUND(Y16,-1)-Y18</f>
        <v>1380</v>
      </c>
      <c r="Z19" s="38"/>
      <c r="AA19" s="3"/>
      <c r="AB19" s="38">
        <f>ROUND(AB17,-1)-AB18</f>
        <v>1380</v>
      </c>
      <c r="AC19" s="38">
        <f>ROUND(AC16,-1)-AC18</f>
        <v>1380</v>
      </c>
      <c r="AD19" s="38"/>
      <c r="AE19" s="1"/>
      <c r="AF19" s="38">
        <f>ROUND(AF17,-1)-AF18</f>
        <v>1390</v>
      </c>
      <c r="AG19" s="38">
        <f>ROUND(AG16,-1)-AG18</f>
        <v>1390</v>
      </c>
      <c r="AH19" s="38"/>
      <c r="AI19" s="1"/>
      <c r="AJ19" s="38">
        <f>ROUND(AJ17,-1)-AJ18</f>
        <v>1350</v>
      </c>
      <c r="AK19" s="38">
        <f>ROUND(AK16,-1)-AK18</f>
        <v>1230</v>
      </c>
      <c r="AL19" s="38"/>
      <c r="AM19" s="38">
        <f>ROUND(AM17,-1)-AM18</f>
        <v>1440</v>
      </c>
      <c r="AN19" s="38">
        <f>ROUND(AN16,-1)-AN18</f>
        <v>1280</v>
      </c>
      <c r="AO19" s="38"/>
      <c r="AP19" s="38">
        <f>ROUND(AP17,-1)-AP18</f>
        <v>1440</v>
      </c>
      <c r="AQ19" s="38">
        <f>ROUND(AQ16,-1)-AQ18</f>
        <v>1280</v>
      </c>
      <c r="AR19" s="38"/>
      <c r="AS19" s="38"/>
      <c r="AT19" s="38">
        <f>+AT16-AT18</f>
        <v>1250</v>
      </c>
      <c r="AU19" s="38"/>
      <c r="AV19" s="54"/>
      <c r="AW19" s="54">
        <f>ROUND(AW17-AW18,-1)</f>
        <v>1400</v>
      </c>
      <c r="AX19" s="54"/>
      <c r="AY19" s="59"/>
      <c r="AZ19" s="54"/>
      <c r="BA19" s="54"/>
      <c r="BB19" s="54"/>
      <c r="BC19" s="54"/>
      <c r="BD19" s="54"/>
      <c r="BE19" s="54"/>
    </row>
    <row r="20" spans="1:57" s="66" customFormat="1">
      <c r="A20" s="60"/>
      <c r="B20" s="61" t="s">
        <v>60</v>
      </c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0"/>
      <c r="N20" s="60"/>
      <c r="O20" s="60"/>
      <c r="P20" s="60"/>
      <c r="Q20" s="62"/>
      <c r="R20" s="62"/>
      <c r="S20" s="3"/>
      <c r="T20" s="62"/>
      <c r="U20" s="62"/>
      <c r="V20" s="62"/>
      <c r="W20" s="8"/>
      <c r="X20" s="62"/>
      <c r="Y20" s="62">
        <v>80</v>
      </c>
      <c r="Z20" s="63">
        <f>+Y20/Y19</f>
        <v>5.7971014492753624E-2</v>
      </c>
      <c r="AA20" s="3"/>
      <c r="AB20" s="62"/>
      <c r="AC20" s="62">
        <v>80</v>
      </c>
      <c r="AD20" s="63">
        <f>+AC20/AC19</f>
        <v>5.7971014492753624E-2</v>
      </c>
      <c r="AE20" s="1"/>
      <c r="AF20" s="62"/>
      <c r="AG20" s="62">
        <v>80</v>
      </c>
      <c r="AH20" s="63">
        <f>+AG20/AG19</f>
        <v>5.7553956834532377E-2</v>
      </c>
      <c r="AI20" s="1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0"/>
      <c r="AW20" s="60"/>
      <c r="AX20" s="60"/>
      <c r="AY20" s="64"/>
      <c r="AZ20" s="60"/>
      <c r="BA20" s="65"/>
      <c r="BB20" s="60"/>
      <c r="BC20" s="60"/>
      <c r="BD20" s="65"/>
      <c r="BE20" s="60"/>
    </row>
    <row r="21" spans="1:57">
      <c r="S21" s="3"/>
      <c r="T21" s="67"/>
      <c r="U21" s="67"/>
      <c r="V21" s="67"/>
      <c r="W21" s="8"/>
      <c r="X21" s="67"/>
      <c r="Y21" s="67"/>
      <c r="Z21" s="67"/>
      <c r="AB21" s="67"/>
      <c r="AC21" s="67"/>
      <c r="AD21" s="67"/>
      <c r="AF21" s="67"/>
      <c r="AG21" s="67"/>
      <c r="AH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</row>
    <row r="22" spans="1:57">
      <c r="B22" s="68" t="s">
        <v>61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B22" s="69"/>
      <c r="AC22" s="69"/>
      <c r="AD22" s="69"/>
      <c r="AF22" s="69"/>
      <c r="AG22" s="69"/>
      <c r="AH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4" t="s">
        <v>62</v>
      </c>
    </row>
    <row r="23" spans="1:57">
      <c r="M23" s="70"/>
      <c r="N23" s="70"/>
      <c r="O23" s="70"/>
      <c r="P23" s="70"/>
      <c r="Q23" s="70"/>
      <c r="R23" s="70"/>
      <c r="S23" s="70"/>
      <c r="T23" s="70"/>
      <c r="U23" s="69"/>
      <c r="V23" s="70"/>
      <c r="W23" s="70"/>
      <c r="X23" s="70"/>
      <c r="Y23" s="70"/>
      <c r="Z23" s="70"/>
      <c r="AB23" s="70"/>
      <c r="AC23" s="70"/>
      <c r="AD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</row>
    <row r="24" spans="1:57"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</row>
    <row r="25" spans="1:57"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</row>
    <row r="26" spans="1:57">
      <c r="B26" s="1" t="s">
        <v>63</v>
      </c>
      <c r="AY26" s="4" t="s">
        <v>64</v>
      </c>
    </row>
  </sheetData>
  <mergeCells count="13">
    <mergeCell ref="AZ2:BB2"/>
    <mergeCell ref="BC2:BE2"/>
    <mergeCell ref="Q3:R3"/>
    <mergeCell ref="T3:V3"/>
    <mergeCell ref="X3:Z3"/>
    <mergeCell ref="AB3:AD3"/>
    <mergeCell ref="AF3:AH3"/>
    <mergeCell ref="AJ3:AL3"/>
    <mergeCell ref="AM3:AO3"/>
    <mergeCell ref="AP3:AR3"/>
    <mergeCell ref="AS3:AU3"/>
    <mergeCell ref="Q2:R2"/>
    <mergeCell ref="AW2:AX2"/>
  </mergeCells>
  <pageMargins left="0.31" right="0.17" top="0.75" bottom="0.75" header="0.3" footer="0.3"/>
  <pageSetup scale="9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566A-0960-4372-A6F2-D0D4B2FD4569}">
  <sheetPr>
    <tabColor rgb="FF00B0F0"/>
  </sheetPr>
  <dimension ref="A1:CE27"/>
  <sheetViews>
    <sheetView showGridLines="0" tabSelected="1" zoomScale="85" zoomScaleNormal="85" workbookViewId="0">
      <selection activeCell="AM6" sqref="AM6:AO6"/>
    </sheetView>
  </sheetViews>
  <sheetFormatPr defaultColWidth="8.6328125" defaultRowHeight="22.5" outlineLevelRow="2" outlineLevelCol="1"/>
  <cols>
    <col min="1" max="1" width="4.6328125" style="1" customWidth="1"/>
    <col min="2" max="2" width="26" style="1" customWidth="1"/>
    <col min="3" max="3" width="10.6328125" style="1" hidden="1" customWidth="1" outlineLevel="1"/>
    <col min="4" max="4" width="8.36328125" style="1" hidden="1" customWidth="1" outlineLevel="1"/>
    <col min="5" max="5" width="13" style="1" hidden="1" customWidth="1" outlineLevel="1"/>
    <col min="6" max="6" width="9.08984375" style="1" hidden="1" customWidth="1" outlineLevel="1"/>
    <col min="7" max="7" width="9.453125" style="1" hidden="1" customWidth="1" outlineLevel="1"/>
    <col min="8" max="8" width="8.08984375" style="1" hidden="1" customWidth="1" outlineLevel="1"/>
    <col min="9" max="10" width="8.36328125" style="1" hidden="1" customWidth="1" outlineLevel="1"/>
    <col min="11" max="11" width="7.90625" style="1" hidden="1" customWidth="1" outlineLevel="1"/>
    <col min="12" max="12" width="7.6328125" style="1" hidden="1" customWidth="1" outlineLevel="1"/>
    <col min="13" max="13" width="7.90625" style="1" hidden="1" customWidth="1" outlineLevel="1"/>
    <col min="14" max="14" width="8.90625" style="1" hidden="1" customWidth="1" outlineLevel="1"/>
    <col min="15" max="15" width="11.36328125" style="1" hidden="1" customWidth="1" collapsed="1"/>
    <col min="16" max="16" width="11.36328125" style="1" hidden="1" customWidth="1"/>
    <col min="17" max="17" width="0.54296875" style="1" hidden="1" customWidth="1"/>
    <col min="18" max="20" width="11.08984375" style="1" hidden="1" customWidth="1"/>
    <col min="21" max="21" width="0.54296875" style="1" customWidth="1"/>
    <col min="22" max="22" width="11.08984375" style="1" hidden="1" customWidth="1"/>
    <col min="23" max="23" width="11.6328125" style="1" hidden="1" customWidth="1"/>
    <col min="24" max="24" width="11.08984375" style="1" hidden="1" customWidth="1"/>
    <col min="25" max="25" width="1" style="3" hidden="1" customWidth="1"/>
    <col min="26" max="26" width="11.08984375" style="1" hidden="1" customWidth="1"/>
    <col min="27" max="27" width="12.6328125" style="1" hidden="1" customWidth="1"/>
    <col min="28" max="28" width="14.36328125" style="1" hidden="1" customWidth="1"/>
    <col min="29" max="29" width="1" style="1" hidden="1" customWidth="1"/>
    <col min="30" max="38" width="14.36328125" style="1" hidden="1" customWidth="1"/>
    <col min="39" max="41" width="14.36328125" style="1" customWidth="1"/>
    <col min="42" max="42" width="43.08984375" style="1" customWidth="1"/>
    <col min="43" max="43" width="20.6328125" style="1" hidden="1" customWidth="1"/>
    <col min="44" max="44" width="19.54296875" style="1" hidden="1" customWidth="1"/>
    <col min="45" max="45" width="27.6328125" style="1" hidden="1" customWidth="1"/>
    <col min="46" max="46" width="0" style="1" hidden="1" customWidth="1"/>
    <col min="47" max="47" width="19.90625" style="1" hidden="1" customWidth="1"/>
    <col min="48" max="53" width="0" style="1" hidden="1" customWidth="1"/>
    <col min="54" max="54" width="13.6328125" style="1" hidden="1" customWidth="1"/>
    <col min="55" max="75" width="0" style="1" hidden="1" customWidth="1"/>
    <col min="76" max="76" width="11.453125" style="1" bestFit="1" customWidth="1"/>
    <col min="77" max="16384" width="8.6328125" style="1"/>
  </cols>
  <sheetData>
    <row r="1" spans="1:83" ht="20" customHeight="1" outlineLevel="2">
      <c r="A1" s="126" t="s">
        <v>65</v>
      </c>
      <c r="B1" s="126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71"/>
      <c r="AQ1" s="3"/>
      <c r="AR1" s="3"/>
    </row>
    <row r="2" spans="1:83">
      <c r="A2" s="72" t="s">
        <v>66</v>
      </c>
      <c r="K2" s="6"/>
      <c r="L2" s="6"/>
      <c r="M2" s="6"/>
      <c r="AQ2" s="127" t="s">
        <v>67</v>
      </c>
      <c r="AR2" s="128"/>
      <c r="AS2" s="129"/>
    </row>
    <row r="3" spans="1:83">
      <c r="A3" s="76"/>
      <c r="K3" s="6"/>
      <c r="L3" s="6"/>
      <c r="M3" s="6"/>
      <c r="AQ3" s="73"/>
      <c r="AR3" s="74"/>
      <c r="AS3" s="75"/>
    </row>
    <row r="4" spans="1:83">
      <c r="A4" s="76"/>
      <c r="K4" s="6"/>
      <c r="L4" s="6"/>
      <c r="M4" s="6"/>
      <c r="U4" s="3"/>
      <c r="AQ4" s="73"/>
      <c r="AR4" s="74"/>
      <c r="AS4" s="75"/>
    </row>
    <row r="5" spans="1:83" ht="23" customHeight="1">
      <c r="A5" s="76"/>
      <c r="K5" s="6"/>
      <c r="L5" s="6"/>
      <c r="M5" s="6"/>
      <c r="S5" s="5" t="s">
        <v>2</v>
      </c>
      <c r="T5" s="77">
        <v>24500</v>
      </c>
      <c r="U5" s="3"/>
      <c r="V5" s="5" t="s">
        <v>2</v>
      </c>
      <c r="W5" s="77">
        <v>25000</v>
      </c>
      <c r="Z5" s="5" t="s">
        <v>2</v>
      </c>
      <c r="AA5" s="77">
        <v>25000</v>
      </c>
      <c r="AC5" s="77"/>
      <c r="AD5" s="5" t="s">
        <v>2</v>
      </c>
      <c r="AE5" s="77">
        <v>26000</v>
      </c>
      <c r="AF5" s="77"/>
      <c r="AG5" s="5" t="s">
        <v>2</v>
      </c>
      <c r="AH5" s="77">
        <v>25500</v>
      </c>
      <c r="AI5" s="77"/>
      <c r="AJ5" s="5" t="s">
        <v>2</v>
      </c>
      <c r="AK5" s="77">
        <v>25500</v>
      </c>
      <c r="AL5" s="77"/>
      <c r="AM5" s="5" t="s">
        <v>2</v>
      </c>
      <c r="AN5" s="77">
        <v>26000</v>
      </c>
      <c r="AO5" s="77"/>
      <c r="AP5" s="77"/>
      <c r="AQ5" s="73"/>
      <c r="AR5" s="74"/>
      <c r="AS5" s="75"/>
    </row>
    <row r="6" spans="1:83" s="80" customFormat="1" ht="29" customHeight="1">
      <c r="A6" s="130" t="s">
        <v>68</v>
      </c>
      <c r="B6" s="130"/>
      <c r="C6" s="78" t="s">
        <v>69</v>
      </c>
      <c r="D6" s="15" t="s">
        <v>25</v>
      </c>
      <c r="E6" s="78" t="s">
        <v>70</v>
      </c>
      <c r="F6" s="15" t="s">
        <v>25</v>
      </c>
      <c r="G6" s="13" t="s">
        <v>21</v>
      </c>
      <c r="H6" s="15" t="s">
        <v>25</v>
      </c>
      <c r="I6" s="13" t="s">
        <v>22</v>
      </c>
      <c r="J6" s="15" t="s">
        <v>25</v>
      </c>
      <c r="K6" s="79" t="s">
        <v>23</v>
      </c>
      <c r="L6" s="15" t="s">
        <v>25</v>
      </c>
      <c r="M6" s="79" t="s">
        <v>24</v>
      </c>
      <c r="N6" s="15" t="s">
        <v>25</v>
      </c>
      <c r="O6" s="121" t="s">
        <v>6</v>
      </c>
      <c r="P6" s="121"/>
      <c r="Q6" s="1"/>
      <c r="R6" s="131" t="s">
        <v>7</v>
      </c>
      <c r="S6" s="132"/>
      <c r="T6" s="133"/>
      <c r="U6" s="3"/>
      <c r="V6" s="134" t="s">
        <v>8</v>
      </c>
      <c r="W6" s="135"/>
      <c r="X6" s="136"/>
      <c r="Y6" s="3"/>
      <c r="Z6" s="137" t="s">
        <v>10</v>
      </c>
      <c r="AA6" s="137"/>
      <c r="AB6" s="138"/>
      <c r="AC6" s="77"/>
      <c r="AD6" s="139" t="s">
        <v>11</v>
      </c>
      <c r="AE6" s="139"/>
      <c r="AF6" s="140"/>
      <c r="AG6" s="124" t="s">
        <v>12</v>
      </c>
      <c r="AH6" s="124"/>
      <c r="AI6" s="125"/>
      <c r="AJ6" s="124" t="s">
        <v>13</v>
      </c>
      <c r="AK6" s="124"/>
      <c r="AL6" s="125"/>
      <c r="AM6" s="124" t="s">
        <v>14</v>
      </c>
      <c r="AN6" s="124"/>
      <c r="AO6" s="125"/>
      <c r="AP6" s="25" t="s">
        <v>31</v>
      </c>
      <c r="AQ6" s="26" t="s">
        <v>71</v>
      </c>
      <c r="AR6" s="26" t="s">
        <v>33</v>
      </c>
      <c r="AS6" s="26" t="s">
        <v>31</v>
      </c>
    </row>
    <row r="7" spans="1:83" ht="30">
      <c r="A7" s="13" t="s">
        <v>15</v>
      </c>
      <c r="B7" s="13" t="s">
        <v>16</v>
      </c>
      <c r="C7" s="13"/>
      <c r="D7" s="81"/>
      <c r="E7" s="13"/>
      <c r="F7" s="81"/>
      <c r="G7" s="13"/>
      <c r="H7" s="81"/>
      <c r="I7" s="13"/>
      <c r="J7" s="81"/>
      <c r="K7" s="82"/>
      <c r="L7" s="81"/>
      <c r="M7" s="82"/>
      <c r="N7" s="82"/>
      <c r="O7" s="83" t="s">
        <v>72</v>
      </c>
      <c r="P7" s="20" t="s">
        <v>25</v>
      </c>
      <c r="R7" s="84" t="s">
        <v>72</v>
      </c>
      <c r="S7" s="85" t="s">
        <v>73</v>
      </c>
      <c r="T7" s="22" t="s">
        <v>25</v>
      </c>
      <c r="U7" s="3"/>
      <c r="V7" s="23" t="s">
        <v>29</v>
      </c>
      <c r="W7" s="23" t="s">
        <v>30</v>
      </c>
      <c r="X7" s="20" t="s">
        <v>25</v>
      </c>
      <c r="Z7" s="86" t="s">
        <v>29</v>
      </c>
      <c r="AA7" s="86" t="s">
        <v>30</v>
      </c>
      <c r="AB7" s="86" t="s">
        <v>25</v>
      </c>
      <c r="AC7" s="77"/>
      <c r="AD7" s="87" t="s">
        <v>29</v>
      </c>
      <c r="AE7" s="87" t="s">
        <v>30</v>
      </c>
      <c r="AF7" s="87" t="s">
        <v>25</v>
      </c>
      <c r="AG7" s="88" t="s">
        <v>29</v>
      </c>
      <c r="AH7" s="88" t="s">
        <v>30</v>
      </c>
      <c r="AI7" s="88" t="s">
        <v>25</v>
      </c>
      <c r="AJ7" s="88" t="s">
        <v>29</v>
      </c>
      <c r="AK7" s="88" t="s">
        <v>30</v>
      </c>
      <c r="AL7" s="88" t="s">
        <v>25</v>
      </c>
      <c r="AM7" s="88" t="s">
        <v>29</v>
      </c>
      <c r="AN7" s="88" t="s">
        <v>30</v>
      </c>
      <c r="AO7" s="88" t="s">
        <v>25</v>
      </c>
      <c r="AP7" s="13"/>
      <c r="AQ7" s="82"/>
      <c r="AR7" s="82"/>
      <c r="AS7" s="82"/>
    </row>
    <row r="8" spans="1:83" ht="31">
      <c r="A8" s="13">
        <v>1</v>
      </c>
      <c r="B8" s="28" t="s">
        <v>74</v>
      </c>
      <c r="C8" s="29">
        <v>11000</v>
      </c>
      <c r="D8" s="30">
        <f>C8/C$17</f>
        <v>0.34681716429674936</v>
      </c>
      <c r="E8" s="29">
        <v>22500</v>
      </c>
      <c r="F8" s="30">
        <f>E8/E$17</f>
        <v>0.60362577884492852</v>
      </c>
      <c r="G8" s="29">
        <v>23000</v>
      </c>
      <c r="H8" s="30">
        <f>G8/G$17</f>
        <v>0.60716293877421723</v>
      </c>
      <c r="I8" s="29">
        <v>22100</v>
      </c>
      <c r="J8" s="30">
        <f>I8/I$17</f>
        <v>0.60071210206560699</v>
      </c>
      <c r="K8" s="37">
        <v>22000</v>
      </c>
      <c r="L8" s="30">
        <f>K8/K$17</f>
        <v>0.59129924872312689</v>
      </c>
      <c r="M8" s="37">
        <v>22000</v>
      </c>
      <c r="N8" s="40">
        <f>M8/$M$17</f>
        <v>0.59129612109744556</v>
      </c>
      <c r="O8" s="89">
        <v>22500</v>
      </c>
      <c r="P8" s="90">
        <f>O8/$O$17</f>
        <v>0.59126431186888562</v>
      </c>
      <c r="R8" s="89">
        <v>21000</v>
      </c>
      <c r="S8" s="91">
        <f t="shared" ref="S8:S17" si="0">ROUND((R8/$T$5)*1000,0)</f>
        <v>857</v>
      </c>
      <c r="T8" s="90">
        <f>R8/$R$17</f>
        <v>0.57993838775808515</v>
      </c>
      <c r="U8" s="3"/>
      <c r="V8" s="37">
        <v>21000</v>
      </c>
      <c r="W8" s="37">
        <f t="shared" ref="W8:W17" si="1">ROUND((V8/$W$5)*1000,0)</f>
        <v>840</v>
      </c>
      <c r="X8" s="92">
        <f>V8/$V$17</f>
        <v>0.57993838775808515</v>
      </c>
      <c r="Z8" s="37">
        <f>21200*75%+24000*25%</f>
        <v>21900</v>
      </c>
      <c r="AA8" s="37">
        <f t="shared" ref="AA8:AA17" si="2">ROUND((Z8/$AA$5)*1000,0)</f>
        <v>876</v>
      </c>
      <c r="AB8" s="92">
        <f t="shared" ref="AB8:AB16" si="3">Z8/$Z$17</f>
        <v>0.58017482009260146</v>
      </c>
      <c r="AC8" s="77"/>
      <c r="AD8" s="37">
        <f>21500*75%+24500*25%</f>
        <v>22250</v>
      </c>
      <c r="AE8" s="37">
        <f>ROUND((AD8/$AE$5)*1000,0)</f>
        <v>856</v>
      </c>
      <c r="AF8" s="92">
        <f t="shared" ref="AF8:AF16" si="4">AD8/$Z$17</f>
        <v>0.58944702041371611</v>
      </c>
      <c r="AG8" s="37">
        <f>21500*75%+24500*25%</f>
        <v>22250</v>
      </c>
      <c r="AH8" s="37">
        <f>ROUND((AG8/$AE$5)*1000,0)</f>
        <v>856</v>
      </c>
      <c r="AI8" s="92">
        <f t="shared" ref="AI8:AI16" si="5">AG8/$Z$17</f>
        <v>0.58944702041371611</v>
      </c>
      <c r="AJ8" s="37">
        <v>21500</v>
      </c>
      <c r="AK8" s="37">
        <f>ROUND((AJ8/$AE$5)*1000,0)</f>
        <v>827</v>
      </c>
      <c r="AL8" s="92">
        <f t="shared" ref="AL8:AL16" si="6">AJ8/$Z$17</f>
        <v>0.56957801972561328</v>
      </c>
      <c r="AM8" s="37">
        <v>21000</v>
      </c>
      <c r="AN8" s="37">
        <f>ROUND((AM8/$AN$5)*1000,0)</f>
        <v>808</v>
      </c>
      <c r="AO8" s="92">
        <f t="shared" ref="AO8:AO16" si="7">AM8/$Z$17</f>
        <v>0.55633201926687814</v>
      </c>
      <c r="AP8" s="45" t="s">
        <v>75</v>
      </c>
      <c r="AQ8" s="37">
        <v>21850</v>
      </c>
      <c r="AR8" s="30">
        <f>AQ8/$AQ$17</f>
        <v>0.71292252297452563</v>
      </c>
      <c r="AS8" s="45" t="s">
        <v>76</v>
      </c>
      <c r="AT8" s="93" t="s">
        <v>77</v>
      </c>
      <c r="AV8" s="94"/>
      <c r="BX8" s="71"/>
      <c r="BY8" s="71"/>
      <c r="BZ8" s="95"/>
      <c r="CD8" s="94"/>
      <c r="CE8" s="95"/>
    </row>
    <row r="9" spans="1:83" ht="46.5">
      <c r="A9" s="13">
        <v>2</v>
      </c>
      <c r="B9" s="28" t="s">
        <v>78</v>
      </c>
      <c r="C9" s="29">
        <v>3300</v>
      </c>
      <c r="D9" s="30">
        <f>C9/C$17</f>
        <v>0.10404514928902481</v>
      </c>
      <c r="E9" s="29">
        <v>4785.75</v>
      </c>
      <c r="F9" s="30">
        <f>E9/E$17</f>
        <v>0.1283912031603163</v>
      </c>
      <c r="G9" s="29">
        <v>4892.1000000000004</v>
      </c>
      <c r="H9" s="30">
        <f>G9/G$17</f>
        <v>0.12914355707727601</v>
      </c>
      <c r="I9" s="29">
        <v>4700.67</v>
      </c>
      <c r="J9" s="30">
        <f>I9/I$17</f>
        <v>0.12777146410935461</v>
      </c>
      <c r="K9" s="37">
        <f>K8*21.27%</f>
        <v>4679.3999999999996</v>
      </c>
      <c r="L9" s="30">
        <f>K9/K$17</f>
        <v>0.12576935020340907</v>
      </c>
      <c r="M9" s="37">
        <f>M8*21.27%</f>
        <v>4679.3999999999996</v>
      </c>
      <c r="N9" s="40">
        <f>M9/$M$17</f>
        <v>0.12576868495742666</v>
      </c>
      <c r="O9" s="89">
        <f>O8*21.27%</f>
        <v>4785.75</v>
      </c>
      <c r="P9" s="90">
        <f>O9/$O$17</f>
        <v>0.12576191913451198</v>
      </c>
      <c r="R9" s="89">
        <f>R8*21.27%</f>
        <v>4466.7</v>
      </c>
      <c r="S9" s="91">
        <f t="shared" si="0"/>
        <v>182</v>
      </c>
      <c r="T9" s="90">
        <f>R9/$R$17</f>
        <v>0.12335289507614472</v>
      </c>
      <c r="U9" s="3"/>
      <c r="V9" s="37">
        <f>V8*21.27%</f>
        <v>4466.7</v>
      </c>
      <c r="W9" s="37">
        <f t="shared" si="1"/>
        <v>179</v>
      </c>
      <c r="X9" s="92">
        <f t="shared" ref="X9:X17" si="8">V9/$V$17</f>
        <v>0.12335289507614472</v>
      </c>
      <c r="Z9" s="37">
        <f>Z8*21.27%</f>
        <v>4658.13</v>
      </c>
      <c r="AA9" s="37">
        <f t="shared" si="2"/>
        <v>186</v>
      </c>
      <c r="AB9" s="92">
        <f t="shared" si="3"/>
        <v>0.12340318423369634</v>
      </c>
      <c r="AC9" s="77"/>
      <c r="AD9" s="37">
        <f>AD8*21.27%</f>
        <v>4732.5749999999998</v>
      </c>
      <c r="AE9" s="37">
        <f t="shared" ref="AE9:AE17" si="9">ROUND((AD9/$AE$5)*1000,0)</f>
        <v>182</v>
      </c>
      <c r="AF9" s="92">
        <f t="shared" si="4"/>
        <v>0.1253753812419974</v>
      </c>
      <c r="AG9" s="37">
        <f>AG8*21.27%</f>
        <v>4732.5749999999998</v>
      </c>
      <c r="AH9" s="37">
        <f t="shared" ref="AH9:AH17" si="10">ROUND((AG9/$AE$5)*1000,0)</f>
        <v>182</v>
      </c>
      <c r="AI9" s="92">
        <f t="shared" si="5"/>
        <v>0.1253753812419974</v>
      </c>
      <c r="AJ9" s="37">
        <f>AJ8*21.27%</f>
        <v>4573.05</v>
      </c>
      <c r="AK9" s="37">
        <f t="shared" ref="AK9:AK17" si="11">ROUND((AJ9/$AE$5)*1000,0)</f>
        <v>176</v>
      </c>
      <c r="AL9" s="92">
        <f t="shared" si="6"/>
        <v>0.12114924479563796</v>
      </c>
      <c r="AM9" s="37">
        <f>AM8*21.27%</f>
        <v>4466.7</v>
      </c>
      <c r="AN9" s="37">
        <f>ROUND((AM9/$AN$5)*1000,0)</f>
        <v>172</v>
      </c>
      <c r="AO9" s="92">
        <f t="shared" si="7"/>
        <v>0.11833182049806497</v>
      </c>
      <c r="AP9" s="45" t="s">
        <v>79</v>
      </c>
      <c r="AQ9" s="37">
        <v>2068.4916605457674</v>
      </c>
      <c r="AR9" s="30">
        <f>AQ9/$AQ$17</f>
        <v>6.7490814342702737E-2</v>
      </c>
      <c r="AS9" s="96" t="s">
        <v>80</v>
      </c>
      <c r="AT9" s="5" t="s">
        <v>81</v>
      </c>
      <c r="AV9" s="97"/>
      <c r="BX9" s="71"/>
    </row>
    <row r="10" spans="1:83" ht="57" customHeight="1">
      <c r="A10" s="13">
        <v>3</v>
      </c>
      <c r="B10" s="28" t="s">
        <v>82</v>
      </c>
      <c r="C10" s="29">
        <v>14263</v>
      </c>
      <c r="D10" s="30">
        <f>C10/C$17</f>
        <v>0.44969574676041241</v>
      </c>
      <c r="E10" s="29">
        <v>8442</v>
      </c>
      <c r="F10" s="30">
        <f>E10/E$17</f>
        <v>0.22648039222261718</v>
      </c>
      <c r="G10" s="29">
        <v>8442</v>
      </c>
      <c r="H10" s="30">
        <f>G10/G$17</f>
        <v>0.22285519691878009</v>
      </c>
      <c r="I10" s="29">
        <v>8442</v>
      </c>
      <c r="J10" s="30">
        <f>I10/I$17</f>
        <v>0.22946658668044589</v>
      </c>
      <c r="K10" s="31">
        <f>8442</f>
        <v>8442</v>
      </c>
      <c r="L10" s="30">
        <f>K10/K$17</f>
        <v>0.22689764807821075</v>
      </c>
      <c r="M10" s="31">
        <f>8442</f>
        <v>8442</v>
      </c>
      <c r="N10" s="40">
        <f>M10/$M$17</f>
        <v>0.22689644792293798</v>
      </c>
      <c r="O10" s="98">
        <f>M10*55%*106%+M10*45%</f>
        <v>8720.5860000000011</v>
      </c>
      <c r="P10" s="90">
        <f>O10/$O$17</f>
        <v>0.2291631680170417</v>
      </c>
      <c r="R10" s="98">
        <v>8720.5860000000011</v>
      </c>
      <c r="S10" s="91">
        <f t="shared" si="0"/>
        <v>356</v>
      </c>
      <c r="T10" s="90">
        <f>R10/$R$17</f>
        <v>0.24082869453074904</v>
      </c>
      <c r="U10" s="3"/>
      <c r="V10" s="31">
        <v>8720.5860000000011</v>
      </c>
      <c r="W10" s="37">
        <f t="shared" si="1"/>
        <v>349</v>
      </c>
      <c r="X10" s="92">
        <f t="shared" si="8"/>
        <v>0.24082869453074904</v>
      </c>
      <c r="Z10" s="31">
        <f>+V10*55%*104%+V10*45%+233</f>
        <v>9145.4388920000019</v>
      </c>
      <c r="AA10" s="37">
        <f t="shared" si="2"/>
        <v>366</v>
      </c>
      <c r="AB10" s="92">
        <f t="shared" si="3"/>
        <v>0.24228097551753341</v>
      </c>
      <c r="AC10" s="77"/>
      <c r="AD10" s="31">
        <f>+V10*55%*103.63%+V10*45%+233</f>
        <v>9127.69249949</v>
      </c>
      <c r="AE10" s="37">
        <f t="shared" si="9"/>
        <v>351</v>
      </c>
      <c r="AF10" s="92">
        <f t="shared" si="4"/>
        <v>0.24181083807087667</v>
      </c>
      <c r="AG10" s="31">
        <f>+AD10</f>
        <v>9127.69249949</v>
      </c>
      <c r="AH10" s="37">
        <f t="shared" si="10"/>
        <v>351</v>
      </c>
      <c r="AI10" s="92">
        <f t="shared" si="5"/>
        <v>0.24181083807087667</v>
      </c>
      <c r="AJ10" s="99">
        <f>+AG10</f>
        <v>9127.69249949</v>
      </c>
      <c r="AK10" s="37">
        <f t="shared" si="11"/>
        <v>351</v>
      </c>
      <c r="AL10" s="92">
        <f t="shared" si="6"/>
        <v>0.24181083807087667</v>
      </c>
      <c r="AM10" s="99">
        <f>+AJ10*55%*103.27%+AJ10*45%</f>
        <v>9291.8540490933265</v>
      </c>
      <c r="AN10" s="37">
        <f t="shared" ref="AN9:AN17" si="12">ROUND((AM10/$AN$5)*1000,0)</f>
        <v>357</v>
      </c>
      <c r="AO10" s="92">
        <f t="shared" si="7"/>
        <v>0.24615980599358134</v>
      </c>
      <c r="AP10" s="45" t="s">
        <v>41</v>
      </c>
      <c r="AQ10" s="31">
        <f>SUM(AQ11:AQ13)</f>
        <v>6730</v>
      </c>
      <c r="AR10" s="30">
        <f>AQ10/$AQ$17</f>
        <v>0.21958666268277152</v>
      </c>
      <c r="AS10" s="40"/>
      <c r="AT10" s="1" t="s">
        <v>83</v>
      </c>
      <c r="AU10" s="100">
        <v>208016281388</v>
      </c>
      <c r="AV10" s="94" t="s">
        <v>84</v>
      </c>
      <c r="BX10" s="71"/>
      <c r="BY10" s="71"/>
      <c r="BZ10" s="97"/>
    </row>
    <row r="11" spans="1:83" hidden="1">
      <c r="A11" s="13"/>
      <c r="B11" s="101" t="s">
        <v>85</v>
      </c>
      <c r="C11" s="29"/>
      <c r="D11" s="30"/>
      <c r="E11" s="29"/>
      <c r="F11" s="30"/>
      <c r="G11" s="29"/>
      <c r="H11" s="30"/>
      <c r="I11" s="29"/>
      <c r="J11" s="30"/>
      <c r="K11" s="31"/>
      <c r="L11" s="30"/>
      <c r="M11" s="31"/>
      <c r="N11" s="40"/>
      <c r="O11" s="98"/>
      <c r="P11" s="90"/>
      <c r="R11" s="98"/>
      <c r="S11" s="91">
        <f t="shared" si="0"/>
        <v>0</v>
      </c>
      <c r="T11" s="90"/>
      <c r="U11" s="3"/>
      <c r="V11" s="31"/>
      <c r="W11" s="37">
        <f t="shared" si="1"/>
        <v>0</v>
      </c>
      <c r="X11" s="92">
        <f t="shared" si="8"/>
        <v>0</v>
      </c>
      <c r="Z11" s="31"/>
      <c r="AA11" s="37">
        <f t="shared" si="2"/>
        <v>0</v>
      </c>
      <c r="AB11" s="92">
        <f t="shared" si="3"/>
        <v>0</v>
      </c>
      <c r="AC11" s="77"/>
      <c r="AD11" s="92"/>
      <c r="AE11" s="37">
        <f t="shared" si="9"/>
        <v>0</v>
      </c>
      <c r="AF11" s="92">
        <f t="shared" si="4"/>
        <v>0</v>
      </c>
      <c r="AG11" s="92"/>
      <c r="AH11" s="37">
        <f t="shared" si="10"/>
        <v>0</v>
      </c>
      <c r="AI11" s="92">
        <f t="shared" si="5"/>
        <v>0</v>
      </c>
      <c r="AJ11" s="92"/>
      <c r="AK11" s="37">
        <f t="shared" si="11"/>
        <v>0</v>
      </c>
      <c r="AL11" s="92">
        <f t="shared" si="6"/>
        <v>0</v>
      </c>
      <c r="AM11" s="92"/>
      <c r="AN11" s="37">
        <f t="shared" si="12"/>
        <v>0</v>
      </c>
      <c r="AO11" s="92">
        <f t="shared" si="7"/>
        <v>0</v>
      </c>
      <c r="AP11" s="102"/>
      <c r="AQ11" s="48">
        <v>1140</v>
      </c>
      <c r="AR11" s="30"/>
      <c r="AS11" s="103" t="s">
        <v>86</v>
      </c>
      <c r="AU11" s="100"/>
      <c r="BX11" s="71"/>
    </row>
    <row r="12" spans="1:83" hidden="1">
      <c r="A12" s="13"/>
      <c r="B12" s="101" t="s">
        <v>87</v>
      </c>
      <c r="C12" s="29"/>
      <c r="D12" s="30"/>
      <c r="E12" s="29"/>
      <c r="F12" s="30"/>
      <c r="G12" s="29"/>
      <c r="H12" s="30"/>
      <c r="I12" s="29"/>
      <c r="J12" s="30"/>
      <c r="K12" s="31"/>
      <c r="L12" s="30"/>
      <c r="M12" s="31"/>
      <c r="N12" s="40"/>
      <c r="O12" s="98"/>
      <c r="P12" s="90"/>
      <c r="R12" s="98"/>
      <c r="S12" s="91">
        <f t="shared" si="0"/>
        <v>0</v>
      </c>
      <c r="T12" s="90"/>
      <c r="U12" s="3"/>
      <c r="V12" s="31"/>
      <c r="W12" s="37">
        <f t="shared" si="1"/>
        <v>0</v>
      </c>
      <c r="X12" s="92">
        <f t="shared" si="8"/>
        <v>0</v>
      </c>
      <c r="Z12" s="31"/>
      <c r="AA12" s="37">
        <f t="shared" si="2"/>
        <v>0</v>
      </c>
      <c r="AB12" s="92">
        <f t="shared" si="3"/>
        <v>0</v>
      </c>
      <c r="AC12" s="77"/>
      <c r="AD12" s="92"/>
      <c r="AE12" s="37">
        <f t="shared" si="9"/>
        <v>0</v>
      </c>
      <c r="AF12" s="92">
        <f t="shared" si="4"/>
        <v>0</v>
      </c>
      <c r="AG12" s="92"/>
      <c r="AH12" s="37">
        <f t="shared" si="10"/>
        <v>0</v>
      </c>
      <c r="AI12" s="92">
        <f t="shared" si="5"/>
        <v>0</v>
      </c>
      <c r="AJ12" s="92"/>
      <c r="AK12" s="37">
        <f t="shared" si="11"/>
        <v>0</v>
      </c>
      <c r="AL12" s="92">
        <f t="shared" si="6"/>
        <v>0</v>
      </c>
      <c r="AM12" s="92"/>
      <c r="AN12" s="37">
        <f t="shared" si="12"/>
        <v>0</v>
      </c>
      <c r="AO12" s="92">
        <f t="shared" si="7"/>
        <v>0</v>
      </c>
      <c r="AP12" s="102"/>
      <c r="AQ12" s="48">
        <v>3957</v>
      </c>
      <c r="AR12" s="30"/>
      <c r="AS12" s="40"/>
      <c r="AU12" s="100"/>
      <c r="BX12" s="71"/>
    </row>
    <row r="13" spans="1:83" ht="31" hidden="1">
      <c r="A13" s="13"/>
      <c r="B13" s="101" t="s">
        <v>88</v>
      </c>
      <c r="C13" s="29"/>
      <c r="D13" s="30"/>
      <c r="E13" s="29"/>
      <c r="F13" s="30"/>
      <c r="G13" s="29"/>
      <c r="H13" s="30"/>
      <c r="I13" s="29"/>
      <c r="J13" s="30"/>
      <c r="K13" s="31"/>
      <c r="L13" s="30"/>
      <c r="M13" s="31"/>
      <c r="N13" s="40"/>
      <c r="O13" s="98"/>
      <c r="P13" s="90"/>
      <c r="R13" s="98"/>
      <c r="S13" s="91">
        <f t="shared" si="0"/>
        <v>0</v>
      </c>
      <c r="T13" s="90"/>
      <c r="U13" s="3"/>
      <c r="V13" s="31"/>
      <c r="W13" s="37">
        <f t="shared" si="1"/>
        <v>0</v>
      </c>
      <c r="X13" s="92">
        <f t="shared" si="8"/>
        <v>0</v>
      </c>
      <c r="Z13" s="31"/>
      <c r="AA13" s="37">
        <f t="shared" si="2"/>
        <v>0</v>
      </c>
      <c r="AB13" s="92">
        <f t="shared" si="3"/>
        <v>0</v>
      </c>
      <c r="AC13" s="77"/>
      <c r="AD13" s="92"/>
      <c r="AE13" s="37">
        <f t="shared" si="9"/>
        <v>0</v>
      </c>
      <c r="AF13" s="92">
        <f t="shared" si="4"/>
        <v>0</v>
      </c>
      <c r="AG13" s="92"/>
      <c r="AH13" s="37">
        <f t="shared" si="10"/>
        <v>0</v>
      </c>
      <c r="AI13" s="92">
        <f t="shared" si="5"/>
        <v>0</v>
      </c>
      <c r="AJ13" s="92"/>
      <c r="AK13" s="37">
        <f t="shared" si="11"/>
        <v>0</v>
      </c>
      <c r="AL13" s="92">
        <f t="shared" si="6"/>
        <v>0</v>
      </c>
      <c r="AM13" s="92"/>
      <c r="AN13" s="37">
        <f t="shared" si="12"/>
        <v>0</v>
      </c>
      <c r="AO13" s="92">
        <f t="shared" si="7"/>
        <v>0</v>
      </c>
      <c r="AP13" s="102"/>
      <c r="AQ13" s="48">
        <v>1633</v>
      </c>
      <c r="AR13" s="30"/>
      <c r="AS13" s="40"/>
      <c r="AU13" s="100"/>
      <c r="BX13" s="71"/>
    </row>
    <row r="14" spans="1:83" ht="43.5" customHeight="1">
      <c r="A14" s="13">
        <v>4</v>
      </c>
      <c r="B14" s="28" t="s">
        <v>48</v>
      </c>
      <c r="C14" s="29">
        <v>299</v>
      </c>
      <c r="D14" s="30">
        <f>C14/C$17</f>
        <v>9.4271211022480053E-3</v>
      </c>
      <c r="E14" s="29">
        <v>299</v>
      </c>
      <c r="F14" s="30">
        <f>E14/E$17</f>
        <v>8.0215159055392719E-3</v>
      </c>
      <c r="G14" s="29">
        <v>299</v>
      </c>
      <c r="H14" s="30">
        <f>G14/G$17</f>
        <v>7.8931182040648234E-3</v>
      </c>
      <c r="I14" s="29">
        <v>299</v>
      </c>
      <c r="J14" s="30">
        <f>I14/I$17</f>
        <v>8.1272813808876253E-3</v>
      </c>
      <c r="K14" s="99">
        <v>299</v>
      </c>
      <c r="L14" s="30">
        <f>K14/K$17</f>
        <v>8.0362943349188611E-3</v>
      </c>
      <c r="M14" s="99">
        <v>299</v>
      </c>
      <c r="N14" s="40">
        <f>M14/$M$17</f>
        <v>8.0362518276425564E-3</v>
      </c>
      <c r="O14" s="104">
        <v>299</v>
      </c>
      <c r="P14" s="90">
        <f>O14/$O$17</f>
        <v>7.8572457443909696E-3</v>
      </c>
      <c r="R14" s="104">
        <v>299</v>
      </c>
      <c r="S14" s="91">
        <f t="shared" si="0"/>
        <v>12</v>
      </c>
      <c r="T14" s="90">
        <f>R14/$R$17</f>
        <v>8.2572179971270223E-3</v>
      </c>
      <c r="U14" s="3"/>
      <c r="V14" s="99">
        <v>299</v>
      </c>
      <c r="W14" s="37">
        <f t="shared" si="1"/>
        <v>12</v>
      </c>
      <c r="X14" s="92">
        <f t="shared" si="8"/>
        <v>8.2572179971270223E-3</v>
      </c>
      <c r="Z14" s="99">
        <v>299</v>
      </c>
      <c r="AA14" s="37">
        <f t="shared" si="2"/>
        <v>12</v>
      </c>
      <c r="AB14" s="92">
        <f t="shared" si="3"/>
        <v>7.921108274323645E-3</v>
      </c>
      <c r="AC14" s="77"/>
      <c r="AD14" s="99">
        <v>299</v>
      </c>
      <c r="AE14" s="37">
        <f t="shared" si="9"/>
        <v>12</v>
      </c>
      <c r="AF14" s="92">
        <f t="shared" si="4"/>
        <v>7.921108274323645E-3</v>
      </c>
      <c r="AG14" s="99">
        <v>299</v>
      </c>
      <c r="AH14" s="37">
        <f t="shared" si="10"/>
        <v>12</v>
      </c>
      <c r="AI14" s="92">
        <f t="shared" si="5"/>
        <v>7.921108274323645E-3</v>
      </c>
      <c r="AJ14" s="99">
        <v>299</v>
      </c>
      <c r="AK14" s="37">
        <f t="shared" si="11"/>
        <v>12</v>
      </c>
      <c r="AL14" s="92">
        <f t="shared" si="6"/>
        <v>7.921108274323645E-3</v>
      </c>
      <c r="AM14" s="99">
        <v>299</v>
      </c>
      <c r="AN14" s="37">
        <f t="shared" si="12"/>
        <v>12</v>
      </c>
      <c r="AO14" s="92">
        <f t="shared" si="7"/>
        <v>7.921108274323645E-3</v>
      </c>
      <c r="AP14" s="45" t="s">
        <v>49</v>
      </c>
      <c r="AQ14" s="99"/>
      <c r="AR14" s="30"/>
      <c r="AS14" s="40"/>
      <c r="AT14" s="71" t="s">
        <v>89</v>
      </c>
      <c r="AU14" s="100">
        <v>21482.74</v>
      </c>
      <c r="BX14" s="71"/>
    </row>
    <row r="15" spans="1:83" ht="25.25" customHeight="1">
      <c r="A15" s="13">
        <v>5</v>
      </c>
      <c r="B15" s="28" t="s">
        <v>90</v>
      </c>
      <c r="C15" s="29">
        <v>2855</v>
      </c>
      <c r="D15" s="30">
        <f>C15/C$17</f>
        <v>9.0014818551565401E-2</v>
      </c>
      <c r="E15" s="29">
        <v>1248</v>
      </c>
      <c r="F15" s="30">
        <f>E15/E$17</f>
        <v>3.3481109866598704E-2</v>
      </c>
      <c r="G15" s="29">
        <v>1248</v>
      </c>
      <c r="H15" s="30">
        <f>G15/G$17</f>
        <v>3.2945189025661875E-2</v>
      </c>
      <c r="I15" s="29">
        <v>1248</v>
      </c>
      <c r="J15" s="30">
        <f>I15/I$17</f>
        <v>3.3922565763704865E-2</v>
      </c>
      <c r="K15" s="31">
        <v>1248</v>
      </c>
      <c r="L15" s="30">
        <f>K15/K$17</f>
        <v>3.3542793745748284E-2</v>
      </c>
      <c r="M15" s="31">
        <v>1248</v>
      </c>
      <c r="N15" s="40">
        <f>M15/$M$17</f>
        <v>3.3542616324073279E-2</v>
      </c>
      <c r="O15" s="98">
        <v>1248</v>
      </c>
      <c r="P15" s="90">
        <f>O15/$O$17</f>
        <v>3.2795460498327524E-2</v>
      </c>
      <c r="R15" s="98">
        <v>1248</v>
      </c>
      <c r="S15" s="91">
        <f t="shared" si="0"/>
        <v>51</v>
      </c>
      <c r="T15" s="90">
        <f>R15/$R$17</f>
        <v>3.4464909901051922E-2</v>
      </c>
      <c r="U15" s="3"/>
      <c r="V15" s="31">
        <v>1248</v>
      </c>
      <c r="W15" s="37">
        <f t="shared" si="1"/>
        <v>50</v>
      </c>
      <c r="X15" s="92">
        <f t="shared" si="8"/>
        <v>3.4464909901051922E-2</v>
      </c>
      <c r="Z15" s="31">
        <v>1248</v>
      </c>
      <c r="AA15" s="37">
        <f t="shared" si="2"/>
        <v>50</v>
      </c>
      <c r="AB15" s="92">
        <f t="shared" si="3"/>
        <v>3.3062017145003043E-2</v>
      </c>
      <c r="AC15" s="77"/>
      <c r="AD15" s="31">
        <v>1248</v>
      </c>
      <c r="AE15" s="37">
        <f t="shared" si="9"/>
        <v>48</v>
      </c>
      <c r="AF15" s="92">
        <f t="shared" si="4"/>
        <v>3.3062017145003043E-2</v>
      </c>
      <c r="AG15" s="31">
        <v>1248</v>
      </c>
      <c r="AH15" s="37">
        <f t="shared" si="10"/>
        <v>48</v>
      </c>
      <c r="AI15" s="92">
        <f t="shared" si="5"/>
        <v>3.3062017145003043E-2</v>
      </c>
      <c r="AJ15" s="31">
        <v>1248</v>
      </c>
      <c r="AK15" s="37">
        <f t="shared" si="11"/>
        <v>48</v>
      </c>
      <c r="AL15" s="92">
        <f t="shared" si="6"/>
        <v>3.3062017145003043E-2</v>
      </c>
      <c r="AM15" s="31">
        <v>1248</v>
      </c>
      <c r="AN15" s="37">
        <f t="shared" si="12"/>
        <v>48</v>
      </c>
      <c r="AO15" s="92">
        <f t="shared" si="7"/>
        <v>3.3062017145003043E-2</v>
      </c>
      <c r="AP15" s="102"/>
      <c r="AQ15" s="31"/>
      <c r="AR15" s="30"/>
      <c r="AS15" s="40"/>
      <c r="AU15" s="100">
        <f>AU10/AU14</f>
        <v>9682949.2601036914</v>
      </c>
      <c r="AW15" s="1" t="s">
        <v>91</v>
      </c>
      <c r="BB15" s="1">
        <f>25549.3964845085*10^6</f>
        <v>25549396484.508499</v>
      </c>
      <c r="BX15" s="71"/>
    </row>
    <row r="16" spans="1:83" ht="31">
      <c r="A16" s="13">
        <v>6</v>
      </c>
      <c r="B16" s="28" t="s">
        <v>51</v>
      </c>
      <c r="C16" s="29"/>
      <c r="D16" s="50"/>
      <c r="E16" s="29"/>
      <c r="F16" s="50"/>
      <c r="G16" s="29"/>
      <c r="H16" s="50"/>
      <c r="I16" s="29"/>
      <c r="J16" s="50"/>
      <c r="K16" s="31">
        <f>SUM(K8:K15)*8.8%/12*2</f>
        <v>537.80320000000006</v>
      </c>
      <c r="L16" s="30">
        <f>K16/K$17</f>
        <v>1.4454664914586071E-2</v>
      </c>
      <c r="M16" s="31">
        <v>538</v>
      </c>
      <c r="N16" s="40">
        <f>M16/$M$17</f>
        <v>1.4459877870473896E-2</v>
      </c>
      <c r="O16" s="98">
        <f>SUM(O7:O15)*8%/12*2</f>
        <v>500.71114666666671</v>
      </c>
      <c r="P16" s="90">
        <f>O16/$O$17</f>
        <v>1.3157894736842105E-2</v>
      </c>
      <c r="R16" s="98">
        <f>SUM(R7:R15)*8%/12*2</f>
        <v>476.45714666666669</v>
      </c>
      <c r="S16" s="91">
        <f t="shared" si="0"/>
        <v>19</v>
      </c>
      <c r="T16" s="90">
        <f>R16/$R$17</f>
        <v>1.3157894736842106E-2</v>
      </c>
      <c r="U16" s="3"/>
      <c r="V16" s="31">
        <f>SUM(V7:V15)*8%/12*2</f>
        <v>476.45714666666669</v>
      </c>
      <c r="W16" s="37">
        <f t="shared" si="1"/>
        <v>19</v>
      </c>
      <c r="X16" s="92">
        <f t="shared" si="8"/>
        <v>1.3157894736842106E-2</v>
      </c>
      <c r="Z16" s="31">
        <f>SUM(Z7:Z15)*8%/12*2</f>
        <v>496.67425189333335</v>
      </c>
      <c r="AA16" s="37">
        <f t="shared" si="2"/>
        <v>20</v>
      </c>
      <c r="AB16" s="92">
        <f t="shared" si="3"/>
        <v>1.3157894736842105E-2</v>
      </c>
      <c r="AC16" s="77"/>
      <c r="AD16" s="31">
        <f>SUM(AD7:AD15)*8%/12*2</f>
        <v>502.0968999932</v>
      </c>
      <c r="AE16" s="37">
        <f t="shared" si="9"/>
        <v>19</v>
      </c>
      <c r="AF16" s="92">
        <f t="shared" si="4"/>
        <v>1.3301551535278892E-2</v>
      </c>
      <c r="AG16" s="31">
        <f>SUM(AG7:AG15)*8%/12*2</f>
        <v>502.0968999932</v>
      </c>
      <c r="AH16" s="37">
        <f t="shared" si="10"/>
        <v>19</v>
      </c>
      <c r="AI16" s="92">
        <f t="shared" si="5"/>
        <v>1.3301551535278892E-2</v>
      </c>
      <c r="AJ16" s="31">
        <f>SUM(AJ7:AJ15)*8%/12*2</f>
        <v>489.96989999319999</v>
      </c>
      <c r="AK16" s="37">
        <f t="shared" si="11"/>
        <v>19</v>
      </c>
      <c r="AL16" s="92">
        <f t="shared" si="6"/>
        <v>1.2980283040152727E-2</v>
      </c>
      <c r="AM16" s="31">
        <f>SUM(AM7:AM15)*8%/12*2</f>
        <v>484.07405398791099</v>
      </c>
      <c r="AN16" s="37">
        <f t="shared" si="12"/>
        <v>19</v>
      </c>
      <c r="AO16" s="92">
        <f t="shared" si="7"/>
        <v>1.2824090282371348E-2</v>
      </c>
      <c r="AP16" s="45" t="s">
        <v>92</v>
      </c>
      <c r="AQ16" s="31"/>
      <c r="AR16" s="30"/>
      <c r="AS16" s="40"/>
      <c r="AT16" s="1" t="s">
        <v>93</v>
      </c>
      <c r="AU16" s="105">
        <f>AU15/10^3</f>
        <v>9682.9492601036909</v>
      </c>
      <c r="AW16" s="1" t="s">
        <v>94</v>
      </c>
      <c r="BB16" s="105">
        <f>BB15/AU14/1000</f>
        <v>1189.2987805330465</v>
      </c>
      <c r="BX16" s="71"/>
    </row>
    <row r="17" spans="1:76" ht="35" customHeight="1">
      <c r="A17" s="13"/>
      <c r="B17" s="28" t="s">
        <v>95</v>
      </c>
      <c r="C17" s="29">
        <v>31717</v>
      </c>
      <c r="D17" s="30">
        <f>C17/C$17</f>
        <v>1</v>
      </c>
      <c r="E17" s="29">
        <v>37274.75</v>
      </c>
      <c r="F17" s="30">
        <f>E17/E$17</f>
        <v>1</v>
      </c>
      <c r="G17" s="29">
        <v>37881.1</v>
      </c>
      <c r="H17" s="30">
        <f>G17/G$17</f>
        <v>1</v>
      </c>
      <c r="I17" s="29">
        <v>36789.67</v>
      </c>
      <c r="J17" s="30">
        <f>I17/I$17</f>
        <v>1</v>
      </c>
      <c r="K17" s="37">
        <f>SUM(K8:K16)</f>
        <v>37206.203200000004</v>
      </c>
      <c r="L17" s="30">
        <f>K17/K$17</f>
        <v>1</v>
      </c>
      <c r="M17" s="37">
        <f>SUM(M8:M16)</f>
        <v>37206.400000000001</v>
      </c>
      <c r="N17" s="40">
        <f>M17/$M$17</f>
        <v>1</v>
      </c>
      <c r="O17" s="89">
        <f>SUM(O8:O16)</f>
        <v>38054.047146666671</v>
      </c>
      <c r="P17" s="90">
        <f>O17/$O$17</f>
        <v>1</v>
      </c>
      <c r="R17" s="89">
        <f>SUM(R8:R16)</f>
        <v>36210.743146666668</v>
      </c>
      <c r="S17" s="91">
        <f t="shared" si="0"/>
        <v>1478</v>
      </c>
      <c r="T17" s="90">
        <f>R17/$R$17</f>
        <v>1</v>
      </c>
      <c r="U17" s="3"/>
      <c r="V17" s="37">
        <f>SUM(V8:V16)</f>
        <v>36210.743146666668</v>
      </c>
      <c r="W17" s="37">
        <f t="shared" si="1"/>
        <v>1448</v>
      </c>
      <c r="X17" s="92">
        <f t="shared" si="8"/>
        <v>1</v>
      </c>
      <c r="Z17" s="37">
        <f>SUM(Z8:Z16)</f>
        <v>37747.243143893334</v>
      </c>
      <c r="AA17" s="37">
        <f t="shared" si="2"/>
        <v>1510</v>
      </c>
      <c r="AB17" s="92">
        <f>Z17/$Z$17</f>
        <v>1</v>
      </c>
      <c r="AC17" s="77"/>
      <c r="AD17" s="37">
        <f>SUM(AD8:AD16)</f>
        <v>38159.364399483202</v>
      </c>
      <c r="AE17" s="37">
        <f t="shared" si="9"/>
        <v>1468</v>
      </c>
      <c r="AF17" s="92">
        <f>AD17/$Z$17</f>
        <v>1.0109179166811959</v>
      </c>
      <c r="AG17" s="37">
        <f>SUM(AG8:AG16)</f>
        <v>38159.364399483202</v>
      </c>
      <c r="AH17" s="37">
        <f t="shared" si="10"/>
        <v>1468</v>
      </c>
      <c r="AI17" s="92">
        <f>AG17/$Z$17</f>
        <v>1.0109179166811959</v>
      </c>
      <c r="AJ17" s="37">
        <f>SUM(AJ8:AJ16)</f>
        <v>37237.7123994832</v>
      </c>
      <c r="AK17" s="37">
        <f t="shared" si="11"/>
        <v>1432</v>
      </c>
      <c r="AL17" s="92">
        <f>AJ17/$Z$17</f>
        <v>0.98650151105160733</v>
      </c>
      <c r="AM17" s="37">
        <f>SUM(AM8:AM16)</f>
        <v>36789.628103081239</v>
      </c>
      <c r="AN17" s="37">
        <f t="shared" si="12"/>
        <v>1415</v>
      </c>
      <c r="AO17" s="92">
        <f>AM17/$Z$17</f>
        <v>0.97463086146022249</v>
      </c>
      <c r="AP17" s="102"/>
      <c r="AQ17" s="37">
        <f>SUM(AQ8:AQ10)</f>
        <v>30648.491660545769</v>
      </c>
      <c r="AR17" s="30">
        <f>AQ17/$AQ$17</f>
        <v>1</v>
      </c>
      <c r="AS17" s="40"/>
      <c r="AU17" s="105"/>
      <c r="BX17" s="71"/>
    </row>
    <row r="18" spans="1:76" ht="30" hidden="1">
      <c r="A18" s="13"/>
      <c r="B18" s="28" t="s">
        <v>96</v>
      </c>
      <c r="C18" s="29">
        <v>1360</v>
      </c>
      <c r="D18" s="29"/>
      <c r="E18" s="29">
        <v>1610</v>
      </c>
      <c r="F18" s="29"/>
      <c r="G18" s="29">
        <v>1578.3791666666666</v>
      </c>
      <c r="H18" s="29"/>
      <c r="I18" s="29">
        <v>1532.9029166666667</v>
      </c>
      <c r="J18" s="29"/>
      <c r="K18" s="106">
        <v>1550.2584666666669</v>
      </c>
      <c r="L18" s="106"/>
      <c r="M18" s="106">
        <v>1550.2666666666667</v>
      </c>
      <c r="N18" s="106"/>
      <c r="O18" s="107">
        <f>O17/$T$5*1000</f>
        <v>1553.2264141496601</v>
      </c>
      <c r="P18" s="107"/>
      <c r="R18" s="107">
        <f>R17/$T$5*1000</f>
        <v>1477.989516190476</v>
      </c>
      <c r="S18" s="107"/>
      <c r="T18" s="107"/>
      <c r="U18" s="3"/>
      <c r="V18" s="106">
        <f>V17/$W$5*1000</f>
        <v>1448.4297258666668</v>
      </c>
      <c r="W18" s="106"/>
      <c r="X18" s="106"/>
      <c r="Z18" s="106">
        <f>Z17/$AA$5*1000</f>
        <v>1509.8897257557333</v>
      </c>
      <c r="AA18" s="106"/>
      <c r="AB18" s="106"/>
      <c r="AC18" s="77"/>
      <c r="AD18" s="106">
        <f>AD17/$AA$5*1000</f>
        <v>1526.374575979328</v>
      </c>
      <c r="AE18" s="106"/>
      <c r="AF18" s="106"/>
      <c r="AG18" s="106">
        <f>AG17/$AA$5*1000</f>
        <v>1526.374575979328</v>
      </c>
      <c r="AH18" s="106"/>
      <c r="AI18" s="106"/>
      <c r="AJ18" s="106"/>
      <c r="AK18" s="106"/>
      <c r="AL18" s="106"/>
      <c r="AM18" s="106"/>
      <c r="AN18" s="106"/>
      <c r="AO18" s="106"/>
      <c r="AP18" s="49"/>
      <c r="AQ18" s="106">
        <f>AQ17/$T$5*1000</f>
        <v>1250.9588432875823</v>
      </c>
      <c r="AR18" s="106"/>
      <c r="AS18" s="108" t="s">
        <v>97</v>
      </c>
    </row>
    <row r="19" spans="1:76" ht="20.75" customHeight="1">
      <c r="A19" s="13"/>
      <c r="B19" s="28" t="s">
        <v>98</v>
      </c>
      <c r="C19" s="29"/>
      <c r="D19" s="29"/>
      <c r="E19" s="29"/>
      <c r="F19" s="29"/>
      <c r="G19" s="29"/>
      <c r="H19" s="29"/>
      <c r="I19" s="29"/>
      <c r="J19" s="29"/>
      <c r="K19" s="106">
        <v>20</v>
      </c>
      <c r="L19" s="106"/>
      <c r="M19" s="106">
        <v>20</v>
      </c>
      <c r="N19" s="106"/>
      <c r="O19" s="107">
        <v>50</v>
      </c>
      <c r="P19" s="107"/>
      <c r="R19" s="107">
        <v>50</v>
      </c>
      <c r="S19" s="107">
        <v>50</v>
      </c>
      <c r="T19" s="107"/>
      <c r="U19" s="3"/>
      <c r="V19" s="106"/>
      <c r="W19" s="106">
        <v>20</v>
      </c>
      <c r="X19" s="106"/>
      <c r="Z19" s="106"/>
      <c r="AA19" s="106">
        <v>60</v>
      </c>
      <c r="AB19" s="106"/>
      <c r="AC19" s="77"/>
      <c r="AD19" s="106"/>
      <c r="AE19" s="106">
        <v>126</v>
      </c>
      <c r="AF19" s="106"/>
      <c r="AG19" s="106"/>
      <c r="AH19" s="106">
        <v>86</v>
      </c>
      <c r="AI19" s="106"/>
      <c r="AJ19" s="106"/>
      <c r="AK19" s="106">
        <v>56</v>
      </c>
      <c r="AL19" s="106"/>
      <c r="AM19" s="106"/>
      <c r="AN19" s="106">
        <v>115</v>
      </c>
      <c r="AO19" s="106"/>
      <c r="AP19" s="49"/>
      <c r="AQ19" s="106"/>
      <c r="AR19" s="106"/>
      <c r="AS19" s="106"/>
    </row>
    <row r="20" spans="1:76" ht="31.25" customHeight="1">
      <c r="A20" s="13"/>
      <c r="B20" s="28" t="s">
        <v>99</v>
      </c>
      <c r="C20" s="29">
        <v>1360</v>
      </c>
      <c r="D20" s="29"/>
      <c r="E20" s="29">
        <v>1610</v>
      </c>
      <c r="F20" s="29"/>
      <c r="G20" s="29">
        <v>1575</v>
      </c>
      <c r="H20" s="29"/>
      <c r="I20" s="29">
        <v>1530</v>
      </c>
      <c r="J20" s="29"/>
      <c r="K20" s="106">
        <f>K18-K19</f>
        <v>1530.2584666666669</v>
      </c>
      <c r="L20" s="106"/>
      <c r="M20" s="106">
        <f>M18-M19</f>
        <v>1530.2666666666667</v>
      </c>
      <c r="N20" s="106"/>
      <c r="O20" s="107">
        <f>ROUND(O18-O19,-1)</f>
        <v>1500</v>
      </c>
      <c r="P20" s="107"/>
      <c r="R20" s="107">
        <f>ROUND(R18-R19,-1)</f>
        <v>1430</v>
      </c>
      <c r="S20" s="107">
        <f>ROUND(S17-S19,-1)</f>
        <v>1430</v>
      </c>
      <c r="T20" s="107"/>
      <c r="U20" s="3"/>
      <c r="V20" s="106"/>
      <c r="W20" s="106">
        <f>ROUND(W17-W19,-1)</f>
        <v>1430</v>
      </c>
      <c r="X20" s="106"/>
      <c r="Z20" s="106"/>
      <c r="AA20" s="106">
        <f>ROUND(AA17-AA19,-1)</f>
        <v>1450</v>
      </c>
      <c r="AB20" s="106"/>
      <c r="AC20" s="77"/>
      <c r="AD20" s="106"/>
      <c r="AE20" s="106">
        <f>ROUND(AE17-AE19,-1)</f>
        <v>1340</v>
      </c>
      <c r="AF20" s="106"/>
      <c r="AG20" s="106"/>
      <c r="AH20" s="106">
        <f>ROUND(AH17-AH19,-1)</f>
        <v>1380</v>
      </c>
      <c r="AI20" s="106"/>
      <c r="AJ20" s="106"/>
      <c r="AK20" s="106">
        <f>ROUND(AK17-AK19,-1)</f>
        <v>1380</v>
      </c>
      <c r="AL20" s="106"/>
      <c r="AM20" s="106"/>
      <c r="AN20" s="106">
        <f>+AN17-AN19</f>
        <v>1300</v>
      </c>
      <c r="AO20" s="106"/>
      <c r="AP20" s="102"/>
      <c r="AQ20" s="106"/>
      <c r="AR20" s="106"/>
      <c r="AS20" s="106"/>
      <c r="BX20" s="109"/>
    </row>
    <row r="21" spans="1:76" s="66" customFormat="1">
      <c r="A21" s="60"/>
      <c r="B21" s="61" t="s">
        <v>60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0"/>
      <c r="N21" s="60"/>
      <c r="O21" s="110"/>
      <c r="P21" s="110"/>
      <c r="Q21" s="1"/>
      <c r="R21" s="110"/>
      <c r="S21" s="110"/>
      <c r="T21" s="110"/>
      <c r="U21" s="3"/>
      <c r="V21" s="110"/>
      <c r="W21" s="110"/>
      <c r="X21" s="111"/>
      <c r="Y21" s="3"/>
      <c r="Z21" s="62"/>
      <c r="AA21" s="62"/>
      <c r="AB21" s="63"/>
      <c r="AC21" s="77"/>
      <c r="AD21" s="63"/>
      <c r="AE21" s="62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0"/>
      <c r="AQ21" s="64"/>
      <c r="AR21" s="65"/>
      <c r="AS21" s="65"/>
    </row>
    <row r="22" spans="1:76">
      <c r="A22" s="112" t="s">
        <v>100</v>
      </c>
      <c r="B22" s="5"/>
      <c r="U22" s="3"/>
    </row>
    <row r="23" spans="1:76">
      <c r="A23" s="113" t="s">
        <v>101</v>
      </c>
      <c r="B23" s="5"/>
    </row>
    <row r="26" spans="1:76">
      <c r="G26" s="100"/>
      <c r="H26" s="109"/>
      <c r="I26" s="109"/>
    </row>
    <row r="27" spans="1:76">
      <c r="G27" s="100"/>
      <c r="H27" s="109"/>
      <c r="I27" s="109"/>
    </row>
  </sheetData>
  <mergeCells count="11">
    <mergeCell ref="AM6:AO6"/>
    <mergeCell ref="A1:B1"/>
    <mergeCell ref="AQ2:AS2"/>
    <mergeCell ref="A6:B6"/>
    <mergeCell ref="O6:P6"/>
    <mergeCell ref="R6:T6"/>
    <mergeCell ref="V6:X6"/>
    <mergeCell ref="Z6:AB6"/>
    <mergeCell ref="AD6:AF6"/>
    <mergeCell ref="AG6:AI6"/>
    <mergeCell ref="AJ6:AL6"/>
  </mergeCells>
  <hyperlinks>
    <hyperlink ref="AT8" r:id="rId1" xr:uid="{68DE994C-D125-4A8E-B293-19F3DFB910D1}"/>
  </hyperlinks>
  <pageMargins left="0.7" right="0.12" top="0.75" bottom="0.75" header="0.3" footer="0.3"/>
  <pageSetup scale="90" orientation="landscape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PET-Q1.26 WSS01G</vt:lpstr>
      <vt:lpstr>HDPE-Q1.26_PCF.MBF.</vt:lpstr>
      <vt:lpstr>'HDPE-Q1.26_PCF.MBF.'!Print_Area</vt:lpstr>
      <vt:lpstr>'PET-Q1.26 WSS01G'!Print_Area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Nhâm, Hoàng Thị</dc:creator>
  <cp:lastModifiedBy>Cư, Lê Hoành</cp:lastModifiedBy>
  <dcterms:created xsi:type="dcterms:W3CDTF">2025-11-28T01:46:22Z</dcterms:created>
  <dcterms:modified xsi:type="dcterms:W3CDTF">2025-12-10T03:50:52Z</dcterms:modified>
</cp:coreProperties>
</file>