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Trạm\Dự án phát triển Trạm\Trạm Tân Đại Phát\Chi phí triển khai SAP\"/>
    </mc:Choice>
  </mc:AlternateContent>
  <xr:revisionPtr revIDLastSave="0" documentId="13_ncr:1_{721A0E30-ECB9-40F6-BBCF-2AD0D4F7ED3F}" xr6:coauthVersionLast="47" xr6:coauthVersionMax="47" xr10:uidLastSave="{00000000-0000-0000-0000-000000000000}"/>
  <bookViews>
    <workbookView xWindow="-110" yWindow="-110" windowWidth="19420" windowHeight="10300" xr2:uid="{41017B2C-09EA-42E3-AB69-F4C18B415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  <c r="J10" i="1"/>
  <c r="J14" i="1"/>
  <c r="G14" i="1"/>
  <c r="K13" i="1"/>
  <c r="K11" i="1"/>
  <c r="G7" i="1"/>
  <c r="G6" i="1"/>
  <c r="G5" i="1"/>
  <c r="G8" i="1" l="1"/>
  <c r="H8" i="1"/>
  <c r="G9" i="1" s="1"/>
  <c r="G10" i="1" l="1"/>
  <c r="G15" i="1" s="1"/>
  <c r="H15" i="1"/>
</calcChain>
</file>

<file path=xl/sharedStrings.xml><?xml version="1.0" encoding="utf-8"?>
<sst xmlns="http://schemas.openxmlformats.org/spreadsheetml/2006/main" count="34" uniqueCount="25">
  <si>
    <t>#</t>
  </si>
  <si>
    <t>Hạng mục chi tiết</t>
  </si>
  <si>
    <t>Số lượng</t>
  </si>
  <si>
    <t>Đơn giá (USD)</t>
  </si>
  <si>
    <t>Chi phí năm đầu tiên</t>
  </si>
  <si>
    <t>Chi phí hàng năm/2 Công ty</t>
  </si>
  <si>
    <t>Ghi chú</t>
  </si>
  <si>
    <t xml:space="preserve">User License: </t>
  </si>
  <si>
    <t>+ Bảo trì 22% năm đầu tiên</t>
  </si>
  <si>
    <t xml:space="preserve"> </t>
  </si>
  <si>
    <t>22% bảo trì/năm</t>
  </si>
  <si>
    <t xml:space="preserve">Chi phí triển khai </t>
  </si>
  <si>
    <t>– Stand Data</t>
  </si>
  <si>
    <t>- Hạ tầng</t>
  </si>
  <si>
    <t>gói</t>
  </si>
  <si>
    <t>TỔNG CỘNG</t>
  </si>
  <si>
    <t>-Professional</t>
  </si>
  <si>
    <t>-Functional</t>
  </si>
  <si>
    <t>-Productivity</t>
  </si>
  <si>
    <t>DỰ TRÙ CHI PHÍ DỰ ÁN SAP KHÁNH NGA 2</t>
  </si>
  <si>
    <t xml:space="preserve">     </t>
  </si>
  <si>
    <t>8 thành viên (ERP): 270 tr</t>
  </si>
  <si>
    <t>5 thành viên hạ tầng: 40 tr</t>
  </si>
  <si>
    <t>Servers: không đầu tư thêm, dung lượng hiện tại đủ sizing cho KN2</t>
  </si>
  <si>
    <t xml:space="preserve">Cộng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</si>
</sst>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99"/>
      <name val="Times New Roman"/>
      <family val="1"/>
    </font>
    <font>
      <b/>
      <sz val="12"/>
      <color rgb="FF0033CC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3" fontId="4" fillId="0" borderId="1" xfId="0" applyNumberFormat="1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left" vertical="center" wrapText="1" readingOrder="1"/>
    </xf>
    <xf numFmtId="0" fontId="7" fillId="0" borderId="5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left" vertical="center" wrapText="1" readingOrder="1"/>
    </xf>
    <xf numFmtId="3" fontId="7" fillId="0" borderId="5" xfId="0" applyNumberFormat="1" applyFont="1" applyBorder="1" applyAlignment="1">
      <alignment horizontal="left" vertical="center" wrapText="1" readingOrder="1"/>
    </xf>
    <xf numFmtId="0" fontId="7" fillId="0" borderId="5" xfId="0" applyFont="1" applyBorder="1" applyAlignment="1">
      <alignment horizontal="left" vertical="center" wrapText="1" indent="3" readingOrder="1"/>
    </xf>
    <xf numFmtId="3" fontId="8" fillId="0" borderId="5" xfId="0" applyNumberFormat="1" applyFont="1" applyBorder="1" applyAlignment="1">
      <alignment horizontal="left" vertical="center" wrapText="1" readingOrder="1"/>
    </xf>
    <xf numFmtId="164" fontId="6" fillId="0" borderId="0" xfId="1" applyNumberFormat="1" applyFont="1"/>
    <xf numFmtId="0" fontId="10" fillId="0" borderId="0" xfId="0" applyFont="1"/>
    <xf numFmtId="164" fontId="10" fillId="0" borderId="0" xfId="1" applyNumberFormat="1" applyFont="1"/>
    <xf numFmtId="164" fontId="7" fillId="0" borderId="5" xfId="1" applyNumberFormat="1" applyFont="1" applyBorder="1" applyAlignment="1">
      <alignment vertical="top" wrapText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3" fontId="4" fillId="0" borderId="4" xfId="0" applyNumberFormat="1" applyFont="1" applyBorder="1" applyAlignment="1">
      <alignment horizontal="left" vertical="center" wrapText="1" readingOrder="1"/>
    </xf>
    <xf numFmtId="0" fontId="9" fillId="0" borderId="5" xfId="0" applyFont="1" applyBorder="1" applyAlignment="1">
      <alignment horizontal="left" vertical="center" wrapText="1" readingOrder="1"/>
    </xf>
    <xf numFmtId="3" fontId="9" fillId="0" borderId="10" xfId="0" applyNumberFormat="1" applyFont="1" applyBorder="1" applyAlignment="1">
      <alignment horizontal="left" vertical="center" wrapText="1" readingOrder="1"/>
    </xf>
    <xf numFmtId="3" fontId="3" fillId="0" borderId="10" xfId="0" applyNumberFormat="1" applyFont="1" applyBorder="1" applyAlignment="1">
      <alignment horizontal="left" vertical="center" wrapText="1" readingOrder="1"/>
    </xf>
    <xf numFmtId="3" fontId="3" fillId="0" borderId="11" xfId="0" applyNumberFormat="1" applyFont="1" applyBorder="1" applyAlignment="1">
      <alignment horizontal="left" vertical="center" wrapText="1" readingOrder="1"/>
    </xf>
    <xf numFmtId="3" fontId="3" fillId="3" borderId="12" xfId="0" applyNumberFormat="1" applyFont="1" applyFill="1" applyBorder="1" applyAlignment="1">
      <alignment horizontal="left" vertical="center" wrapText="1" readingOrder="1"/>
    </xf>
    <xf numFmtId="3" fontId="7" fillId="0" borderId="13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7" fillId="0" borderId="8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819A-58F2-4954-9E26-5D8EE4504BB6}">
  <dimension ref="A1:K17"/>
  <sheetViews>
    <sheetView tabSelected="1" topLeftCell="A2" workbookViewId="0">
      <selection activeCell="J17" sqref="J17"/>
    </sheetView>
  </sheetViews>
  <sheetFormatPr defaultRowHeight="15.5" x14ac:dyDescent="0.35"/>
  <cols>
    <col min="1" max="2" width="8.7265625" style="6"/>
    <col min="3" max="3" width="3.81640625" style="6" customWidth="1"/>
    <col min="4" max="4" width="20.1796875" style="6" customWidth="1"/>
    <col min="5" max="5" width="20.81640625" style="6" customWidth="1"/>
    <col min="6" max="6" width="16.08984375" style="6" customWidth="1"/>
    <col min="7" max="7" width="16.1796875" style="6" customWidth="1"/>
    <col min="8" max="8" width="14.7265625" style="6" customWidth="1"/>
    <col min="9" max="9" width="24.26953125" style="6" bestFit="1" customWidth="1"/>
    <col min="10" max="10" width="15.453125" style="15" customWidth="1"/>
    <col min="11" max="11" width="16" style="15" bestFit="1" customWidth="1"/>
    <col min="12" max="16384" width="8.7265625" style="6"/>
  </cols>
  <sheetData>
    <row r="1" spans="1:11" s="16" customFormat="1" ht="15" x14ac:dyDescent="0.3">
      <c r="A1" s="16" t="s">
        <v>19</v>
      </c>
      <c r="J1" s="17"/>
      <c r="K1" s="17"/>
    </row>
    <row r="2" spans="1:11" ht="16" thickBot="1" x14ac:dyDescent="0.4"/>
    <row r="3" spans="1:11" ht="30" x14ac:dyDescent="0.35">
      <c r="C3" s="10" t="s">
        <v>0</v>
      </c>
      <c r="D3" s="10" t="s">
        <v>1</v>
      </c>
      <c r="E3" s="10" t="s">
        <v>2</v>
      </c>
      <c r="F3" s="10" t="s">
        <v>3</v>
      </c>
      <c r="G3" s="10" t="s">
        <v>4</v>
      </c>
      <c r="H3" s="10" t="s">
        <v>5</v>
      </c>
      <c r="I3" s="10" t="s">
        <v>6</v>
      </c>
    </row>
    <row r="4" spans="1:11" ht="31" customHeight="1" x14ac:dyDescent="0.35">
      <c r="C4" s="8">
        <v>1</v>
      </c>
      <c r="D4" s="30" t="s">
        <v>23</v>
      </c>
      <c r="E4" s="30"/>
      <c r="F4" s="30"/>
      <c r="G4" s="30"/>
      <c r="H4" s="30"/>
      <c r="I4" s="30"/>
    </row>
    <row r="5" spans="1:11" x14ac:dyDescent="0.35">
      <c r="C5" s="30">
        <v>2</v>
      </c>
      <c r="D5" s="24" t="s">
        <v>7</v>
      </c>
      <c r="E5" s="11">
        <v>1</v>
      </c>
      <c r="F5" s="12">
        <v>4000</v>
      </c>
      <c r="G5" s="12">
        <f>+E5*F5</f>
        <v>4000</v>
      </c>
      <c r="H5" s="8" t="s">
        <v>9</v>
      </c>
      <c r="I5" s="30" t="s">
        <v>10</v>
      </c>
    </row>
    <row r="6" spans="1:11" x14ac:dyDescent="0.35">
      <c r="C6" s="30"/>
      <c r="D6" s="13" t="s">
        <v>16</v>
      </c>
      <c r="E6" s="11">
        <v>1</v>
      </c>
      <c r="F6" s="12">
        <v>0</v>
      </c>
      <c r="G6" s="12">
        <f t="shared" ref="G6:G7" si="0">+E6*F6</f>
        <v>0</v>
      </c>
      <c r="H6" s="8" t="s">
        <v>9</v>
      </c>
      <c r="I6" s="30"/>
    </row>
    <row r="7" spans="1:11" x14ac:dyDescent="0.35">
      <c r="C7" s="30"/>
      <c r="D7" s="13" t="s">
        <v>17</v>
      </c>
      <c r="E7" s="11">
        <v>2</v>
      </c>
      <c r="F7" s="12">
        <v>1200</v>
      </c>
      <c r="G7" s="12">
        <f t="shared" si="0"/>
        <v>2400</v>
      </c>
      <c r="H7" s="9"/>
      <c r="I7" s="30"/>
    </row>
    <row r="8" spans="1:11" x14ac:dyDescent="0.35">
      <c r="C8" s="30"/>
      <c r="D8" s="13" t="s">
        <v>18</v>
      </c>
      <c r="E8" s="9"/>
      <c r="F8" s="9"/>
      <c r="G8" s="14">
        <f>+G5+G6+G7</f>
        <v>6400</v>
      </c>
      <c r="H8" s="18">
        <f>+G8*22%</f>
        <v>1408</v>
      </c>
      <c r="I8" s="30"/>
    </row>
    <row r="9" spans="1:11" ht="31" x14ac:dyDescent="0.35">
      <c r="C9" s="30"/>
      <c r="D9" s="11" t="s">
        <v>8</v>
      </c>
      <c r="E9" s="9"/>
      <c r="F9" s="9"/>
      <c r="G9" s="14">
        <f>+H8</f>
        <v>1408</v>
      </c>
      <c r="H9" s="9"/>
      <c r="I9" s="30"/>
    </row>
    <row r="10" spans="1:11" x14ac:dyDescent="0.35">
      <c r="C10" s="30"/>
      <c r="D10" s="9" t="s">
        <v>24</v>
      </c>
      <c r="E10" s="9"/>
      <c r="F10" s="9"/>
      <c r="G10" s="25">
        <f>+G8+G9</f>
        <v>7808</v>
      </c>
      <c r="H10" s="9"/>
      <c r="I10" s="30"/>
      <c r="J10" s="15">
        <f>G10*26300</f>
        <v>205350400</v>
      </c>
    </row>
    <row r="11" spans="1:11" ht="27.5" customHeight="1" x14ac:dyDescent="0.35">
      <c r="C11" s="31">
        <v>3</v>
      </c>
      <c r="D11" s="1" t="s">
        <v>11</v>
      </c>
      <c r="E11" s="19" t="s">
        <v>9</v>
      </c>
      <c r="F11" s="33"/>
      <c r="G11" s="26" t="s">
        <v>9</v>
      </c>
      <c r="H11" s="35"/>
      <c r="I11" s="1" t="s">
        <v>9</v>
      </c>
      <c r="J11" s="15">
        <v>270000000</v>
      </c>
      <c r="K11" s="15">
        <f>+J11/26500</f>
        <v>10188.67924528302</v>
      </c>
    </row>
    <row r="12" spans="1:11" ht="29.5" customHeight="1" x14ac:dyDescent="0.35">
      <c r="C12" s="31"/>
      <c r="D12" s="1" t="s">
        <v>12</v>
      </c>
      <c r="E12" s="19" t="s">
        <v>14</v>
      </c>
      <c r="F12" s="33"/>
      <c r="G12" s="27">
        <v>10189</v>
      </c>
      <c r="H12" s="35"/>
      <c r="I12" s="1" t="s">
        <v>21</v>
      </c>
      <c r="J12" s="15" t="s">
        <v>9</v>
      </c>
      <c r="K12" s="15" t="s">
        <v>9</v>
      </c>
    </row>
    <row r="13" spans="1:11" ht="33" customHeight="1" thickBot="1" x14ac:dyDescent="0.4">
      <c r="C13" s="32"/>
      <c r="D13" s="2" t="s">
        <v>13</v>
      </c>
      <c r="E13" s="20" t="s">
        <v>14</v>
      </c>
      <c r="F13" s="34"/>
      <c r="G13" s="28">
        <v>1509</v>
      </c>
      <c r="H13" s="36"/>
      <c r="I13" s="1" t="s">
        <v>22</v>
      </c>
      <c r="J13" s="15">
        <v>40000000</v>
      </c>
      <c r="K13" s="15">
        <f>+J13/26500</f>
        <v>1509.433962264151</v>
      </c>
    </row>
    <row r="14" spans="1:11" ht="21" customHeight="1" thickBot="1" x14ac:dyDescent="0.4">
      <c r="C14" s="2"/>
      <c r="D14" s="2" t="s">
        <v>24</v>
      </c>
      <c r="E14" s="20"/>
      <c r="F14" s="21"/>
      <c r="G14" s="29">
        <f>+G12+G13</f>
        <v>11698</v>
      </c>
      <c r="H14" s="22"/>
      <c r="I14" s="1"/>
      <c r="J14" s="15">
        <f>SUM(J11:J13)</f>
        <v>310000000</v>
      </c>
    </row>
    <row r="15" spans="1:11" ht="16" thickBot="1" x14ac:dyDescent="0.4">
      <c r="C15" s="7"/>
      <c r="D15" s="3" t="s">
        <v>15</v>
      </c>
      <c r="E15" s="7"/>
      <c r="F15" s="7"/>
      <c r="G15" s="23">
        <f>+G10+G14</f>
        <v>19506</v>
      </c>
      <c r="H15" s="4">
        <f>+H8</f>
        <v>1408</v>
      </c>
      <c r="I15" s="5" t="s">
        <v>9</v>
      </c>
      <c r="J15" s="15">
        <f>J10+J14</f>
        <v>515350400</v>
      </c>
    </row>
    <row r="16" spans="1:11" x14ac:dyDescent="0.35">
      <c r="J16" s="15">
        <f>J15/2</f>
        <v>257675200</v>
      </c>
    </row>
    <row r="17" spans="7:10" x14ac:dyDescent="0.35">
      <c r="G17" s="15" t="s">
        <v>20</v>
      </c>
      <c r="J17" s="15">
        <f>J14/13/2</f>
        <v>11923076.923076924</v>
      </c>
    </row>
  </sheetData>
  <mergeCells count="6">
    <mergeCell ref="D4:I4"/>
    <mergeCell ref="C5:C10"/>
    <mergeCell ref="I5:I10"/>
    <mergeCell ref="C11:C13"/>
    <mergeCell ref="F11:F13"/>
    <mergeCell ref="H11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Huế, Lê Thị</dc:creator>
  <cp:lastModifiedBy>Cư, Lê Hoành</cp:lastModifiedBy>
  <dcterms:created xsi:type="dcterms:W3CDTF">2025-11-20T03:53:05Z</dcterms:created>
  <dcterms:modified xsi:type="dcterms:W3CDTF">2026-05-14T07:43:26Z</dcterms:modified>
</cp:coreProperties>
</file>