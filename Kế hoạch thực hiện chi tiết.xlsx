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tranminhhoang_duytanrecycling_com/Documents/Microsoft Teams Chat Files/"/>
    </mc:Choice>
  </mc:AlternateContent>
  <xr:revisionPtr revIDLastSave="145" documentId="8_{00B7142E-840F-469F-B484-272DD31CC03C}" xr6:coauthVersionLast="47" xr6:coauthVersionMax="47" xr10:uidLastSave="{7F5229D2-2D5B-4B36-9A0E-7F606114C86A}"/>
  <bookViews>
    <workbookView xWindow="80" yWindow="1300" windowWidth="19200" windowHeight="8000" xr2:uid="{7E366779-152A-4B73-955A-D7735BDC43F3}"/>
  </bookViews>
  <sheets>
    <sheet name="Nhóm task" sheetId="4" r:id="rId1"/>
    <sheet name="Công việc vụ thể theo startdate" sheetId="3" r:id="rId2"/>
    <sheet name="Milestone chính" sheetId="5" r:id="rId3"/>
    <sheet name="Thời gian Họp" sheetId="1" r:id="rId4"/>
  </sheets>
  <definedNames>
    <definedName name="_xlnm._FilterDatabase" localSheetId="0" hidden="1">'Nhóm task'!$A$2:$H$72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</calcChain>
</file>

<file path=xl/sharedStrings.xml><?xml version="1.0" encoding="utf-8"?>
<sst xmlns="http://schemas.openxmlformats.org/spreadsheetml/2006/main" count="796" uniqueCount="193">
  <si>
    <t>Task Name</t>
  </si>
  <si>
    <t>Start Date</t>
  </si>
  <si>
    <t>Due Date</t>
  </si>
  <si>
    <t>Status</t>
  </si>
  <si>
    <t>PIC (BDA)</t>
  </si>
  <si>
    <t>Risks define</t>
  </si>
  <si>
    <t>Xin chủ trương Hepza</t>
  </si>
  <si>
    <t>Đang thực hiện</t>
  </si>
  <si>
    <t>Hoàng</t>
  </si>
  <si>
    <t>Pháp chế</t>
  </si>
  <si>
    <t>- Không xin được trong KCN
- Trễ tiến độ</t>
  </si>
  <si>
    <t>Tìm kiếm mặt bằng</t>
  </si>
  <si>
    <t>- Trễ tiến độ</t>
  </si>
  <si>
    <t>Mặt bằng được duyệt</t>
  </si>
  <si>
    <t>Mở</t>
  </si>
  <si>
    <t/>
  </si>
  <si>
    <t>Pháp lý</t>
  </si>
  <si>
    <t>Thành lập pháp nhân (đăng ký doanh nghiệp)</t>
  </si>
  <si>
    <t>Ký hợp đồng thuê nhà xưởng</t>
  </si>
  <si>
    <t>- Mất tiền cọc</t>
  </si>
  <si>
    <t>Xin giấy phép hoạt động</t>
  </si>
  <si>
    <t>Giấy phép đầu tư</t>
  </si>
  <si>
    <t>Hiện</t>
  </si>
  <si>
    <t>- Không xin được trong KCN</t>
  </si>
  <si>
    <t>Giấy phép môi trường</t>
  </si>
  <si>
    <t>Pháp chế, Kỹ thuật</t>
  </si>
  <si>
    <t>Giấy phép PCCC</t>
  </si>
  <si>
    <t>buffer time xin giấy phép hoạt động</t>
  </si>
  <si>
    <t>Thiết lập Trạm (Build)</t>
  </si>
  <si>
    <t>Trạm</t>
  </si>
  <si>
    <t>Set up CSHT</t>
  </si>
  <si>
    <t>XDCB</t>
  </si>
  <si>
    <t>Khảo sát và đánh giá điều kiện kỹ thuật trạm</t>
  </si>
  <si>
    <t>Kỹ thuật</t>
  </si>
  <si>
    <t>- Đánh giá sót</t>
  </si>
  <si>
    <t>Cải tạo CSHT</t>
  </si>
  <si>
    <t>- Phát sinh chi phí cao vượt NS</t>
  </si>
  <si>
    <t>Nghiệm thu CSHT</t>
  </si>
  <si>
    <t>Set up MMTB</t>
  </si>
  <si>
    <t>Thiết kế layout và đề xuất đầu tư MMTB chính</t>
  </si>
  <si>
    <t>Thiết kế layout và đề xuất MMTB chi tiết</t>
  </si>
  <si>
    <t>Trạm, Kỹ thuật</t>
  </si>
  <si>
    <t>Layout được ký duyệt</t>
  </si>
  <si>
    <t>Mua MMTB</t>
  </si>
  <si>
    <t>Mua hàng</t>
  </si>
  <si>
    <t>Hợp đồng mua máy nước ngoài</t>
  </si>
  <si>
    <t>Mua hàng, Kỹ thuật</t>
  </si>
  <si>
    <t>Mua MMTB nước ngoài</t>
  </si>
  <si>
    <t>Hợp đồng mua máy trong nước</t>
  </si>
  <si>
    <t>Mua MMTB trong nước</t>
  </si>
  <si>
    <t>MMTB về trạm</t>
  </si>
  <si>
    <t>Lắp đặt MMTB</t>
  </si>
  <si>
    <t>Vận hành thử nghiệm</t>
  </si>
  <si>
    <t>Trạm, Cung ứng, Kỹ thuật</t>
  </si>
  <si>
    <t>Nghiệm thu MMTB</t>
  </si>
  <si>
    <t>Set up hệ thống vận hành</t>
  </si>
  <si>
    <t>Định hướng và KPIs</t>
  </si>
  <si>
    <t>Định hướng chiến lược</t>
  </si>
  <si>
    <t>Thiết lập mục tiêu và KPIs</t>
  </si>
  <si>
    <t>Thiết lập hệ thống quản trị (SĐTC, DOA, LOA...)</t>
  </si>
  <si>
    <t>Thiết lập hệ thống kiểm soát</t>
  </si>
  <si>
    <t>Nhung</t>
  </si>
  <si>
    <t>Trạm, Cung ứng</t>
  </si>
  <si>
    <t>Hoàn thiện hệ thống dữ liệu thị trường</t>
  </si>
  <si>
    <t>Cung ứng</t>
  </si>
  <si>
    <t>Thiết lập báo cáo BI</t>
  </si>
  <si>
    <t>Cung Ứng</t>
  </si>
  <si>
    <t>Tuyền</t>
  </si>
  <si>
    <t>Thiết lập hệ thống quản lý và vận hành (3Q)</t>
  </si>
  <si>
    <t>Mua hàng (input)</t>
  </si>
  <si>
    <t>Cung ứng, Tài chính</t>
  </si>
  <si>
    <t>Sản xuất (process)</t>
  </si>
  <si>
    <t>Bán hàng (output)</t>
  </si>
  <si>
    <t>Trạm, Cung ứng, Tài chính</t>
  </si>
  <si>
    <t>Thiết lập hệ thống quản lý chung</t>
  </si>
  <si>
    <t>HCNS, Trạm, Cung ứng, Kỹ thuật</t>
  </si>
  <si>
    <t>Nhân sự</t>
  </si>
  <si>
    <t>HCNS, Trạm</t>
  </si>
  <si>
    <t>Tuyển dụng</t>
  </si>
  <si>
    <t>Đào tạo</t>
  </si>
  <si>
    <t>HSE</t>
  </si>
  <si>
    <t>HCNS, Trạm, Kỹ thuật</t>
  </si>
  <si>
    <t>Xây dựng hệ thống, mua sắm trang bị</t>
  </si>
  <si>
    <t>Môi trường</t>
  </si>
  <si>
    <t>Hành chánh</t>
  </si>
  <si>
    <t>Bảo vệ</t>
  </si>
  <si>
    <t>Giấy phép và thủ tục hành chính</t>
  </si>
  <si>
    <t>Camera giám sát</t>
  </si>
  <si>
    <t>Văn phòng, tiện ích</t>
  </si>
  <si>
    <t>Trạm, Tài chính</t>
  </si>
  <si>
    <t>Chất lượng</t>
  </si>
  <si>
    <t>QC, Trạm, Cung ứng</t>
  </si>
  <si>
    <t>Hệ thống quản trị rủi ro</t>
  </si>
  <si>
    <t>Thử nghiệm vận hành toàn hệ thống</t>
  </si>
  <si>
    <t>QC, Trạm, Cung ứng, Kỹ thuật</t>
  </si>
  <si>
    <t>Hệ thống sẵn sàng vận hành</t>
  </si>
  <si>
    <t>Vận hành (Operation)</t>
  </si>
  <si>
    <t>QC, Trạm, Cung ứng, Tài chính</t>
  </si>
  <si>
    <t>Sản xuất</t>
  </si>
  <si>
    <t>QC, Trạm, Kỹ thuật</t>
  </si>
  <si>
    <t>Bán hàng</t>
  </si>
  <si>
    <t>Thiết lập hệ thống quản lý số</t>
  </si>
  <si>
    <t>CNTT</t>
  </si>
  <si>
    <t>Triển khai SAP: chức năng chính phân hệ FI &amp; MM</t>
  </si>
  <si>
    <t>Triển khai Salesforce</t>
  </si>
  <si>
    <t>Triển khai SAP tất cả các phân hệ</t>
  </si>
  <si>
    <t>STT</t>
  </si>
  <si>
    <t>Số ngày thực hiện</t>
  </si>
  <si>
    <t>Stakeholders</t>
  </si>
  <si>
    <t>PIC (stakeholders)</t>
  </si>
  <si>
    <t>Trình định hướng</t>
  </si>
  <si>
    <t>Hoàn thành</t>
  </si>
  <si>
    <t>Lập kế hoạch sơ bộ dự án, đăng ký dự án</t>
  </si>
  <si>
    <t>Thiết lập mục tiêu cụ thể</t>
  </si>
  <si>
    <t>Kim Thanh</t>
  </si>
  <si>
    <t>Hoàn thiện kế hoạch dự án</t>
  </si>
  <si>
    <t>Đức Thắng</t>
  </si>
  <si>
    <t>Minh Nhựt</t>
  </si>
  <si>
    <t>Phước An</t>
  </si>
  <si>
    <t>Yến Oanh</t>
  </si>
  <si>
    <t>Ngọc Tuyền</t>
  </si>
  <si>
    <t>Văn Khánh</t>
  </si>
  <si>
    <t>Thế Tính</t>
  </si>
  <si>
    <t>Kim Liên</t>
  </si>
  <si>
    <t>Thuê Bảo vệ</t>
  </si>
  <si>
    <t>Thiết lập Văn phòng, tiện ích</t>
  </si>
  <si>
    <t>Giấy phép và thủ tục HCNS</t>
  </si>
  <si>
    <t>Hệ thống Camera giám sát</t>
  </si>
  <si>
    <t>Lê Huế</t>
  </si>
  <si>
    <t>Thiết lập hệ thống quản lý Tài chính kế toán</t>
  </si>
  <si>
    <t>Hoành Cư</t>
  </si>
  <si>
    <t>Triển khai hệ thống Loyalty</t>
  </si>
  <si>
    <t>Hoàng Nam</t>
  </si>
  <si>
    <t>Xây dựng hệ thống, mua sắm trang bị HSE</t>
  </si>
  <si>
    <t>Thiết lập hệ thống quản lý Chất lượng</t>
  </si>
  <si>
    <t>Bích Phượng</t>
  </si>
  <si>
    <t>Đào tạo nhân sự</t>
  </si>
  <si>
    <t>Đào tạo HSE</t>
  </si>
  <si>
    <t>Tỷ Phú</t>
  </si>
  <si>
    <t>Hướng dẫn, hồ sơ chuyển giao dự án:</t>
  </si>
  <si>
    <t>Chỉ tiêu thị trường</t>
  </si>
  <si>
    <t>Kim Thủy</t>
  </si>
  <si>
    <t>Đánh giá NCƯ</t>
  </si>
  <si>
    <t>Chính sách</t>
  </si>
  <si>
    <t>Hướng dẫn Vận hành MMTB</t>
  </si>
  <si>
    <t>Bảo trì bảo dưỡng MMTB</t>
  </si>
  <si>
    <t>Nghiệm thu - bàn giao MMTB</t>
  </si>
  <si>
    <t>Mục tiêu sản xuất</t>
  </si>
  <si>
    <t>Theo dõi đánh giá sản xuất</t>
  </si>
  <si>
    <t>Vận tải</t>
  </si>
  <si>
    <t>Trade</t>
  </si>
  <si>
    <t>Định hướng được duyệt</t>
  </si>
  <si>
    <t>Duyệt chủ trương</t>
  </si>
  <si>
    <t>Pre-kickoff (online)</t>
  </si>
  <si>
    <t>Dự án được duyệt</t>
  </si>
  <si>
    <t>Kick off dự án</t>
  </si>
  <si>
    <t>Hoàn thành thủ tục đóng dự án</t>
  </si>
  <si>
    <t>Thành viên</t>
  </si>
  <si>
    <t>Tần suất</t>
  </si>
  <si>
    <t>Mục tiêu - Nội dung</t>
  </si>
  <si>
    <t>Thời gian (Tháng/Tuần)</t>
  </si>
  <si>
    <t>Tháng 1</t>
  </si>
  <si>
    <t>Tháng 2</t>
  </si>
  <si>
    <t>Tháng 3</t>
  </si>
  <si>
    <t>Tháng 4</t>
  </si>
  <si>
    <t>Tháng 5</t>
  </si>
  <si>
    <t>Tháng 6</t>
  </si>
  <si>
    <t>1 tuần/lần</t>
  </si>
  <si>
    <r>
      <t>•</t>
    </r>
    <r>
      <rPr>
        <sz val="18"/>
        <color rgb="FF000000"/>
        <rFont val="Arial"/>
      </rPr>
      <t>Tiến độ pháp lý, giấy phép hoạt động của Trạm</t>
    </r>
  </si>
  <si>
    <t>Kỹ Thuật</t>
  </si>
  <si>
    <r>
      <t>•</t>
    </r>
    <r>
      <rPr>
        <sz val="18"/>
        <color rgb="FF000000"/>
        <rFont val="Arial"/>
      </rPr>
      <t>Tiến độ thiết kế, lắp đặt theo các giai đoạn</t>
    </r>
  </si>
  <si>
    <t>Mua Hàng</t>
  </si>
  <si>
    <r>
      <t>•</t>
    </r>
    <r>
      <rPr>
        <sz val="18"/>
        <color rgb="FF000000"/>
        <rFont val="Arial"/>
      </rPr>
      <t>Tiến độ mua MMTB</t>
    </r>
  </si>
  <si>
    <r>
      <t>•</t>
    </r>
    <r>
      <rPr>
        <sz val="18"/>
        <color rgb="FF000000"/>
        <rFont val="Arial"/>
      </rPr>
      <t>Tiến độ xây dựng hệ thống phần mềm và dữ liệu số</t>
    </r>
  </si>
  <si>
    <t>HCNS</t>
  </si>
  <si>
    <t>4 tuần/lần</t>
  </si>
  <si>
    <t>•Tiến độ xây dựng quy trình hoạt động, 3Q
•Tiến độ tuyển dụng NS</t>
  </si>
  <si>
    <t>•Đào tạo chất lượng
•Chất lượng hàng hóa thu mua, sản xuất</t>
  </si>
  <si>
    <t>•Tiến độ thu mua
•Các giải pháp để đạt được mục tiêu.</t>
  </si>
  <si>
    <t>GĐ Trạm</t>
  </si>
  <si>
    <r>
      <t>•</t>
    </r>
    <r>
      <rPr>
        <sz val="18"/>
        <color rgb="FF000000"/>
        <rFont val="Arial"/>
        <family val="2"/>
      </rPr>
      <t>Sản xuất và các vấn đề vận hành</t>
    </r>
  </si>
  <si>
    <t>- Thay đổi mặt bằng</t>
  </si>
  <si>
    <t>- Trễ tiến độ xin GPMT</t>
  </si>
  <si>
    <t>- Trễ tiến độ xin PCCC</t>
  </si>
  <si>
    <t>- Trễ tiến độ MMTB về trạm</t>
  </si>
  <si>
    <t>- Không đáp ứng được sản lượng
- Sản lượng quá mức so với thiết kế</t>
  </si>
  <si>
    <t>- Sản lượng về chai ép kiện nhiều hơn chai tròn</t>
  </si>
  <si>
    <t>Tuyết Xuân</t>
  </si>
  <si>
    <t>Công Thành</t>
  </si>
  <si>
    <t>Nhựt Hiện</t>
  </si>
  <si>
    <t>Thanh Nhã</t>
  </si>
  <si>
    <t>Thiết kế layout và đề xuất MMTB phụ</t>
  </si>
  <si>
    <t>Thiết kế layout sơ bộ và đề xuất đầu tư MMTB mua lâu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</si>
</sst>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8"/>
      <name val="Arial"/>
    </font>
    <font>
      <b/>
      <sz val="18"/>
      <color rgb="FF000000"/>
      <name val="Arial"/>
    </font>
    <font>
      <b/>
      <sz val="14"/>
      <color rgb="FF000000"/>
      <name val="Arial"/>
    </font>
    <font>
      <sz val="18"/>
      <color rgb="FF000000"/>
      <name val="Arial"/>
    </font>
    <font>
      <sz val="24"/>
      <color rgb="FF000000"/>
      <name val="Arial"/>
    </font>
    <font>
      <sz val="8"/>
      <name val="Aptos Narrow"/>
      <family val="2"/>
      <scheme val="minor"/>
    </font>
    <font>
      <sz val="24"/>
      <color rgb="FF000000"/>
      <name val="Arial"/>
      <family val="2"/>
    </font>
    <font>
      <sz val="18"/>
      <color rgb="FF000000"/>
      <name val="Arial"/>
      <family val="2"/>
    </font>
    <font>
      <sz val="11"/>
      <color theme="1"/>
      <name val="Aptos Narrow"/>
      <family val="2"/>
      <scheme val="minor"/>
    </font>
    <font>
      <sz val="12"/>
      <color rgb="FFFFFFFF"/>
      <name val="Roboto"/>
      <family val="2"/>
    </font>
    <font>
      <sz val="12"/>
      <name val="Roboto"/>
      <family val="2"/>
    </font>
    <font>
      <u/>
      <sz val="12"/>
      <name val="Roboto"/>
      <family val="2"/>
    </font>
    <font>
      <b/>
      <sz val="12"/>
      <name val="Roboto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3C7EB0"/>
      </patternFill>
    </fill>
    <fill>
      <patternFill patternType="solid">
        <fgColor rgb="FFF9D900"/>
      </patternFill>
    </fill>
    <fill>
      <patternFill patternType="solid">
        <fgColor rgb="FF87909E"/>
      </patternFill>
    </fill>
    <fill>
      <patternFill patternType="solid">
        <fgColor rgb="FFBF55EC"/>
      </patternFill>
    </fill>
    <fill>
      <patternFill patternType="solid">
        <fgColor rgb="FF026902"/>
      </patternFill>
    </fill>
    <fill>
      <patternFill patternType="solid">
        <fgColor rgb="FFFF4081"/>
      </patternFill>
    </fill>
    <fill>
      <patternFill patternType="solid">
        <fgColor rgb="FFB7DA2A"/>
      </patternFill>
    </fill>
    <fill>
      <patternFill patternType="solid">
        <fgColor rgb="FFF4BAF3"/>
      </patternFill>
    </fill>
    <fill>
      <patternFill patternType="solid">
        <fgColor rgb="FF0231E8"/>
      </patternFill>
    </fill>
    <fill>
      <patternFill patternType="solid">
        <fgColor rgb="FF60D4DA"/>
      </patternFill>
    </fill>
    <fill>
      <patternFill patternType="solid">
        <fgColor rgb="FFFDAE0E"/>
      </patternFill>
    </fill>
    <fill>
      <patternFill patternType="solid">
        <fgColor rgb="FF84F960"/>
      </patternFill>
    </fill>
    <fill>
      <patternFill patternType="solid">
        <fgColor rgb="FF7C4DFF"/>
      </patternFill>
    </fill>
    <fill>
      <patternFill patternType="solid">
        <fgColor rgb="FFE50000"/>
      </patternFill>
    </fill>
    <fill>
      <patternFill patternType="solid">
        <fgColor rgb="FFE65100"/>
      </patternFill>
    </fill>
    <fill>
      <patternFill patternType="solid">
        <fgColor rgb="FFD14B23"/>
      </patternFill>
    </fill>
    <fill>
      <patternFill patternType="solid">
        <fgColor rgb="FF2ECD6F"/>
      </patternFill>
    </fill>
    <fill>
      <patternFill patternType="solid">
        <fgColor rgb="FF2F3410"/>
      </patternFill>
    </fill>
    <fill>
      <patternFill patternType="solid">
        <fgColor rgb="FFF8AE00"/>
      </patternFill>
    </fill>
    <fill>
      <patternFill patternType="solid">
        <fgColor rgb="FF1090E0"/>
      </patternFill>
    </fill>
    <fill>
      <patternFill patternType="solid">
        <fgColor rgb="FFE0E0E0"/>
      </patternFill>
    </fill>
    <fill>
      <patternFill patternType="solid">
        <fgColor rgb="FFB5E6A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justify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justify" vertical="center" wrapText="1" readingOrder="1"/>
    </xf>
    <xf numFmtId="0" fontId="1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justify" vertical="center" wrapText="1" readingOrder="1"/>
    </xf>
    <xf numFmtId="0" fontId="8" fillId="0" borderId="1" xfId="0" applyFont="1" applyBorder="1" applyAlignment="1">
      <alignment horizontal="justify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8" fillId="0" borderId="2" xfId="0" applyFont="1" applyBorder="1" applyAlignment="1">
      <alignment horizontal="justify" vertical="center" wrapText="1" readingOrder="1"/>
    </xf>
    <xf numFmtId="0" fontId="1" fillId="0" borderId="2" xfId="0" applyFont="1" applyBorder="1" applyAlignment="1">
      <alignment horizontal="justify" vertical="top" wrapText="1"/>
    </xf>
    <xf numFmtId="0" fontId="8" fillId="0" borderId="1" xfId="0" applyFont="1" applyBorder="1" applyAlignment="1">
      <alignment horizontal="left" vertical="center" wrapText="1" readingOrder="1"/>
    </xf>
    <xf numFmtId="0" fontId="0" fillId="0" borderId="1" xfId="0" applyBorder="1"/>
    <xf numFmtId="0" fontId="1" fillId="2" borderId="1" xfId="0" applyFont="1" applyFill="1" applyBorder="1" applyAlignment="1">
      <alignment horizontal="justify" vertical="top" wrapText="1"/>
    </xf>
    <xf numFmtId="0" fontId="1" fillId="2" borderId="2" xfId="0" applyFont="1" applyFill="1" applyBorder="1" applyAlignment="1">
      <alignment horizontal="justify" vertical="top" wrapText="1"/>
    </xf>
    <xf numFmtId="0" fontId="0" fillId="2" borderId="1" xfId="0" applyFill="1" applyBorder="1"/>
    <xf numFmtId="0" fontId="9" fillId="0" borderId="0" xfId="1"/>
    <xf numFmtId="0" fontId="10" fillId="3" borderId="0" xfId="1" applyFont="1" applyFill="1" applyAlignment="1">
      <alignment horizontal="center"/>
    </xf>
    <xf numFmtId="0" fontId="11" fillId="0" borderId="0" xfId="1" applyFont="1"/>
    <xf numFmtId="0" fontId="11" fillId="4" borderId="0" xfId="1" applyFont="1" applyFill="1" applyAlignment="1">
      <alignment horizontal="center"/>
    </xf>
    <xf numFmtId="0" fontId="11" fillId="0" borderId="0" xfId="1" applyFont="1" applyAlignment="1">
      <alignment horizontal="center"/>
    </xf>
    <xf numFmtId="14" fontId="11" fillId="0" borderId="0" xfId="1" applyNumberFormat="1" applyFont="1" applyAlignment="1">
      <alignment horizontal="center"/>
    </xf>
    <xf numFmtId="0" fontId="10" fillId="5" borderId="0" xfId="1" applyFont="1" applyFill="1" applyAlignment="1">
      <alignment horizontal="center"/>
    </xf>
    <xf numFmtId="0" fontId="12" fillId="0" borderId="0" xfId="1" applyFont="1" applyAlignment="1">
      <alignment horizontal="left" indent="1"/>
    </xf>
    <xf numFmtId="0" fontId="10" fillId="6" borderId="0" xfId="1" applyFont="1" applyFill="1" applyAlignment="1">
      <alignment horizontal="center"/>
    </xf>
    <xf numFmtId="0" fontId="10" fillId="7" borderId="0" xfId="1" applyFont="1" applyFill="1" applyAlignment="1">
      <alignment horizontal="center"/>
    </xf>
    <xf numFmtId="0" fontId="10" fillId="8" borderId="0" xfId="1" applyFont="1" applyFill="1" applyAlignment="1">
      <alignment horizontal="center"/>
    </xf>
    <xf numFmtId="0" fontId="10" fillId="9" borderId="0" xfId="1" applyFont="1" applyFill="1" applyAlignment="1">
      <alignment horizontal="center"/>
    </xf>
    <xf numFmtId="0" fontId="12" fillId="0" borderId="0" xfId="1" applyFont="1"/>
    <xf numFmtId="0" fontId="11" fillId="10" borderId="0" xfId="1" applyFont="1" applyFill="1" applyAlignment="1">
      <alignment horizontal="center"/>
    </xf>
    <xf numFmtId="0" fontId="10" fillId="11" borderId="0" xfId="1" applyFont="1" applyFill="1" applyAlignment="1">
      <alignment horizontal="center"/>
    </xf>
    <xf numFmtId="0" fontId="10" fillId="12" borderId="0" xfId="1" applyFont="1" applyFill="1" applyAlignment="1">
      <alignment horizontal="center"/>
    </xf>
    <xf numFmtId="0" fontId="10" fillId="13" borderId="0" xfId="1" applyFont="1" applyFill="1" applyAlignment="1">
      <alignment horizontal="center"/>
    </xf>
    <xf numFmtId="0" fontId="10" fillId="14" borderId="0" xfId="1" applyFont="1" applyFill="1" applyAlignment="1">
      <alignment horizontal="center"/>
    </xf>
    <xf numFmtId="0" fontId="10" fillId="15" borderId="0" xfId="1" applyFont="1" applyFill="1" applyAlignment="1">
      <alignment horizontal="center"/>
    </xf>
    <xf numFmtId="0" fontId="10" fillId="16" borderId="0" xfId="1" applyFont="1" applyFill="1" applyAlignment="1">
      <alignment horizontal="center"/>
    </xf>
    <xf numFmtId="0" fontId="10" fillId="17" borderId="0" xfId="1" applyFont="1" applyFill="1" applyAlignment="1">
      <alignment horizontal="center"/>
    </xf>
    <xf numFmtId="0" fontId="10" fillId="18" borderId="0" xfId="1" applyFont="1" applyFill="1" applyAlignment="1">
      <alignment horizontal="center"/>
    </xf>
    <xf numFmtId="0" fontId="10" fillId="19" borderId="0" xfId="1" applyFont="1" applyFill="1" applyAlignment="1">
      <alignment horizontal="center"/>
    </xf>
    <xf numFmtId="0" fontId="10" fillId="20" borderId="0" xfId="1" applyFont="1" applyFill="1" applyAlignment="1">
      <alignment horizontal="center"/>
    </xf>
    <xf numFmtId="0" fontId="10" fillId="21" borderId="0" xfId="1" applyFont="1" applyFill="1" applyAlignment="1">
      <alignment horizontal="center"/>
    </xf>
    <xf numFmtId="0" fontId="10" fillId="22" borderId="0" xfId="1" applyFont="1" applyFill="1" applyAlignment="1">
      <alignment horizontal="center"/>
    </xf>
    <xf numFmtId="0" fontId="13" fillId="23" borderId="0" xfId="1" applyFont="1" applyFill="1" applyAlignment="1">
      <alignment horizontal="center"/>
    </xf>
    <xf numFmtId="0" fontId="9" fillId="0" borderId="0" xfId="1" applyAlignment="1">
      <alignment horizontal="left" indent="1"/>
    </xf>
    <xf numFmtId="0" fontId="11" fillId="0" borderId="0" xfId="1" applyFont="1" applyAlignment="1">
      <alignment horizontal="left" indent="1"/>
    </xf>
    <xf numFmtId="0" fontId="10" fillId="11" borderId="0" xfId="1" applyFont="1" applyFill="1" applyAlignment="1">
      <alignment horizontal="left" indent="1"/>
    </xf>
    <xf numFmtId="14" fontId="11" fillId="0" borderId="0" xfId="1" applyNumberFormat="1" applyFont="1" applyAlignment="1">
      <alignment horizontal="left" indent="1"/>
    </xf>
    <xf numFmtId="0" fontId="12" fillId="0" borderId="0" xfId="1" applyFont="1" applyAlignment="1">
      <alignment horizontal="left" indent="5"/>
    </xf>
    <xf numFmtId="0" fontId="12" fillId="0" borderId="0" xfId="1" applyFont="1" applyAlignment="1">
      <alignment horizontal="left" indent="7"/>
    </xf>
    <xf numFmtId="0" fontId="12" fillId="0" borderId="0" xfId="1" applyFont="1" applyAlignment="1">
      <alignment horizontal="left" indent="3"/>
    </xf>
    <xf numFmtId="0" fontId="9" fillId="0" borderId="0" xfId="1" quotePrefix="1" applyAlignment="1">
      <alignment wrapText="1"/>
    </xf>
    <xf numFmtId="0" fontId="1" fillId="24" borderId="1" xfId="0" applyFont="1" applyFill="1" applyBorder="1" applyAlignment="1">
      <alignment horizontal="justify" vertical="top" wrapText="1"/>
    </xf>
    <xf numFmtId="0" fontId="9" fillId="0" borderId="0" xfId="1" quotePrefix="1"/>
    <xf numFmtId="0" fontId="2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Normal 2" xfId="1" xr:uid="{3954D7CC-4627-4FCC-9B94-82E304781F01}"/>
  </cellStyles>
  <dxfs count="0"/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B6B9-64E3-4E6F-A176-66AE2ECFF87B}">
  <dimension ref="A1:J72"/>
  <sheetViews>
    <sheetView tabSelected="1" zoomScale="55" zoomScaleNormal="55" workbookViewId="0">
      <selection activeCell="A21" sqref="A21"/>
    </sheetView>
  </sheetViews>
  <sheetFormatPr defaultColWidth="8.58203125" defaultRowHeight="14.5" outlineLevelRow="2" x14ac:dyDescent="0.35"/>
  <cols>
    <col min="1" max="1" width="50.1640625" style="17" customWidth="1"/>
    <col min="2" max="2" width="15.58203125" style="17" customWidth="1"/>
    <col min="3" max="3" width="12.83203125" style="17" customWidth="1"/>
    <col min="4" max="4" width="22.08203125" style="17" customWidth="1"/>
    <col min="5" max="5" width="22.33203125" style="17" customWidth="1"/>
    <col min="6" max="7" width="30.58203125" style="17" customWidth="1"/>
    <col min="8" max="8" width="36.33203125" style="17" bestFit="1" customWidth="1"/>
    <col min="9" max="10" width="24.83203125" style="17" customWidth="1"/>
    <col min="11" max="16384" width="8.58203125" style="17"/>
  </cols>
  <sheetData>
    <row r="1" spans="1:10" ht="13.4" customHeight="1" x14ac:dyDescent="0.35"/>
    <row r="2" spans="1:10" ht="15.5" x14ac:dyDescent="0.35">
      <c r="A2" s="43" t="s">
        <v>0</v>
      </c>
      <c r="B2" s="43" t="s">
        <v>1</v>
      </c>
      <c r="C2" s="43" t="s">
        <v>2</v>
      </c>
      <c r="D2" s="43" t="s">
        <v>3</v>
      </c>
      <c r="E2" s="43" t="s">
        <v>4</v>
      </c>
      <c r="F2" s="43" t="s">
        <v>108</v>
      </c>
      <c r="G2" s="43" t="s">
        <v>109</v>
      </c>
      <c r="H2" s="43" t="s">
        <v>5</v>
      </c>
      <c r="I2" s="43"/>
      <c r="J2" s="43"/>
    </row>
    <row r="3" spans="1:10" ht="29" x14ac:dyDescent="0.35">
      <c r="A3" s="19" t="s">
        <v>6</v>
      </c>
      <c r="B3" s="22">
        <v>46023</v>
      </c>
      <c r="C3" s="22">
        <v>46053</v>
      </c>
      <c r="D3" s="41" t="s">
        <v>7</v>
      </c>
      <c r="E3" s="20" t="s">
        <v>8</v>
      </c>
      <c r="F3" s="19" t="s">
        <v>9</v>
      </c>
      <c r="G3" s="27" t="s">
        <v>114</v>
      </c>
      <c r="H3" s="51" t="s">
        <v>10</v>
      </c>
    </row>
    <row r="4" spans="1:10" ht="15.5" x14ac:dyDescent="0.35">
      <c r="A4" s="19" t="s">
        <v>11</v>
      </c>
      <c r="B4" s="22">
        <v>46023</v>
      </c>
      <c r="C4" s="22">
        <v>46053</v>
      </c>
      <c r="D4" s="41" t="s">
        <v>7</v>
      </c>
      <c r="E4" s="20" t="s">
        <v>8</v>
      </c>
      <c r="F4" s="19" t="s">
        <v>9</v>
      </c>
      <c r="G4" s="27" t="s">
        <v>114</v>
      </c>
      <c r="H4" s="53" t="s">
        <v>12</v>
      </c>
    </row>
    <row r="5" spans="1:10" ht="15.5" x14ac:dyDescent="0.35">
      <c r="A5" s="19" t="s">
        <v>13</v>
      </c>
      <c r="B5" s="22">
        <v>46054</v>
      </c>
      <c r="C5" s="22">
        <v>46054</v>
      </c>
      <c r="D5" s="23" t="s">
        <v>14</v>
      </c>
      <c r="E5" s="19" t="s">
        <v>15</v>
      </c>
      <c r="F5" s="19" t="s">
        <v>15</v>
      </c>
      <c r="G5" s="19"/>
      <c r="H5" s="53" t="s">
        <v>12</v>
      </c>
    </row>
    <row r="6" spans="1:10" ht="15.5" x14ac:dyDescent="0.35">
      <c r="A6" s="19" t="s">
        <v>16</v>
      </c>
      <c r="B6" s="22">
        <v>46054</v>
      </c>
      <c r="C6" s="22">
        <v>46093</v>
      </c>
      <c r="D6" s="23" t="s">
        <v>14</v>
      </c>
      <c r="E6" s="20" t="s">
        <v>8</v>
      </c>
      <c r="F6" s="19" t="s">
        <v>9</v>
      </c>
      <c r="G6" s="19"/>
    </row>
    <row r="7" spans="1:10" ht="15.5" x14ac:dyDescent="0.35">
      <c r="A7" s="24" t="s">
        <v>17</v>
      </c>
      <c r="B7" s="22">
        <v>46055</v>
      </c>
      <c r="C7" s="22">
        <v>46061</v>
      </c>
      <c r="D7" s="23" t="s">
        <v>14</v>
      </c>
      <c r="E7" s="20" t="s">
        <v>8</v>
      </c>
      <c r="F7" s="19" t="s">
        <v>9</v>
      </c>
      <c r="G7" s="27" t="s">
        <v>122</v>
      </c>
    </row>
    <row r="8" spans="1:10" ht="15.5" x14ac:dyDescent="0.35">
      <c r="A8" s="24" t="s">
        <v>18</v>
      </c>
      <c r="B8" s="22">
        <v>46062</v>
      </c>
      <c r="C8" s="22">
        <v>46068</v>
      </c>
      <c r="D8" s="23" t="s">
        <v>14</v>
      </c>
      <c r="E8" s="20" t="s">
        <v>8</v>
      </c>
      <c r="F8" s="19" t="s">
        <v>9</v>
      </c>
      <c r="G8" s="27" t="s">
        <v>114</v>
      </c>
      <c r="H8" s="53" t="s">
        <v>19</v>
      </c>
    </row>
    <row r="9" spans="1:10" ht="15.5" x14ac:dyDescent="0.35">
      <c r="A9" s="24" t="s">
        <v>20</v>
      </c>
      <c r="B9" s="22">
        <v>46069</v>
      </c>
      <c r="C9" s="22">
        <v>46120</v>
      </c>
      <c r="D9" s="23" t="s">
        <v>14</v>
      </c>
      <c r="E9" s="20" t="s">
        <v>8</v>
      </c>
      <c r="F9" s="19" t="s">
        <v>9</v>
      </c>
      <c r="G9" s="27" t="s">
        <v>122</v>
      </c>
    </row>
    <row r="10" spans="1:10" ht="15.5" outlineLevel="1" x14ac:dyDescent="0.35">
      <c r="A10" s="50" t="s">
        <v>21</v>
      </c>
      <c r="B10" s="22">
        <v>46054</v>
      </c>
      <c r="C10" s="22">
        <v>46067</v>
      </c>
      <c r="D10" s="23" t="s">
        <v>14</v>
      </c>
      <c r="E10" s="39" t="s">
        <v>22</v>
      </c>
      <c r="F10" s="19" t="s">
        <v>9</v>
      </c>
      <c r="G10" s="27" t="s">
        <v>114</v>
      </c>
      <c r="H10" s="53" t="s">
        <v>23</v>
      </c>
    </row>
    <row r="11" spans="1:10" ht="15.5" outlineLevel="1" x14ac:dyDescent="0.35">
      <c r="A11" s="50" t="s">
        <v>24</v>
      </c>
      <c r="B11" s="22">
        <v>46077</v>
      </c>
      <c r="C11" s="22">
        <v>46090</v>
      </c>
      <c r="D11" s="23" t="s">
        <v>14</v>
      </c>
      <c r="E11" s="20" t="s">
        <v>8</v>
      </c>
      <c r="F11" s="19" t="s">
        <v>25</v>
      </c>
      <c r="G11" s="27" t="s">
        <v>114</v>
      </c>
      <c r="H11" s="53" t="s">
        <v>182</v>
      </c>
    </row>
    <row r="12" spans="1:10" ht="15.5" outlineLevel="1" x14ac:dyDescent="0.35">
      <c r="A12" s="50" t="s">
        <v>26</v>
      </c>
      <c r="B12" s="22">
        <v>46077</v>
      </c>
      <c r="C12" s="22">
        <v>46090</v>
      </c>
      <c r="D12" s="23" t="s">
        <v>14</v>
      </c>
      <c r="E12" s="20" t="s">
        <v>8</v>
      </c>
      <c r="F12" s="19" t="s">
        <v>25</v>
      </c>
      <c r="G12" s="27" t="s">
        <v>114</v>
      </c>
      <c r="H12" s="53" t="s">
        <v>183</v>
      </c>
    </row>
    <row r="13" spans="1:10" ht="15.5" outlineLevel="1" x14ac:dyDescent="0.35">
      <c r="A13" s="50" t="s">
        <v>27</v>
      </c>
      <c r="B13" s="22">
        <v>46091</v>
      </c>
      <c r="C13" s="22">
        <v>46120</v>
      </c>
      <c r="D13" s="23" t="s">
        <v>14</v>
      </c>
      <c r="E13" s="20" t="s">
        <v>8</v>
      </c>
      <c r="F13" s="19" t="s">
        <v>9</v>
      </c>
      <c r="G13" s="27" t="s">
        <v>122</v>
      </c>
    </row>
    <row r="14" spans="1:10" ht="15.5" x14ac:dyDescent="0.35">
      <c r="A14" s="19" t="s">
        <v>28</v>
      </c>
      <c r="B14" s="22">
        <v>46055</v>
      </c>
      <c r="C14" s="22">
        <v>46121</v>
      </c>
      <c r="D14" s="23" t="s">
        <v>14</v>
      </c>
      <c r="E14" s="20" t="s">
        <v>8</v>
      </c>
      <c r="F14" s="19" t="s">
        <v>29</v>
      </c>
      <c r="G14" s="19"/>
    </row>
    <row r="15" spans="1:10" ht="15.5" x14ac:dyDescent="0.35">
      <c r="A15" s="24" t="s">
        <v>30</v>
      </c>
      <c r="B15" s="22">
        <v>46055</v>
      </c>
      <c r="C15" s="22">
        <v>46113</v>
      </c>
      <c r="D15" s="23" t="s">
        <v>14</v>
      </c>
      <c r="E15" s="20" t="s">
        <v>8</v>
      </c>
      <c r="F15" s="19" t="s">
        <v>31</v>
      </c>
      <c r="G15" s="38" t="s">
        <v>121</v>
      </c>
    </row>
    <row r="16" spans="1:10" ht="15.5" outlineLevel="1" x14ac:dyDescent="0.35">
      <c r="A16" s="50" t="s">
        <v>32</v>
      </c>
      <c r="B16" s="22">
        <v>46055</v>
      </c>
      <c r="C16" s="22">
        <v>46061</v>
      </c>
      <c r="D16" s="23" t="s">
        <v>14</v>
      </c>
      <c r="E16" s="20" t="s">
        <v>8</v>
      </c>
      <c r="F16" s="19" t="s">
        <v>33</v>
      </c>
      <c r="G16" s="37" t="s">
        <v>117</v>
      </c>
      <c r="H16" s="53" t="s">
        <v>34</v>
      </c>
    </row>
    <row r="17" spans="1:8" ht="15.5" outlineLevel="1" x14ac:dyDescent="0.35">
      <c r="A17" s="50" t="s">
        <v>35</v>
      </c>
      <c r="B17" s="22">
        <v>46062</v>
      </c>
      <c r="C17" s="22">
        <v>46106</v>
      </c>
      <c r="D17" s="23" t="s">
        <v>14</v>
      </c>
      <c r="E17" s="20" t="s">
        <v>8</v>
      </c>
      <c r="F17" s="19" t="s">
        <v>31</v>
      </c>
      <c r="G17" s="38" t="s">
        <v>121</v>
      </c>
      <c r="H17" s="53" t="s">
        <v>36</v>
      </c>
    </row>
    <row r="18" spans="1:8" ht="15.5" outlineLevel="1" x14ac:dyDescent="0.35">
      <c r="A18" s="50" t="s">
        <v>37</v>
      </c>
      <c r="B18" s="22">
        <v>46107</v>
      </c>
      <c r="C18" s="22">
        <v>46113</v>
      </c>
      <c r="D18" s="23" t="s">
        <v>14</v>
      </c>
      <c r="E18" s="20" t="s">
        <v>8</v>
      </c>
      <c r="F18" s="19" t="s">
        <v>29</v>
      </c>
      <c r="G18" s="25" t="s">
        <v>116</v>
      </c>
    </row>
    <row r="19" spans="1:8" ht="15.5" x14ac:dyDescent="0.35">
      <c r="A19" s="24" t="s">
        <v>38</v>
      </c>
      <c r="B19" s="22">
        <v>46043</v>
      </c>
      <c r="C19" s="22">
        <v>46177</v>
      </c>
      <c r="D19" s="23" t="s">
        <v>14</v>
      </c>
      <c r="E19" s="20" t="s">
        <v>8</v>
      </c>
      <c r="F19" s="19" t="s">
        <v>15</v>
      </c>
      <c r="G19" s="19" t="str">
        <f>VLOOKUP(A19,'Công việc vụ thể theo startdate'!$B$3:$I$67,8,0)</f>
        <v/>
      </c>
    </row>
    <row r="20" spans="1:8" ht="15.5" outlineLevel="1" x14ac:dyDescent="0.35">
      <c r="A20" s="50" t="s">
        <v>192</v>
      </c>
      <c r="B20" s="22">
        <v>46043</v>
      </c>
      <c r="C20" s="22">
        <v>46049</v>
      </c>
      <c r="D20" s="23" t="s">
        <v>14</v>
      </c>
      <c r="E20" s="20" t="s">
        <v>8</v>
      </c>
      <c r="F20" s="19" t="s">
        <v>33</v>
      </c>
      <c r="G20" s="37" t="s">
        <v>117</v>
      </c>
    </row>
    <row r="21" spans="1:8" ht="15.5" outlineLevel="1" x14ac:dyDescent="0.35">
      <c r="A21" s="50" t="s">
        <v>191</v>
      </c>
      <c r="B21" s="22">
        <v>46062</v>
      </c>
      <c r="C21" s="22">
        <v>46068</v>
      </c>
      <c r="D21" s="23" t="s">
        <v>14</v>
      </c>
      <c r="E21" s="20" t="s">
        <v>8</v>
      </c>
      <c r="F21" s="19" t="s">
        <v>41</v>
      </c>
      <c r="G21" s="37" t="s">
        <v>117</v>
      </c>
      <c r="H21" s="53" t="s">
        <v>181</v>
      </c>
    </row>
    <row r="22" spans="1:8" ht="15.5" outlineLevel="2" x14ac:dyDescent="0.35">
      <c r="A22" s="48" t="s">
        <v>42</v>
      </c>
      <c r="B22" s="22">
        <v>46069</v>
      </c>
      <c r="C22" s="22">
        <v>46069</v>
      </c>
      <c r="D22" s="23" t="s">
        <v>14</v>
      </c>
      <c r="E22" s="20" t="s">
        <v>8</v>
      </c>
      <c r="F22" s="19" t="s">
        <v>33</v>
      </c>
      <c r="G22" s="37" t="s">
        <v>117</v>
      </c>
    </row>
    <row r="23" spans="1:8" ht="15.5" outlineLevel="1" x14ac:dyDescent="0.35">
      <c r="A23" s="50" t="s">
        <v>43</v>
      </c>
      <c r="B23" s="22">
        <v>46050</v>
      </c>
      <c r="C23" s="22">
        <v>46129</v>
      </c>
      <c r="D23" s="23" t="s">
        <v>14</v>
      </c>
      <c r="E23" s="20" t="s">
        <v>8</v>
      </c>
      <c r="F23" s="19" t="s">
        <v>44</v>
      </c>
      <c r="G23" s="36" t="s">
        <v>120</v>
      </c>
    </row>
    <row r="24" spans="1:8" ht="15.5" outlineLevel="2" x14ac:dyDescent="0.35">
      <c r="A24" s="48" t="s">
        <v>45</v>
      </c>
      <c r="B24" s="22">
        <v>46050</v>
      </c>
      <c r="C24" s="22">
        <v>46061</v>
      </c>
      <c r="D24" s="23" t="s">
        <v>14</v>
      </c>
      <c r="E24" s="20" t="s">
        <v>8</v>
      </c>
      <c r="F24" s="19" t="s">
        <v>46</v>
      </c>
      <c r="G24" s="36" t="s">
        <v>120</v>
      </c>
    </row>
    <row r="25" spans="1:8" ht="15.5" outlineLevel="2" x14ac:dyDescent="0.35">
      <c r="A25" s="48" t="s">
        <v>47</v>
      </c>
      <c r="B25" s="22">
        <v>46062</v>
      </c>
      <c r="C25" s="22">
        <v>46131</v>
      </c>
      <c r="D25" s="23" t="s">
        <v>14</v>
      </c>
      <c r="E25" s="20" t="s">
        <v>8</v>
      </c>
      <c r="F25" s="19" t="s">
        <v>46</v>
      </c>
      <c r="G25" s="36" t="s">
        <v>120</v>
      </c>
    </row>
    <row r="26" spans="1:8" ht="15.5" outlineLevel="2" x14ac:dyDescent="0.35">
      <c r="A26" s="48" t="s">
        <v>48</v>
      </c>
      <c r="B26" s="22">
        <v>46069</v>
      </c>
      <c r="C26" s="22">
        <v>46083</v>
      </c>
      <c r="D26" s="23" t="s">
        <v>14</v>
      </c>
      <c r="E26" s="20" t="s">
        <v>8</v>
      </c>
      <c r="F26" s="19" t="s">
        <v>44</v>
      </c>
      <c r="G26" s="36" t="s">
        <v>120</v>
      </c>
    </row>
    <row r="27" spans="1:8" ht="15.5" outlineLevel="2" x14ac:dyDescent="0.35">
      <c r="A27" s="48" t="s">
        <v>49</v>
      </c>
      <c r="B27" s="22">
        <v>46069</v>
      </c>
      <c r="C27" s="22">
        <v>46134</v>
      </c>
      <c r="D27" s="23" t="s">
        <v>14</v>
      </c>
      <c r="E27" s="20" t="s">
        <v>8</v>
      </c>
      <c r="F27" s="19" t="s">
        <v>46</v>
      </c>
      <c r="G27" s="36" t="s">
        <v>120</v>
      </c>
    </row>
    <row r="28" spans="1:8" ht="15.5" outlineLevel="2" x14ac:dyDescent="0.35">
      <c r="A28" s="48" t="s">
        <v>50</v>
      </c>
      <c r="B28" s="22">
        <v>46135</v>
      </c>
      <c r="C28" s="22">
        <v>46135</v>
      </c>
      <c r="D28" s="23" t="s">
        <v>14</v>
      </c>
      <c r="E28" s="20" t="s">
        <v>8</v>
      </c>
      <c r="F28" s="19" t="s">
        <v>46</v>
      </c>
      <c r="G28" s="36" t="s">
        <v>120</v>
      </c>
      <c r="H28" s="53" t="s">
        <v>184</v>
      </c>
    </row>
    <row r="29" spans="1:8" ht="15.5" outlineLevel="1" x14ac:dyDescent="0.35">
      <c r="A29" s="50" t="s">
        <v>51</v>
      </c>
      <c r="B29" s="22">
        <v>46136</v>
      </c>
      <c r="C29" s="22">
        <v>46167</v>
      </c>
      <c r="D29" s="23" t="s">
        <v>14</v>
      </c>
      <c r="E29" s="20" t="s">
        <v>8</v>
      </c>
      <c r="F29" s="19" t="s">
        <v>33</v>
      </c>
      <c r="G29" s="37" t="s">
        <v>138</v>
      </c>
    </row>
    <row r="30" spans="1:8" ht="15.5" outlineLevel="1" x14ac:dyDescent="0.35">
      <c r="A30" s="50" t="s">
        <v>52</v>
      </c>
      <c r="B30" s="22">
        <v>46168</v>
      </c>
      <c r="C30" s="22">
        <v>46182</v>
      </c>
      <c r="D30" s="23" t="s">
        <v>14</v>
      </c>
      <c r="E30" s="20" t="s">
        <v>8</v>
      </c>
      <c r="F30" s="19" t="s">
        <v>53</v>
      </c>
      <c r="G30" s="25" t="s">
        <v>116</v>
      </c>
    </row>
    <row r="31" spans="1:8" ht="15.5" outlineLevel="1" x14ac:dyDescent="0.35">
      <c r="A31" s="50" t="s">
        <v>54</v>
      </c>
      <c r="B31" s="22">
        <v>46183</v>
      </c>
      <c r="C31" s="22">
        <v>46183</v>
      </c>
      <c r="D31" s="23" t="s">
        <v>14</v>
      </c>
      <c r="E31" s="20" t="s">
        <v>8</v>
      </c>
      <c r="F31" s="19" t="s">
        <v>41</v>
      </c>
      <c r="G31" s="25" t="s">
        <v>116</v>
      </c>
    </row>
    <row r="32" spans="1:8" ht="15.5" x14ac:dyDescent="0.35">
      <c r="A32" s="24" t="s">
        <v>55</v>
      </c>
      <c r="B32" s="22">
        <v>46043</v>
      </c>
      <c r="C32" s="22">
        <v>46083</v>
      </c>
      <c r="D32" s="23" t="s">
        <v>14</v>
      </c>
      <c r="E32" s="20" t="s">
        <v>8</v>
      </c>
      <c r="F32" s="19" t="s">
        <v>15</v>
      </c>
      <c r="G32" s="25" t="s">
        <v>116</v>
      </c>
    </row>
    <row r="33" spans="1:8" ht="15.5" outlineLevel="1" x14ac:dyDescent="0.35">
      <c r="A33" s="50" t="s">
        <v>56</v>
      </c>
      <c r="B33" s="22">
        <v>46043</v>
      </c>
      <c r="C33" s="22">
        <v>46083</v>
      </c>
      <c r="D33" s="23" t="s">
        <v>14</v>
      </c>
      <c r="E33" s="39" t="s">
        <v>22</v>
      </c>
      <c r="F33" s="19" t="s">
        <v>29</v>
      </c>
      <c r="G33" s="25" t="s">
        <v>116</v>
      </c>
    </row>
    <row r="34" spans="1:8" ht="15.5" outlineLevel="2" x14ac:dyDescent="0.35">
      <c r="A34" s="48" t="s">
        <v>57</v>
      </c>
      <c r="B34" s="22">
        <v>46043</v>
      </c>
      <c r="C34" s="22">
        <v>46083</v>
      </c>
      <c r="D34" s="23" t="s">
        <v>14</v>
      </c>
      <c r="E34" s="39" t="s">
        <v>22</v>
      </c>
      <c r="F34" s="19" t="s">
        <v>29</v>
      </c>
      <c r="G34" s="25" t="s">
        <v>116</v>
      </c>
    </row>
    <row r="35" spans="1:8" ht="15.5" outlineLevel="2" x14ac:dyDescent="0.35">
      <c r="A35" s="48" t="s">
        <v>58</v>
      </c>
      <c r="B35" s="22">
        <v>46043</v>
      </c>
      <c r="C35" s="22">
        <v>46083</v>
      </c>
      <c r="D35" s="23" t="s">
        <v>14</v>
      </c>
      <c r="E35" s="39" t="s">
        <v>22</v>
      </c>
      <c r="F35" s="19" t="s">
        <v>29</v>
      </c>
      <c r="G35" s="25" t="s">
        <v>116</v>
      </c>
    </row>
    <row r="36" spans="1:8" ht="15.5" outlineLevel="1" x14ac:dyDescent="0.35">
      <c r="A36" s="50" t="s">
        <v>59</v>
      </c>
      <c r="B36" s="22">
        <v>46043</v>
      </c>
      <c r="C36" s="22">
        <v>46083</v>
      </c>
      <c r="D36" s="23" t="s">
        <v>14</v>
      </c>
      <c r="E36" s="39" t="s">
        <v>22</v>
      </c>
      <c r="F36" s="19" t="s">
        <v>29</v>
      </c>
      <c r="G36" s="25" t="s">
        <v>116</v>
      </c>
    </row>
    <row r="37" spans="1:8" ht="15.5" outlineLevel="1" x14ac:dyDescent="0.35">
      <c r="A37" s="50" t="s">
        <v>60</v>
      </c>
      <c r="B37" s="22">
        <v>46043</v>
      </c>
      <c r="C37" s="22">
        <v>46083</v>
      </c>
      <c r="D37" s="23" t="s">
        <v>14</v>
      </c>
      <c r="E37" s="31" t="s">
        <v>61</v>
      </c>
      <c r="F37" s="19" t="s">
        <v>62</v>
      </c>
      <c r="G37" s="18" t="s">
        <v>119</v>
      </c>
    </row>
    <row r="38" spans="1:8" ht="15.5" outlineLevel="2" x14ac:dyDescent="0.35">
      <c r="A38" s="48" t="s">
        <v>63</v>
      </c>
      <c r="B38" s="22">
        <v>46043</v>
      </c>
      <c r="C38" s="22">
        <v>46083</v>
      </c>
      <c r="D38" s="23" t="s">
        <v>14</v>
      </c>
      <c r="E38" s="31" t="s">
        <v>61</v>
      </c>
      <c r="F38" s="19" t="s">
        <v>64</v>
      </c>
      <c r="G38" s="18" t="s">
        <v>119</v>
      </c>
    </row>
    <row r="39" spans="1:8" ht="15.5" outlineLevel="2" x14ac:dyDescent="0.35">
      <c r="A39" s="48" t="s">
        <v>65</v>
      </c>
      <c r="B39" s="22">
        <v>46043</v>
      </c>
      <c r="C39" s="22">
        <v>46083</v>
      </c>
      <c r="D39" s="23" t="s">
        <v>14</v>
      </c>
      <c r="E39" s="31" t="s">
        <v>61</v>
      </c>
      <c r="F39" s="19" t="s">
        <v>62</v>
      </c>
      <c r="G39" s="18" t="s">
        <v>119</v>
      </c>
    </row>
    <row r="40" spans="1:8" ht="15.5" outlineLevel="2" x14ac:dyDescent="0.35">
      <c r="A40" s="49" t="s">
        <v>66</v>
      </c>
      <c r="B40" s="22">
        <v>46043</v>
      </c>
      <c r="C40" s="22">
        <v>46083</v>
      </c>
      <c r="D40" s="23" t="s">
        <v>14</v>
      </c>
      <c r="E40" s="27" t="s">
        <v>67</v>
      </c>
      <c r="F40" s="19" t="s">
        <v>64</v>
      </c>
      <c r="G40" s="19"/>
    </row>
    <row r="41" spans="1:8" ht="15.5" outlineLevel="2" x14ac:dyDescent="0.35">
      <c r="A41" s="49" t="s">
        <v>29</v>
      </c>
      <c r="B41" s="22">
        <v>46043</v>
      </c>
      <c r="C41" s="22">
        <v>46083</v>
      </c>
      <c r="D41" s="23" t="s">
        <v>14</v>
      </c>
      <c r="E41" s="27" t="s">
        <v>67</v>
      </c>
      <c r="F41" s="19" t="s">
        <v>29</v>
      </c>
      <c r="G41" s="19"/>
    </row>
    <row r="42" spans="1:8" ht="15.5" outlineLevel="1" x14ac:dyDescent="0.35">
      <c r="A42" s="50" t="s">
        <v>68</v>
      </c>
      <c r="B42" s="22">
        <v>46043</v>
      </c>
      <c r="C42" s="22">
        <v>46083</v>
      </c>
      <c r="D42" s="23" t="s">
        <v>14</v>
      </c>
      <c r="E42" s="27" t="s">
        <v>67</v>
      </c>
      <c r="F42" s="19" t="s">
        <v>29</v>
      </c>
      <c r="G42" s="25" t="s">
        <v>116</v>
      </c>
    </row>
    <row r="43" spans="1:8" ht="15.5" outlineLevel="2" x14ac:dyDescent="0.35">
      <c r="A43" s="48" t="s">
        <v>69</v>
      </c>
      <c r="B43" s="22">
        <v>46043</v>
      </c>
      <c r="C43" s="22">
        <v>46083</v>
      </c>
      <c r="D43" s="23" t="s">
        <v>14</v>
      </c>
      <c r="E43" s="27" t="s">
        <v>67</v>
      </c>
      <c r="F43" s="19" t="s">
        <v>70</v>
      </c>
      <c r="G43" s="19"/>
    </row>
    <row r="44" spans="1:8" ht="15.5" outlineLevel="2" x14ac:dyDescent="0.35">
      <c r="A44" s="48" t="s">
        <v>71</v>
      </c>
      <c r="B44" s="22">
        <v>46043</v>
      </c>
      <c r="C44" s="22">
        <v>46083</v>
      </c>
      <c r="D44" s="23" t="s">
        <v>14</v>
      </c>
      <c r="E44" s="27" t="s">
        <v>67</v>
      </c>
      <c r="F44" s="19" t="s">
        <v>29</v>
      </c>
      <c r="G44" s="19"/>
    </row>
    <row r="45" spans="1:8" ht="15.5" outlineLevel="2" x14ac:dyDescent="0.35">
      <c r="A45" s="48" t="s">
        <v>72</v>
      </c>
      <c r="B45" s="22">
        <v>46043</v>
      </c>
      <c r="C45" s="22">
        <v>46083</v>
      </c>
      <c r="D45" s="23" t="s">
        <v>14</v>
      </c>
      <c r="E45" s="27" t="s">
        <v>67</v>
      </c>
      <c r="F45" s="19" t="s">
        <v>73</v>
      </c>
      <c r="G45" s="19"/>
    </row>
    <row r="46" spans="1:8" ht="15.5" outlineLevel="1" x14ac:dyDescent="0.35">
      <c r="A46" s="50" t="s">
        <v>74</v>
      </c>
      <c r="B46" s="22">
        <v>46061</v>
      </c>
      <c r="C46" s="22">
        <v>46141</v>
      </c>
      <c r="D46" s="23" t="s">
        <v>14</v>
      </c>
      <c r="E46" s="20" t="s">
        <v>8</v>
      </c>
      <c r="F46" s="19" t="s">
        <v>75</v>
      </c>
      <c r="G46" s="35" t="s">
        <v>123</v>
      </c>
    </row>
    <row r="47" spans="1:8" ht="15.5" outlineLevel="1" x14ac:dyDescent="0.35">
      <c r="A47" s="48" t="s">
        <v>76</v>
      </c>
      <c r="B47" s="22">
        <v>46086</v>
      </c>
      <c r="C47" s="22">
        <v>46132</v>
      </c>
      <c r="D47" s="23" t="s">
        <v>14</v>
      </c>
      <c r="E47" s="20" t="s">
        <v>8</v>
      </c>
      <c r="F47" s="19" t="s">
        <v>77</v>
      </c>
      <c r="G47" s="19"/>
    </row>
    <row r="48" spans="1:8" ht="15.5" outlineLevel="2" x14ac:dyDescent="0.35">
      <c r="A48" s="49" t="s">
        <v>78</v>
      </c>
      <c r="B48" s="22">
        <v>46086</v>
      </c>
      <c r="C48" s="22">
        <v>46130</v>
      </c>
      <c r="D48" s="23" t="s">
        <v>14</v>
      </c>
      <c r="E48" s="20" t="s">
        <v>8</v>
      </c>
      <c r="F48" s="19" t="s">
        <v>77</v>
      </c>
      <c r="G48" s="35" t="s">
        <v>188</v>
      </c>
      <c r="H48" s="53"/>
    </row>
    <row r="49" spans="1:7" ht="15.5" outlineLevel="2" x14ac:dyDescent="0.35">
      <c r="A49" s="49" t="s">
        <v>79</v>
      </c>
      <c r="B49" s="22">
        <v>46131</v>
      </c>
      <c r="C49" s="22">
        <v>46132</v>
      </c>
      <c r="D49" s="23" t="s">
        <v>14</v>
      </c>
      <c r="E49" s="20" t="s">
        <v>8</v>
      </c>
      <c r="F49" s="19" t="s">
        <v>53</v>
      </c>
      <c r="G49" s="35" t="s">
        <v>188</v>
      </c>
    </row>
    <row r="50" spans="1:7" ht="15.5" outlineLevel="1" x14ac:dyDescent="0.35">
      <c r="A50" s="48" t="s">
        <v>80</v>
      </c>
      <c r="B50" s="22">
        <v>46111</v>
      </c>
      <c r="C50" s="22">
        <v>46132</v>
      </c>
      <c r="D50" s="23" t="s">
        <v>14</v>
      </c>
      <c r="E50" s="27" t="s">
        <v>67</v>
      </c>
      <c r="F50" s="19" t="s">
        <v>81</v>
      </c>
      <c r="G50" s="35" t="s">
        <v>132</v>
      </c>
    </row>
    <row r="51" spans="1:7" ht="15.5" outlineLevel="2" x14ac:dyDescent="0.35">
      <c r="A51" s="49" t="s">
        <v>82</v>
      </c>
      <c r="B51" s="22">
        <v>46111</v>
      </c>
      <c r="C51" s="22">
        <v>46130</v>
      </c>
      <c r="D51" s="23" t="s">
        <v>14</v>
      </c>
      <c r="E51" s="27" t="s">
        <v>67</v>
      </c>
      <c r="F51" s="19" t="s">
        <v>81</v>
      </c>
      <c r="G51" s="35" t="s">
        <v>132</v>
      </c>
    </row>
    <row r="52" spans="1:7" ht="15.5" outlineLevel="2" x14ac:dyDescent="0.35">
      <c r="A52" s="49" t="s">
        <v>83</v>
      </c>
      <c r="B52" s="22">
        <v>46121</v>
      </c>
      <c r="C52" s="22">
        <v>46130</v>
      </c>
      <c r="D52" s="23" t="s">
        <v>14</v>
      </c>
      <c r="E52" s="27" t="s">
        <v>67</v>
      </c>
      <c r="F52" s="19" t="s">
        <v>81</v>
      </c>
      <c r="G52" s="35" t="s">
        <v>132</v>
      </c>
    </row>
    <row r="53" spans="1:7" ht="15.5" outlineLevel="2" x14ac:dyDescent="0.35">
      <c r="A53" s="49" t="s">
        <v>79</v>
      </c>
      <c r="B53" s="22">
        <v>46131</v>
      </c>
      <c r="C53" s="22">
        <v>46132</v>
      </c>
      <c r="D53" s="23" t="s">
        <v>14</v>
      </c>
      <c r="E53" s="20" t="s">
        <v>8</v>
      </c>
      <c r="F53" s="19" t="s">
        <v>53</v>
      </c>
      <c r="G53" s="35" t="s">
        <v>132</v>
      </c>
    </row>
    <row r="54" spans="1:7" ht="15.5" outlineLevel="1" x14ac:dyDescent="0.35">
      <c r="A54" s="48" t="s">
        <v>84</v>
      </c>
      <c r="B54" s="22">
        <v>46061</v>
      </c>
      <c r="C54" s="22">
        <v>46106</v>
      </c>
      <c r="D54" s="23" t="s">
        <v>14</v>
      </c>
      <c r="E54" s="27" t="s">
        <v>67</v>
      </c>
      <c r="F54" s="19" t="s">
        <v>77</v>
      </c>
      <c r="G54" s="35" t="s">
        <v>187</v>
      </c>
    </row>
    <row r="55" spans="1:7" ht="15.5" outlineLevel="2" x14ac:dyDescent="0.35">
      <c r="A55" s="49" t="s">
        <v>85</v>
      </c>
      <c r="B55" s="22">
        <v>46061</v>
      </c>
      <c r="C55" s="22">
        <v>46077</v>
      </c>
      <c r="D55" s="23" t="s">
        <v>14</v>
      </c>
      <c r="E55" s="27" t="s">
        <v>67</v>
      </c>
      <c r="F55" s="19" t="s">
        <v>77</v>
      </c>
      <c r="G55" s="35" t="s">
        <v>188</v>
      </c>
    </row>
    <row r="56" spans="1:7" ht="15.5" outlineLevel="2" x14ac:dyDescent="0.35">
      <c r="A56" s="49" t="s">
        <v>86</v>
      </c>
      <c r="B56" s="22">
        <v>46077</v>
      </c>
      <c r="C56" s="22">
        <v>46096</v>
      </c>
      <c r="D56" s="23" t="s">
        <v>14</v>
      </c>
      <c r="E56" s="20" t="s">
        <v>8</v>
      </c>
      <c r="F56" s="19" t="s">
        <v>77</v>
      </c>
      <c r="G56" s="35" t="s">
        <v>187</v>
      </c>
    </row>
    <row r="57" spans="1:7" ht="15.5" outlineLevel="2" x14ac:dyDescent="0.35">
      <c r="A57" s="49" t="s">
        <v>87</v>
      </c>
      <c r="B57" s="22">
        <v>46077</v>
      </c>
      <c r="C57" s="22">
        <v>46096</v>
      </c>
      <c r="D57" s="23" t="s">
        <v>14</v>
      </c>
      <c r="E57" s="20" t="s">
        <v>8</v>
      </c>
      <c r="F57" s="19" t="s">
        <v>77</v>
      </c>
      <c r="G57" s="35" t="s">
        <v>187</v>
      </c>
    </row>
    <row r="58" spans="1:7" ht="15.5" outlineLevel="2" x14ac:dyDescent="0.35">
      <c r="A58" s="49" t="s">
        <v>88</v>
      </c>
      <c r="B58" s="22">
        <v>46077</v>
      </c>
      <c r="C58" s="22">
        <v>46106</v>
      </c>
      <c r="D58" s="23" t="s">
        <v>14</v>
      </c>
      <c r="E58" s="20" t="s">
        <v>8</v>
      </c>
      <c r="F58" s="19" t="s">
        <v>77</v>
      </c>
      <c r="G58" s="35" t="s">
        <v>187</v>
      </c>
    </row>
    <row r="59" spans="1:7" ht="15.5" outlineLevel="1" x14ac:dyDescent="0.35">
      <c r="A59" s="29" t="s">
        <v>129</v>
      </c>
      <c r="B59" s="22">
        <v>46102</v>
      </c>
      <c r="C59" s="22">
        <v>46131</v>
      </c>
      <c r="D59" s="23" t="s">
        <v>14</v>
      </c>
      <c r="E59" s="27" t="s">
        <v>67</v>
      </c>
      <c r="F59" s="19" t="s">
        <v>89</v>
      </c>
      <c r="G59" s="34" t="s">
        <v>130</v>
      </c>
    </row>
    <row r="60" spans="1:7" ht="15.5" outlineLevel="1" x14ac:dyDescent="0.35">
      <c r="A60" s="48" t="s">
        <v>90</v>
      </c>
      <c r="B60" s="22">
        <v>46128</v>
      </c>
      <c r="C60" s="22">
        <v>46141</v>
      </c>
      <c r="D60" s="23" t="s">
        <v>14</v>
      </c>
      <c r="E60" s="20" t="s">
        <v>8</v>
      </c>
      <c r="F60" s="19" t="s">
        <v>91</v>
      </c>
      <c r="G60" s="32" t="s">
        <v>135</v>
      </c>
    </row>
    <row r="61" spans="1:7" ht="15.5" outlineLevel="1" x14ac:dyDescent="0.35">
      <c r="A61" s="48" t="s">
        <v>92</v>
      </c>
      <c r="B61" s="22">
        <v>46043</v>
      </c>
      <c r="C61" s="22">
        <v>46083</v>
      </c>
      <c r="D61" s="23" t="s">
        <v>14</v>
      </c>
      <c r="E61" s="39" t="s">
        <v>22</v>
      </c>
      <c r="F61" s="19" t="s">
        <v>15</v>
      </c>
      <c r="G61" s="39" t="s">
        <v>189</v>
      </c>
    </row>
    <row r="62" spans="1:7" ht="15.5" x14ac:dyDescent="0.35">
      <c r="A62" s="19" t="s">
        <v>93</v>
      </c>
      <c r="B62" s="22">
        <v>46168</v>
      </c>
      <c r="C62" s="22">
        <v>46182</v>
      </c>
      <c r="D62" s="23" t="s">
        <v>14</v>
      </c>
      <c r="E62" s="20" t="s">
        <v>8</v>
      </c>
      <c r="F62" s="19" t="s">
        <v>94</v>
      </c>
      <c r="G62" s="25" t="s">
        <v>116</v>
      </c>
    </row>
    <row r="63" spans="1:7" ht="15.5" x14ac:dyDescent="0.35">
      <c r="A63" s="19" t="s">
        <v>95</v>
      </c>
      <c r="B63" s="22">
        <v>46183</v>
      </c>
      <c r="C63" s="22">
        <v>46183</v>
      </c>
      <c r="D63" s="23" t="s">
        <v>14</v>
      </c>
      <c r="E63" s="20" t="s">
        <v>8</v>
      </c>
      <c r="F63" s="19" t="s">
        <v>15</v>
      </c>
      <c r="G63" s="25" t="s">
        <v>116</v>
      </c>
    </row>
    <row r="64" spans="1:7" ht="15.5" x14ac:dyDescent="0.35">
      <c r="A64" s="19" t="s">
        <v>96</v>
      </c>
      <c r="B64" s="22">
        <v>46183</v>
      </c>
      <c r="C64" s="22">
        <v>46212</v>
      </c>
      <c r="D64" s="23" t="s">
        <v>14</v>
      </c>
      <c r="E64" s="20" t="s">
        <v>8</v>
      </c>
      <c r="F64" s="19" t="s">
        <v>29</v>
      </c>
      <c r="G64" s="25" t="s">
        <v>116</v>
      </c>
    </row>
    <row r="65" spans="1:8" ht="29" outlineLevel="1" x14ac:dyDescent="0.35">
      <c r="A65" s="24" t="s">
        <v>44</v>
      </c>
      <c r="B65" s="22">
        <v>46183</v>
      </c>
      <c r="C65" s="22">
        <v>46212</v>
      </c>
      <c r="D65" s="23" t="s">
        <v>14</v>
      </c>
      <c r="E65" s="20" t="s">
        <v>8</v>
      </c>
      <c r="F65" s="19" t="s">
        <v>97</v>
      </c>
      <c r="G65" s="18" t="s">
        <v>119</v>
      </c>
      <c r="H65" s="51" t="s">
        <v>185</v>
      </c>
    </row>
    <row r="66" spans="1:8" ht="15.5" outlineLevel="1" x14ac:dyDescent="0.35">
      <c r="A66" s="24" t="s">
        <v>98</v>
      </c>
      <c r="B66" s="22">
        <v>46183</v>
      </c>
      <c r="C66" s="22">
        <v>46212</v>
      </c>
      <c r="D66" s="23" t="s">
        <v>14</v>
      </c>
      <c r="E66" s="20" t="s">
        <v>8</v>
      </c>
      <c r="F66" s="19" t="s">
        <v>99</v>
      </c>
      <c r="G66" s="25" t="s">
        <v>116</v>
      </c>
      <c r="H66" s="53" t="s">
        <v>186</v>
      </c>
    </row>
    <row r="67" spans="1:8" ht="15.5" outlineLevel="1" x14ac:dyDescent="0.35">
      <c r="A67" s="24" t="s">
        <v>100</v>
      </c>
      <c r="B67" s="22">
        <v>46183</v>
      </c>
      <c r="C67" s="22">
        <v>46212</v>
      </c>
      <c r="D67" s="23" t="s">
        <v>14</v>
      </c>
      <c r="E67" s="20" t="s">
        <v>8</v>
      </c>
      <c r="F67" s="19" t="s">
        <v>70</v>
      </c>
      <c r="G67" s="18" t="s">
        <v>119</v>
      </c>
    </row>
    <row r="68" spans="1:8" ht="15.5" x14ac:dyDescent="0.35">
      <c r="A68" s="19" t="s">
        <v>101</v>
      </c>
      <c r="B68" s="22">
        <v>46102</v>
      </c>
      <c r="C68" s="22">
        <v>46252</v>
      </c>
      <c r="D68" s="23" t="s">
        <v>14</v>
      </c>
      <c r="E68" s="39" t="s">
        <v>22</v>
      </c>
      <c r="F68" s="19" t="s">
        <v>102</v>
      </c>
      <c r="G68" s="30" t="s">
        <v>128</v>
      </c>
    </row>
    <row r="69" spans="1:8" s="44" customFormat="1" ht="15.5" outlineLevel="1" x14ac:dyDescent="0.35">
      <c r="A69" s="24" t="s">
        <v>103</v>
      </c>
      <c r="B69" s="47">
        <v>46102</v>
      </c>
      <c r="C69" s="47">
        <v>46131</v>
      </c>
      <c r="D69" s="23" t="s">
        <v>14</v>
      </c>
      <c r="E69" s="46" t="s">
        <v>61</v>
      </c>
      <c r="F69" s="45" t="s">
        <v>102</v>
      </c>
      <c r="G69" s="30" t="s">
        <v>190</v>
      </c>
    </row>
    <row r="70" spans="1:8" s="44" customFormat="1" ht="15.5" outlineLevel="1" x14ac:dyDescent="0.35">
      <c r="A70" s="24" t="s">
        <v>104</v>
      </c>
      <c r="B70" s="47">
        <v>46103</v>
      </c>
      <c r="C70" s="47">
        <v>46162</v>
      </c>
      <c r="D70" s="23" t="s">
        <v>14</v>
      </c>
      <c r="E70" s="46" t="s">
        <v>61</v>
      </c>
      <c r="F70" s="45" t="s">
        <v>102</v>
      </c>
      <c r="G70" s="30" t="s">
        <v>128</v>
      </c>
    </row>
    <row r="71" spans="1:8" s="44" customFormat="1" ht="15.5" outlineLevel="1" x14ac:dyDescent="0.35">
      <c r="A71" s="29" t="s">
        <v>131</v>
      </c>
      <c r="B71" s="47">
        <v>46103</v>
      </c>
      <c r="C71" s="47">
        <v>46162</v>
      </c>
      <c r="D71" s="23" t="s">
        <v>14</v>
      </c>
      <c r="E71" s="46" t="s">
        <v>61</v>
      </c>
      <c r="F71" s="45" t="s">
        <v>102</v>
      </c>
      <c r="G71" s="30" t="s">
        <v>128</v>
      </c>
    </row>
    <row r="72" spans="1:8" s="44" customFormat="1" ht="15.5" outlineLevel="1" x14ac:dyDescent="0.35">
      <c r="A72" s="24" t="s">
        <v>105</v>
      </c>
      <c r="B72" s="47">
        <v>46133</v>
      </c>
      <c r="C72" s="47">
        <v>46252</v>
      </c>
      <c r="D72" s="23" t="s">
        <v>14</v>
      </c>
      <c r="E72" s="46" t="s">
        <v>61</v>
      </c>
      <c r="F72" s="45" t="s">
        <v>102</v>
      </c>
      <c r="G72" s="30" t="s">
        <v>190</v>
      </c>
    </row>
  </sheetData>
  <autoFilter ref="A2:H72" xr:uid="{005AB6B9-64E3-4E6F-A176-66AE2ECFF87B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55B7-7529-4521-A558-8A747E8AC168}">
  <dimension ref="A1:I67"/>
  <sheetViews>
    <sheetView workbookViewId="0">
      <selection activeCell="B44" sqref="B44"/>
    </sheetView>
  </sheetViews>
  <sheetFormatPr defaultColWidth="8.58203125" defaultRowHeight="14.5" x14ac:dyDescent="0.35"/>
  <cols>
    <col min="1" max="1" width="5.83203125" style="17" customWidth="1"/>
    <col min="2" max="2" width="45.58203125" style="17" bestFit="1" customWidth="1"/>
    <col min="3" max="3" width="14.08203125" style="17" customWidth="1"/>
    <col min="4" max="6" width="17.25" style="17" customWidth="1"/>
    <col min="7" max="7" width="17.08203125" style="17" customWidth="1"/>
    <col min="8" max="8" width="29.83203125" style="17" bestFit="1" customWidth="1"/>
    <col min="9" max="9" width="27.08203125" style="17" customWidth="1"/>
    <col min="10" max="10" width="30.58203125" style="17" customWidth="1"/>
    <col min="11" max="11" width="43.08203125" style="17" customWidth="1"/>
    <col min="12" max="16384" width="8.58203125" style="17"/>
  </cols>
  <sheetData>
    <row r="1" spans="1:9" ht="13.4" customHeight="1" x14ac:dyDescent="0.35"/>
    <row r="2" spans="1:9" ht="15.5" x14ac:dyDescent="0.35">
      <c r="A2" s="43" t="s">
        <v>106</v>
      </c>
      <c r="B2" s="43" t="s">
        <v>0</v>
      </c>
      <c r="C2" s="43" t="s">
        <v>3</v>
      </c>
      <c r="D2" s="43" t="s">
        <v>1</v>
      </c>
      <c r="E2" s="43" t="s">
        <v>2</v>
      </c>
      <c r="F2" s="43" t="s">
        <v>107</v>
      </c>
      <c r="G2" s="43" t="s">
        <v>4</v>
      </c>
      <c r="H2" s="43" t="s">
        <v>108</v>
      </c>
      <c r="I2" s="43" t="s">
        <v>109</v>
      </c>
    </row>
    <row r="3" spans="1:9" ht="15.5" x14ac:dyDescent="0.35">
      <c r="A3" s="17">
        <v>1</v>
      </c>
      <c r="B3" s="19" t="s">
        <v>110</v>
      </c>
      <c r="C3" s="42" t="s">
        <v>111</v>
      </c>
      <c r="D3" s="22">
        <v>45915</v>
      </c>
      <c r="E3" s="22">
        <v>45984</v>
      </c>
      <c r="F3" s="21">
        <f t="shared" ref="F3:F34" si="0">E3-D3+1</f>
        <v>70</v>
      </c>
      <c r="G3" s="39" t="s">
        <v>22</v>
      </c>
      <c r="H3" s="19" t="s">
        <v>15</v>
      </c>
      <c r="I3" s="19" t="s">
        <v>15</v>
      </c>
    </row>
    <row r="4" spans="1:9" ht="15.5" x14ac:dyDescent="0.35">
      <c r="A4" s="17">
        <v>2</v>
      </c>
      <c r="B4" s="19" t="s">
        <v>112</v>
      </c>
      <c r="C4" s="42" t="s">
        <v>111</v>
      </c>
      <c r="D4" s="22">
        <v>45986</v>
      </c>
      <c r="E4" s="22">
        <v>45997</v>
      </c>
      <c r="F4" s="21">
        <f t="shared" si="0"/>
        <v>12</v>
      </c>
      <c r="G4" s="20" t="s">
        <v>8</v>
      </c>
      <c r="H4" s="19" t="s">
        <v>15</v>
      </c>
      <c r="I4" s="19" t="s">
        <v>15</v>
      </c>
    </row>
    <row r="5" spans="1:9" ht="15.5" x14ac:dyDescent="0.35">
      <c r="A5" s="17">
        <v>3</v>
      </c>
      <c r="B5" s="19" t="s">
        <v>113</v>
      </c>
      <c r="C5" s="42" t="s">
        <v>111</v>
      </c>
      <c r="D5" s="22">
        <v>45999</v>
      </c>
      <c r="E5" s="22">
        <v>46027</v>
      </c>
      <c r="F5" s="21">
        <f t="shared" si="0"/>
        <v>29</v>
      </c>
      <c r="G5" s="20" t="s">
        <v>8</v>
      </c>
      <c r="H5" s="19" t="s">
        <v>15</v>
      </c>
      <c r="I5" s="19" t="s">
        <v>15</v>
      </c>
    </row>
    <row r="6" spans="1:9" ht="15.5" x14ac:dyDescent="0.35">
      <c r="A6" s="17">
        <v>4</v>
      </c>
      <c r="B6" s="19" t="s">
        <v>6</v>
      </c>
      <c r="C6" s="41" t="s">
        <v>7</v>
      </c>
      <c r="D6" s="22">
        <v>46023</v>
      </c>
      <c r="E6" s="22">
        <v>46053</v>
      </c>
      <c r="F6" s="21">
        <f t="shared" si="0"/>
        <v>31</v>
      </c>
      <c r="G6" s="20" t="s">
        <v>8</v>
      </c>
      <c r="H6" s="19" t="s">
        <v>9</v>
      </c>
      <c r="I6" s="27" t="s">
        <v>114</v>
      </c>
    </row>
    <row r="7" spans="1:9" ht="15.5" x14ac:dyDescent="0.35">
      <c r="A7" s="17">
        <v>5</v>
      </c>
      <c r="B7" s="19" t="s">
        <v>11</v>
      </c>
      <c r="C7" s="41" t="s">
        <v>7</v>
      </c>
      <c r="D7" s="22">
        <v>46023</v>
      </c>
      <c r="E7" s="22">
        <v>46053</v>
      </c>
      <c r="F7" s="21">
        <f t="shared" si="0"/>
        <v>31</v>
      </c>
      <c r="G7" s="20" t="s">
        <v>8</v>
      </c>
      <c r="H7" s="19" t="s">
        <v>9</v>
      </c>
      <c r="I7" s="27" t="s">
        <v>114</v>
      </c>
    </row>
    <row r="8" spans="1:9" ht="15.5" x14ac:dyDescent="0.35">
      <c r="A8" s="17">
        <v>6</v>
      </c>
      <c r="B8" s="19" t="s">
        <v>115</v>
      </c>
      <c r="C8" s="41" t="s">
        <v>7</v>
      </c>
      <c r="D8" s="22">
        <v>46028</v>
      </c>
      <c r="E8" s="22">
        <v>46037</v>
      </c>
      <c r="F8" s="21">
        <f t="shared" si="0"/>
        <v>10</v>
      </c>
      <c r="G8" s="20" t="s">
        <v>8</v>
      </c>
      <c r="H8" s="19" t="s">
        <v>15</v>
      </c>
      <c r="I8" s="19" t="s">
        <v>15</v>
      </c>
    </row>
    <row r="9" spans="1:9" ht="15.5" x14ac:dyDescent="0.35">
      <c r="A9" s="17">
        <v>7</v>
      </c>
      <c r="B9" s="29" t="s">
        <v>38</v>
      </c>
      <c r="C9" s="23" t="s">
        <v>14</v>
      </c>
      <c r="D9" s="22">
        <v>46043</v>
      </c>
      <c r="E9" s="22">
        <v>46177</v>
      </c>
      <c r="F9" s="21">
        <f t="shared" si="0"/>
        <v>135</v>
      </c>
      <c r="G9" s="20" t="s">
        <v>8</v>
      </c>
      <c r="H9" s="19" t="s">
        <v>15</v>
      </c>
      <c r="I9" s="19" t="s">
        <v>15</v>
      </c>
    </row>
    <row r="10" spans="1:9" ht="15.5" x14ac:dyDescent="0.35">
      <c r="A10" s="17">
        <v>8</v>
      </c>
      <c r="B10" s="29" t="s">
        <v>55</v>
      </c>
      <c r="C10" s="23" t="s">
        <v>14</v>
      </c>
      <c r="D10" s="22">
        <v>46043</v>
      </c>
      <c r="E10" s="22">
        <v>46083</v>
      </c>
      <c r="F10" s="21">
        <f t="shared" si="0"/>
        <v>41</v>
      </c>
      <c r="G10" s="20" t="s">
        <v>8</v>
      </c>
      <c r="H10" s="19" t="s">
        <v>15</v>
      </c>
      <c r="I10" s="19" t="s">
        <v>15</v>
      </c>
    </row>
    <row r="11" spans="1:9" ht="15.5" x14ac:dyDescent="0.35">
      <c r="A11" s="17">
        <v>9</v>
      </c>
      <c r="B11" s="29" t="s">
        <v>59</v>
      </c>
      <c r="C11" s="23" t="s">
        <v>14</v>
      </c>
      <c r="D11" s="22">
        <v>46043</v>
      </c>
      <c r="E11" s="22">
        <v>46083</v>
      </c>
      <c r="F11" s="21">
        <f t="shared" si="0"/>
        <v>41</v>
      </c>
      <c r="G11" s="39" t="s">
        <v>22</v>
      </c>
      <c r="H11" s="19" t="s">
        <v>29</v>
      </c>
      <c r="I11" s="25" t="s">
        <v>116</v>
      </c>
    </row>
    <row r="12" spans="1:9" ht="15.5" x14ac:dyDescent="0.35">
      <c r="A12" s="17">
        <v>10</v>
      </c>
      <c r="B12" s="29" t="s">
        <v>39</v>
      </c>
      <c r="C12" s="23" t="s">
        <v>14</v>
      </c>
      <c r="D12" s="22">
        <v>46043</v>
      </c>
      <c r="E12" s="22">
        <v>46049</v>
      </c>
      <c r="F12" s="21">
        <f t="shared" si="0"/>
        <v>7</v>
      </c>
      <c r="G12" s="20" t="s">
        <v>8</v>
      </c>
      <c r="H12" s="19" t="s">
        <v>33</v>
      </c>
      <c r="I12" s="37" t="s">
        <v>117</v>
      </c>
    </row>
    <row r="13" spans="1:9" ht="15.5" x14ac:dyDescent="0.35">
      <c r="A13" s="17">
        <v>11</v>
      </c>
      <c r="B13" s="29" t="s">
        <v>56</v>
      </c>
      <c r="C13" s="23" t="s">
        <v>14</v>
      </c>
      <c r="D13" s="22">
        <v>46043</v>
      </c>
      <c r="E13" s="22">
        <v>46083</v>
      </c>
      <c r="F13" s="21">
        <f t="shared" si="0"/>
        <v>41</v>
      </c>
      <c r="G13" s="39" t="s">
        <v>22</v>
      </c>
      <c r="H13" s="19" t="s">
        <v>29</v>
      </c>
      <c r="I13" s="25" t="s">
        <v>116</v>
      </c>
    </row>
    <row r="14" spans="1:9" ht="15.5" x14ac:dyDescent="0.35">
      <c r="A14" s="17">
        <v>12</v>
      </c>
      <c r="B14" s="29" t="s">
        <v>68</v>
      </c>
      <c r="C14" s="23" t="s">
        <v>14</v>
      </c>
      <c r="D14" s="22">
        <v>46043</v>
      </c>
      <c r="E14" s="22">
        <v>46083</v>
      </c>
      <c r="F14" s="21">
        <f t="shared" si="0"/>
        <v>41</v>
      </c>
      <c r="G14" s="27" t="s">
        <v>67</v>
      </c>
      <c r="H14" s="19" t="s">
        <v>29</v>
      </c>
      <c r="I14" s="25" t="s">
        <v>116</v>
      </c>
    </row>
    <row r="15" spans="1:9" ht="15.5" x14ac:dyDescent="0.35">
      <c r="A15" s="17">
        <v>13</v>
      </c>
      <c r="B15" s="29" t="s">
        <v>58</v>
      </c>
      <c r="C15" s="23" t="s">
        <v>14</v>
      </c>
      <c r="D15" s="22">
        <v>46043</v>
      </c>
      <c r="E15" s="22">
        <v>46083</v>
      </c>
      <c r="F15" s="21">
        <f t="shared" si="0"/>
        <v>41</v>
      </c>
      <c r="G15" s="39" t="s">
        <v>22</v>
      </c>
      <c r="H15" s="19" t="s">
        <v>29</v>
      </c>
      <c r="I15" s="25" t="s">
        <v>116</v>
      </c>
    </row>
    <row r="16" spans="1:9" ht="15.5" x14ac:dyDescent="0.35">
      <c r="A16" s="17">
        <v>14</v>
      </c>
      <c r="B16" s="29" t="s">
        <v>63</v>
      </c>
      <c r="C16" s="23" t="s">
        <v>14</v>
      </c>
      <c r="D16" s="22">
        <v>46043</v>
      </c>
      <c r="E16" s="22">
        <v>46083</v>
      </c>
      <c r="F16" s="21">
        <f t="shared" si="0"/>
        <v>41</v>
      </c>
      <c r="G16" s="31" t="s">
        <v>61</v>
      </c>
      <c r="H16" s="19" t="s">
        <v>64</v>
      </c>
      <c r="I16" s="40" t="s">
        <v>118</v>
      </c>
    </row>
    <row r="17" spans="1:9" ht="15.5" x14ac:dyDescent="0.35">
      <c r="A17" s="17">
        <v>15</v>
      </c>
      <c r="B17" s="29" t="s">
        <v>57</v>
      </c>
      <c r="C17" s="23" t="s">
        <v>14</v>
      </c>
      <c r="D17" s="22">
        <v>46043</v>
      </c>
      <c r="E17" s="22">
        <v>46083</v>
      </c>
      <c r="F17" s="21">
        <f t="shared" si="0"/>
        <v>41</v>
      </c>
      <c r="G17" s="39" t="s">
        <v>22</v>
      </c>
      <c r="H17" s="19" t="s">
        <v>29</v>
      </c>
      <c r="I17" s="25" t="s">
        <v>116</v>
      </c>
    </row>
    <row r="18" spans="1:9" ht="15.5" x14ac:dyDescent="0.35">
      <c r="A18" s="17">
        <v>16</v>
      </c>
      <c r="B18" s="29" t="s">
        <v>60</v>
      </c>
      <c r="C18" s="23" t="s">
        <v>14</v>
      </c>
      <c r="D18" s="22">
        <v>46043</v>
      </c>
      <c r="E18" s="22">
        <v>46083</v>
      </c>
      <c r="F18" s="21">
        <f t="shared" si="0"/>
        <v>41</v>
      </c>
      <c r="G18" s="31" t="s">
        <v>61</v>
      </c>
      <c r="H18" s="19" t="s">
        <v>62</v>
      </c>
      <c r="I18" s="18" t="s">
        <v>119</v>
      </c>
    </row>
    <row r="19" spans="1:9" ht="15.5" x14ac:dyDescent="0.35">
      <c r="A19" s="17">
        <v>17</v>
      </c>
      <c r="B19" s="29" t="s">
        <v>65</v>
      </c>
      <c r="C19" s="23" t="s">
        <v>14</v>
      </c>
      <c r="D19" s="22">
        <v>46043</v>
      </c>
      <c r="E19" s="22">
        <v>46083</v>
      </c>
      <c r="F19" s="21">
        <f t="shared" si="0"/>
        <v>41</v>
      </c>
      <c r="G19" s="31" t="s">
        <v>61</v>
      </c>
      <c r="H19" s="19" t="s">
        <v>62</v>
      </c>
      <c r="I19" s="18" t="s">
        <v>119</v>
      </c>
    </row>
    <row r="20" spans="1:9" ht="15.5" x14ac:dyDescent="0.35">
      <c r="A20" s="17">
        <v>18</v>
      </c>
      <c r="B20" s="29" t="s">
        <v>43</v>
      </c>
      <c r="C20" s="23" t="s">
        <v>14</v>
      </c>
      <c r="D20" s="22">
        <v>46050</v>
      </c>
      <c r="E20" s="22">
        <v>46129</v>
      </c>
      <c r="F20" s="21">
        <f t="shared" si="0"/>
        <v>80</v>
      </c>
      <c r="G20" s="20" t="s">
        <v>8</v>
      </c>
      <c r="H20" s="19" t="s">
        <v>44</v>
      </c>
      <c r="I20" s="36" t="s">
        <v>120</v>
      </c>
    </row>
    <row r="21" spans="1:9" ht="15.5" x14ac:dyDescent="0.35">
      <c r="A21" s="17">
        <v>19</v>
      </c>
      <c r="B21" s="29" t="s">
        <v>45</v>
      </c>
      <c r="C21" s="23" t="s">
        <v>14</v>
      </c>
      <c r="D21" s="22">
        <v>46050</v>
      </c>
      <c r="E21" s="22">
        <v>46061</v>
      </c>
      <c r="F21" s="21">
        <f t="shared" si="0"/>
        <v>12</v>
      </c>
      <c r="G21" s="20" t="s">
        <v>8</v>
      </c>
      <c r="H21" s="19" t="s">
        <v>46</v>
      </c>
      <c r="I21" s="36" t="s">
        <v>120</v>
      </c>
    </row>
    <row r="22" spans="1:9" ht="15.5" x14ac:dyDescent="0.35">
      <c r="A22" s="17">
        <v>20</v>
      </c>
      <c r="B22" s="29" t="s">
        <v>21</v>
      </c>
      <c r="C22" s="23" t="s">
        <v>14</v>
      </c>
      <c r="D22" s="22">
        <v>46054</v>
      </c>
      <c r="E22" s="22">
        <v>46067</v>
      </c>
      <c r="F22" s="21">
        <f t="shared" si="0"/>
        <v>14</v>
      </c>
      <c r="G22" s="39" t="s">
        <v>22</v>
      </c>
      <c r="H22" s="19" t="s">
        <v>9</v>
      </c>
      <c r="I22" s="27" t="s">
        <v>114</v>
      </c>
    </row>
    <row r="23" spans="1:9" ht="15.5" x14ac:dyDescent="0.35">
      <c r="A23" s="17">
        <v>21</v>
      </c>
      <c r="B23" s="29" t="s">
        <v>30</v>
      </c>
      <c r="C23" s="23" t="s">
        <v>14</v>
      </c>
      <c r="D23" s="22">
        <v>46055</v>
      </c>
      <c r="E23" s="22">
        <v>46113</v>
      </c>
      <c r="F23" s="21">
        <f t="shared" si="0"/>
        <v>59</v>
      </c>
      <c r="G23" s="20" t="s">
        <v>8</v>
      </c>
      <c r="H23" s="19" t="s">
        <v>31</v>
      </c>
      <c r="I23" s="38" t="s">
        <v>121</v>
      </c>
    </row>
    <row r="24" spans="1:9" ht="15.5" x14ac:dyDescent="0.35">
      <c r="A24" s="17">
        <v>22</v>
      </c>
      <c r="B24" s="29" t="s">
        <v>32</v>
      </c>
      <c r="C24" s="23" t="s">
        <v>14</v>
      </c>
      <c r="D24" s="22">
        <v>46055</v>
      </c>
      <c r="E24" s="22">
        <v>46061</v>
      </c>
      <c r="F24" s="21">
        <f t="shared" si="0"/>
        <v>7</v>
      </c>
      <c r="G24" s="20" t="s">
        <v>8</v>
      </c>
      <c r="H24" s="19" t="s">
        <v>33</v>
      </c>
      <c r="I24" s="37" t="s">
        <v>117</v>
      </c>
    </row>
    <row r="25" spans="1:9" ht="15.5" x14ac:dyDescent="0.35">
      <c r="A25" s="17">
        <v>23</v>
      </c>
      <c r="B25" s="29" t="s">
        <v>17</v>
      </c>
      <c r="C25" s="23" t="s">
        <v>14</v>
      </c>
      <c r="D25" s="22">
        <v>46055</v>
      </c>
      <c r="E25" s="22">
        <v>46061</v>
      </c>
      <c r="F25" s="21">
        <f t="shared" si="0"/>
        <v>7</v>
      </c>
      <c r="G25" s="20" t="s">
        <v>8</v>
      </c>
      <c r="H25" s="19" t="s">
        <v>9</v>
      </c>
      <c r="I25" s="35" t="s">
        <v>122</v>
      </c>
    </row>
    <row r="26" spans="1:9" ht="15.5" x14ac:dyDescent="0.35">
      <c r="A26" s="17">
        <v>24</v>
      </c>
      <c r="B26" s="29" t="s">
        <v>74</v>
      </c>
      <c r="C26" s="23" t="s">
        <v>14</v>
      </c>
      <c r="D26" s="22">
        <v>46061</v>
      </c>
      <c r="E26" s="22">
        <v>46141</v>
      </c>
      <c r="F26" s="21">
        <f t="shared" si="0"/>
        <v>81</v>
      </c>
      <c r="G26" s="20" t="s">
        <v>8</v>
      </c>
      <c r="H26" s="19" t="s">
        <v>75</v>
      </c>
      <c r="I26" s="35" t="s">
        <v>123</v>
      </c>
    </row>
    <row r="27" spans="1:9" ht="15.5" x14ac:dyDescent="0.35">
      <c r="A27" s="17">
        <v>25</v>
      </c>
      <c r="B27" s="29" t="s">
        <v>84</v>
      </c>
      <c r="C27" s="23" t="s">
        <v>14</v>
      </c>
      <c r="D27" s="22">
        <v>46061</v>
      </c>
      <c r="E27" s="22">
        <v>46106</v>
      </c>
      <c r="F27" s="21">
        <f t="shared" si="0"/>
        <v>46</v>
      </c>
      <c r="G27" s="27" t="s">
        <v>67</v>
      </c>
      <c r="H27" s="19" t="s">
        <v>77</v>
      </c>
      <c r="I27" s="35" t="s">
        <v>123</v>
      </c>
    </row>
    <row r="28" spans="1:9" ht="15.5" x14ac:dyDescent="0.35">
      <c r="A28" s="17">
        <v>26</v>
      </c>
      <c r="B28" s="29" t="s">
        <v>124</v>
      </c>
      <c r="C28" s="23" t="s">
        <v>14</v>
      </c>
      <c r="D28" s="22">
        <v>46061</v>
      </c>
      <c r="E28" s="22">
        <v>46077</v>
      </c>
      <c r="F28" s="21">
        <f t="shared" si="0"/>
        <v>17</v>
      </c>
      <c r="G28" s="27" t="s">
        <v>67</v>
      </c>
      <c r="H28" s="19" t="s">
        <v>77</v>
      </c>
      <c r="I28" s="35" t="s">
        <v>123</v>
      </c>
    </row>
    <row r="29" spans="1:9" ht="15.5" x14ac:dyDescent="0.35">
      <c r="A29" s="17">
        <v>27</v>
      </c>
      <c r="B29" s="29" t="s">
        <v>35</v>
      </c>
      <c r="C29" s="23" t="s">
        <v>14</v>
      </c>
      <c r="D29" s="22">
        <v>46062</v>
      </c>
      <c r="E29" s="22">
        <v>46106</v>
      </c>
      <c r="F29" s="21">
        <f t="shared" si="0"/>
        <v>45</v>
      </c>
      <c r="G29" s="20" t="s">
        <v>8</v>
      </c>
      <c r="H29" s="19" t="s">
        <v>31</v>
      </c>
      <c r="I29" s="38" t="s">
        <v>121</v>
      </c>
    </row>
    <row r="30" spans="1:9" ht="15.5" x14ac:dyDescent="0.35">
      <c r="A30" s="17">
        <v>28</v>
      </c>
      <c r="B30" s="29" t="s">
        <v>18</v>
      </c>
      <c r="C30" s="23" t="s">
        <v>14</v>
      </c>
      <c r="D30" s="22">
        <v>46062</v>
      </c>
      <c r="E30" s="22">
        <v>46068</v>
      </c>
      <c r="F30" s="21">
        <f t="shared" si="0"/>
        <v>7</v>
      </c>
      <c r="G30" s="20" t="s">
        <v>8</v>
      </c>
      <c r="H30" s="19" t="s">
        <v>9</v>
      </c>
      <c r="I30" s="27" t="s">
        <v>114</v>
      </c>
    </row>
    <row r="31" spans="1:9" ht="15.5" x14ac:dyDescent="0.35">
      <c r="A31" s="17">
        <v>29</v>
      </c>
      <c r="B31" s="29" t="s">
        <v>40</v>
      </c>
      <c r="C31" s="23" t="s">
        <v>14</v>
      </c>
      <c r="D31" s="22">
        <v>46062</v>
      </c>
      <c r="E31" s="22">
        <v>46068</v>
      </c>
      <c r="F31" s="21">
        <f t="shared" si="0"/>
        <v>7</v>
      </c>
      <c r="G31" s="20" t="s">
        <v>8</v>
      </c>
      <c r="H31" s="19" t="s">
        <v>41</v>
      </c>
      <c r="I31" s="37" t="s">
        <v>117</v>
      </c>
    </row>
    <row r="32" spans="1:9" ht="15.5" x14ac:dyDescent="0.35">
      <c r="A32" s="17">
        <v>30</v>
      </c>
      <c r="B32" s="29" t="s">
        <v>47</v>
      </c>
      <c r="C32" s="23" t="s">
        <v>14</v>
      </c>
      <c r="D32" s="22">
        <v>46062</v>
      </c>
      <c r="E32" s="22">
        <v>46131</v>
      </c>
      <c r="F32" s="21">
        <f t="shared" si="0"/>
        <v>70</v>
      </c>
      <c r="G32" s="20" t="s">
        <v>8</v>
      </c>
      <c r="H32" s="19" t="s">
        <v>46</v>
      </c>
      <c r="I32" s="36" t="s">
        <v>120</v>
      </c>
    </row>
    <row r="33" spans="1:9" ht="15.5" x14ac:dyDescent="0.35">
      <c r="A33" s="17">
        <v>31</v>
      </c>
      <c r="B33" s="29" t="s">
        <v>20</v>
      </c>
      <c r="C33" s="23" t="s">
        <v>14</v>
      </c>
      <c r="D33" s="22">
        <v>46069</v>
      </c>
      <c r="E33" s="22">
        <v>46120</v>
      </c>
      <c r="F33" s="21">
        <f t="shared" si="0"/>
        <v>52</v>
      </c>
      <c r="G33" s="20" t="s">
        <v>8</v>
      </c>
      <c r="H33" s="19" t="s">
        <v>9</v>
      </c>
      <c r="I33" s="35" t="s">
        <v>122</v>
      </c>
    </row>
    <row r="34" spans="1:9" ht="15.5" x14ac:dyDescent="0.35">
      <c r="A34" s="17">
        <v>32</v>
      </c>
      <c r="B34" s="29" t="s">
        <v>49</v>
      </c>
      <c r="C34" s="23" t="s">
        <v>14</v>
      </c>
      <c r="D34" s="22">
        <v>46069</v>
      </c>
      <c r="E34" s="22">
        <v>46134</v>
      </c>
      <c r="F34" s="21">
        <f t="shared" si="0"/>
        <v>66</v>
      </c>
      <c r="G34" s="20" t="s">
        <v>8</v>
      </c>
      <c r="H34" s="19" t="s">
        <v>46</v>
      </c>
      <c r="I34" s="36" t="s">
        <v>120</v>
      </c>
    </row>
    <row r="35" spans="1:9" ht="15.5" x14ac:dyDescent="0.35">
      <c r="A35" s="17">
        <v>33</v>
      </c>
      <c r="B35" s="29" t="s">
        <v>48</v>
      </c>
      <c r="C35" s="23" t="s">
        <v>14</v>
      </c>
      <c r="D35" s="22">
        <v>46069</v>
      </c>
      <c r="E35" s="22">
        <v>46083</v>
      </c>
      <c r="F35" s="21">
        <f t="shared" ref="F35:F66" si="1">E35-D35+1</f>
        <v>15</v>
      </c>
      <c r="G35" s="20" t="s">
        <v>8</v>
      </c>
      <c r="H35" s="19" t="s">
        <v>44</v>
      </c>
      <c r="I35" s="36" t="s">
        <v>120</v>
      </c>
    </row>
    <row r="36" spans="1:9" ht="15.5" x14ac:dyDescent="0.35">
      <c r="A36" s="17">
        <v>34</v>
      </c>
      <c r="B36" s="29" t="s">
        <v>24</v>
      </c>
      <c r="C36" s="23" t="s">
        <v>14</v>
      </c>
      <c r="D36" s="22">
        <v>46077</v>
      </c>
      <c r="E36" s="22">
        <v>46090</v>
      </c>
      <c r="F36" s="21">
        <f t="shared" si="1"/>
        <v>14</v>
      </c>
      <c r="G36" s="20" t="s">
        <v>8</v>
      </c>
      <c r="H36" s="19" t="s">
        <v>25</v>
      </c>
      <c r="I36" s="27" t="s">
        <v>114</v>
      </c>
    </row>
    <row r="37" spans="1:9" ht="15.5" x14ac:dyDescent="0.35">
      <c r="A37" s="17">
        <v>35</v>
      </c>
      <c r="B37" s="29" t="s">
        <v>26</v>
      </c>
      <c r="C37" s="23" t="s">
        <v>14</v>
      </c>
      <c r="D37" s="22">
        <v>46077</v>
      </c>
      <c r="E37" s="22">
        <v>46090</v>
      </c>
      <c r="F37" s="21">
        <f t="shared" si="1"/>
        <v>14</v>
      </c>
      <c r="G37" s="20" t="s">
        <v>8</v>
      </c>
      <c r="H37" s="19" t="s">
        <v>25</v>
      </c>
      <c r="I37" s="27" t="s">
        <v>114</v>
      </c>
    </row>
    <row r="38" spans="1:9" ht="15.5" x14ac:dyDescent="0.35">
      <c r="A38" s="17">
        <v>36</v>
      </c>
      <c r="B38" s="29" t="s">
        <v>125</v>
      </c>
      <c r="C38" s="23" t="s">
        <v>14</v>
      </c>
      <c r="D38" s="22">
        <v>46077</v>
      </c>
      <c r="E38" s="22">
        <v>46106</v>
      </c>
      <c r="F38" s="21">
        <f t="shared" si="1"/>
        <v>30</v>
      </c>
      <c r="G38" s="20" t="s">
        <v>8</v>
      </c>
      <c r="H38" s="19" t="s">
        <v>77</v>
      </c>
      <c r="I38" s="35" t="s">
        <v>123</v>
      </c>
    </row>
    <row r="39" spans="1:9" ht="15.5" x14ac:dyDescent="0.35">
      <c r="A39" s="17">
        <v>37</v>
      </c>
      <c r="B39" s="29" t="s">
        <v>126</v>
      </c>
      <c r="C39" s="23" t="s">
        <v>14</v>
      </c>
      <c r="D39" s="22">
        <v>46077</v>
      </c>
      <c r="E39" s="22">
        <v>46096</v>
      </c>
      <c r="F39" s="21">
        <f t="shared" si="1"/>
        <v>20</v>
      </c>
      <c r="G39" s="20" t="s">
        <v>8</v>
      </c>
      <c r="H39" s="19" t="s">
        <v>77</v>
      </c>
      <c r="I39" s="35" t="s">
        <v>123</v>
      </c>
    </row>
    <row r="40" spans="1:9" ht="15.5" x14ac:dyDescent="0.35">
      <c r="A40" s="17">
        <v>38</v>
      </c>
      <c r="B40" s="29" t="s">
        <v>127</v>
      </c>
      <c r="C40" s="23" t="s">
        <v>14</v>
      </c>
      <c r="D40" s="22">
        <v>46077</v>
      </c>
      <c r="E40" s="22">
        <v>46096</v>
      </c>
      <c r="F40" s="21">
        <f t="shared" si="1"/>
        <v>20</v>
      </c>
      <c r="G40" s="20" t="s">
        <v>8</v>
      </c>
      <c r="H40" s="19" t="s">
        <v>77</v>
      </c>
      <c r="I40" s="35" t="s">
        <v>123</v>
      </c>
    </row>
    <row r="41" spans="1:9" ht="15.5" x14ac:dyDescent="0.35">
      <c r="A41" s="17">
        <v>39</v>
      </c>
      <c r="B41" s="29" t="s">
        <v>78</v>
      </c>
      <c r="C41" s="23" t="s">
        <v>14</v>
      </c>
      <c r="D41" s="22">
        <v>46086</v>
      </c>
      <c r="E41" s="22">
        <v>46130</v>
      </c>
      <c r="F41" s="21">
        <f t="shared" si="1"/>
        <v>45</v>
      </c>
      <c r="G41" s="20" t="s">
        <v>8</v>
      </c>
      <c r="H41" s="19" t="s">
        <v>77</v>
      </c>
      <c r="I41" s="35" t="s">
        <v>123</v>
      </c>
    </row>
    <row r="42" spans="1:9" ht="15.5" x14ac:dyDescent="0.35">
      <c r="A42" s="17">
        <v>40</v>
      </c>
      <c r="B42" s="29" t="s">
        <v>27</v>
      </c>
      <c r="C42" s="23" t="s">
        <v>14</v>
      </c>
      <c r="D42" s="22">
        <v>46091</v>
      </c>
      <c r="E42" s="22">
        <v>46120</v>
      </c>
      <c r="F42" s="21">
        <f t="shared" si="1"/>
        <v>30</v>
      </c>
      <c r="G42" s="20" t="s">
        <v>8</v>
      </c>
      <c r="H42" s="19" t="s">
        <v>9</v>
      </c>
      <c r="I42" s="35" t="s">
        <v>122</v>
      </c>
    </row>
    <row r="43" spans="1:9" ht="15.5" x14ac:dyDescent="0.35">
      <c r="A43" s="17">
        <v>41</v>
      </c>
      <c r="B43" s="29" t="s">
        <v>103</v>
      </c>
      <c r="C43" s="23" t="s">
        <v>14</v>
      </c>
      <c r="D43" s="22">
        <v>46102</v>
      </c>
      <c r="E43" s="22">
        <v>46131</v>
      </c>
      <c r="F43" s="21">
        <f t="shared" si="1"/>
        <v>30</v>
      </c>
      <c r="G43" s="31" t="s">
        <v>61</v>
      </c>
      <c r="H43" s="19" t="s">
        <v>102</v>
      </c>
      <c r="I43" s="30" t="s">
        <v>128</v>
      </c>
    </row>
    <row r="44" spans="1:9" ht="15.5" x14ac:dyDescent="0.35">
      <c r="A44" s="17">
        <v>42</v>
      </c>
      <c r="B44" s="29" t="s">
        <v>129</v>
      </c>
      <c r="C44" s="23" t="s">
        <v>14</v>
      </c>
      <c r="D44" s="22">
        <v>46102</v>
      </c>
      <c r="E44" s="22">
        <v>46131</v>
      </c>
      <c r="F44" s="21">
        <f t="shared" si="1"/>
        <v>30</v>
      </c>
      <c r="G44" s="27" t="s">
        <v>67</v>
      </c>
      <c r="H44" s="19" t="s">
        <v>89</v>
      </c>
      <c r="I44" s="34" t="s">
        <v>130</v>
      </c>
    </row>
    <row r="45" spans="1:9" ht="15.5" x14ac:dyDescent="0.35">
      <c r="A45" s="17">
        <v>43</v>
      </c>
      <c r="B45" s="29" t="s">
        <v>104</v>
      </c>
      <c r="C45" s="23" t="s">
        <v>14</v>
      </c>
      <c r="D45" s="22">
        <v>46103</v>
      </c>
      <c r="E45" s="22">
        <v>46162</v>
      </c>
      <c r="F45" s="21">
        <f t="shared" si="1"/>
        <v>60</v>
      </c>
      <c r="G45" s="31" t="s">
        <v>61</v>
      </c>
      <c r="H45" s="19" t="s">
        <v>102</v>
      </c>
      <c r="I45" s="30" t="s">
        <v>128</v>
      </c>
    </row>
    <row r="46" spans="1:9" ht="15.5" x14ac:dyDescent="0.35">
      <c r="A46" s="17">
        <v>44</v>
      </c>
      <c r="B46" s="29" t="s">
        <v>131</v>
      </c>
      <c r="C46" s="23" t="s">
        <v>14</v>
      </c>
      <c r="D46" s="22">
        <v>46103</v>
      </c>
      <c r="E46" s="22">
        <v>46162</v>
      </c>
      <c r="F46" s="21">
        <f t="shared" si="1"/>
        <v>60</v>
      </c>
      <c r="G46" s="31" t="s">
        <v>61</v>
      </c>
      <c r="H46" s="19" t="s">
        <v>102</v>
      </c>
      <c r="I46" s="30" t="s">
        <v>128</v>
      </c>
    </row>
    <row r="47" spans="1:9" ht="15.5" x14ac:dyDescent="0.35">
      <c r="A47" s="17">
        <v>45</v>
      </c>
      <c r="B47" s="29" t="s">
        <v>80</v>
      </c>
      <c r="C47" s="23" t="s">
        <v>14</v>
      </c>
      <c r="D47" s="22">
        <v>46111</v>
      </c>
      <c r="E47" s="22">
        <v>46132</v>
      </c>
      <c r="F47" s="21">
        <f t="shared" si="1"/>
        <v>22</v>
      </c>
      <c r="G47" s="27" t="s">
        <v>67</v>
      </c>
      <c r="H47" s="19" t="s">
        <v>81</v>
      </c>
      <c r="I47" s="33" t="s">
        <v>132</v>
      </c>
    </row>
    <row r="48" spans="1:9" ht="15.5" x14ac:dyDescent="0.35">
      <c r="A48" s="17">
        <v>46</v>
      </c>
      <c r="B48" s="29" t="s">
        <v>133</v>
      </c>
      <c r="C48" s="23" t="s">
        <v>14</v>
      </c>
      <c r="D48" s="22">
        <v>46111</v>
      </c>
      <c r="E48" s="22">
        <v>46130</v>
      </c>
      <c r="F48" s="21">
        <f t="shared" si="1"/>
        <v>20</v>
      </c>
      <c r="G48" s="27" t="s">
        <v>67</v>
      </c>
      <c r="H48" s="19" t="s">
        <v>81</v>
      </c>
      <c r="I48" s="33" t="s">
        <v>132</v>
      </c>
    </row>
    <row r="49" spans="1:9" ht="15.5" x14ac:dyDescent="0.35">
      <c r="A49" s="17">
        <v>47</v>
      </c>
      <c r="B49" s="29" t="s">
        <v>83</v>
      </c>
      <c r="C49" s="23" t="s">
        <v>14</v>
      </c>
      <c r="D49" s="22">
        <v>46121</v>
      </c>
      <c r="E49" s="22">
        <v>46130</v>
      </c>
      <c r="F49" s="21">
        <f t="shared" si="1"/>
        <v>10</v>
      </c>
      <c r="G49" s="27" t="s">
        <v>67</v>
      </c>
      <c r="H49" s="19" t="s">
        <v>81</v>
      </c>
      <c r="I49" s="33" t="s">
        <v>132</v>
      </c>
    </row>
    <row r="50" spans="1:9" ht="15.5" x14ac:dyDescent="0.35">
      <c r="A50" s="17">
        <v>48</v>
      </c>
      <c r="B50" s="29" t="s">
        <v>134</v>
      </c>
      <c r="C50" s="23" t="s">
        <v>14</v>
      </c>
      <c r="D50" s="22">
        <v>46128</v>
      </c>
      <c r="E50" s="22">
        <v>46141</v>
      </c>
      <c r="F50" s="21">
        <f t="shared" si="1"/>
        <v>14</v>
      </c>
      <c r="G50" s="20" t="s">
        <v>8</v>
      </c>
      <c r="H50" s="19" t="s">
        <v>91</v>
      </c>
      <c r="I50" s="32" t="s">
        <v>135</v>
      </c>
    </row>
    <row r="51" spans="1:9" ht="15.5" x14ac:dyDescent="0.35">
      <c r="A51" s="17">
        <v>49</v>
      </c>
      <c r="B51" s="29" t="s">
        <v>136</v>
      </c>
      <c r="C51" s="23" t="s">
        <v>14</v>
      </c>
      <c r="D51" s="22">
        <v>46131</v>
      </c>
      <c r="E51" s="22">
        <v>46132</v>
      </c>
      <c r="F51" s="21">
        <f t="shared" si="1"/>
        <v>2</v>
      </c>
      <c r="G51" s="20" t="s">
        <v>8</v>
      </c>
      <c r="H51" s="19" t="s">
        <v>53</v>
      </c>
      <c r="I51" s="19" t="s">
        <v>15</v>
      </c>
    </row>
    <row r="52" spans="1:9" ht="15.5" x14ac:dyDescent="0.35">
      <c r="A52" s="17">
        <v>50</v>
      </c>
      <c r="B52" s="29" t="s">
        <v>137</v>
      </c>
      <c r="C52" s="23" t="s">
        <v>14</v>
      </c>
      <c r="D52" s="22">
        <v>46131</v>
      </c>
      <c r="E52" s="22">
        <v>46132</v>
      </c>
      <c r="F52" s="21">
        <f t="shared" si="1"/>
        <v>2</v>
      </c>
      <c r="G52" s="20" t="s">
        <v>8</v>
      </c>
      <c r="H52" s="19" t="s">
        <v>53</v>
      </c>
      <c r="I52" s="19" t="s">
        <v>15</v>
      </c>
    </row>
    <row r="53" spans="1:9" ht="15.5" x14ac:dyDescent="0.35">
      <c r="A53" s="17">
        <v>51</v>
      </c>
      <c r="B53" s="29" t="s">
        <v>105</v>
      </c>
      <c r="C53" s="23" t="s">
        <v>14</v>
      </c>
      <c r="D53" s="22">
        <v>46133</v>
      </c>
      <c r="E53" s="22">
        <v>46252</v>
      </c>
      <c r="F53" s="21">
        <f t="shared" si="1"/>
        <v>120</v>
      </c>
      <c r="G53" s="31" t="s">
        <v>61</v>
      </c>
      <c r="H53" s="19" t="s">
        <v>102</v>
      </c>
      <c r="I53" s="30" t="s">
        <v>128</v>
      </c>
    </row>
    <row r="54" spans="1:9" ht="15.5" x14ac:dyDescent="0.35">
      <c r="A54" s="17">
        <v>52</v>
      </c>
      <c r="B54" s="29" t="s">
        <v>51</v>
      </c>
      <c r="C54" s="23" t="s">
        <v>14</v>
      </c>
      <c r="D54" s="22">
        <v>46136</v>
      </c>
      <c r="E54" s="22">
        <v>46167</v>
      </c>
      <c r="F54" s="21">
        <f t="shared" si="1"/>
        <v>32</v>
      </c>
      <c r="G54" s="20" t="s">
        <v>8</v>
      </c>
      <c r="H54" s="19" t="s">
        <v>33</v>
      </c>
      <c r="I54" s="26" t="s">
        <v>138</v>
      </c>
    </row>
    <row r="55" spans="1:9" ht="15.5" x14ac:dyDescent="0.35">
      <c r="A55" s="17">
        <v>53</v>
      </c>
      <c r="B55" s="29" t="s">
        <v>52</v>
      </c>
      <c r="C55" s="23" t="s">
        <v>14</v>
      </c>
      <c r="D55" s="22">
        <v>46168</v>
      </c>
      <c r="E55" s="22">
        <v>46182</v>
      </c>
      <c r="F55" s="21">
        <f t="shared" si="1"/>
        <v>15</v>
      </c>
      <c r="G55" s="20" t="s">
        <v>8</v>
      </c>
      <c r="H55" s="19" t="s">
        <v>53</v>
      </c>
      <c r="I55" s="25" t="s">
        <v>116</v>
      </c>
    </row>
    <row r="56" spans="1:9" ht="15.5" x14ac:dyDescent="0.35">
      <c r="A56" s="17">
        <v>54</v>
      </c>
      <c r="B56" s="19" t="s">
        <v>93</v>
      </c>
      <c r="C56" s="23" t="s">
        <v>14</v>
      </c>
      <c r="D56" s="22">
        <v>46168</v>
      </c>
      <c r="E56" s="22">
        <v>46182</v>
      </c>
      <c r="F56" s="21">
        <f t="shared" si="1"/>
        <v>15</v>
      </c>
      <c r="G56" s="20" t="s">
        <v>8</v>
      </c>
      <c r="H56" s="19" t="s">
        <v>94</v>
      </c>
      <c r="I56" s="25" t="s">
        <v>116</v>
      </c>
    </row>
    <row r="57" spans="1:9" ht="15.5" x14ac:dyDescent="0.35">
      <c r="A57" s="17">
        <v>55</v>
      </c>
      <c r="B57" s="29" t="s">
        <v>139</v>
      </c>
      <c r="C57" s="23" t="s">
        <v>14</v>
      </c>
      <c r="D57" s="22">
        <v>46213</v>
      </c>
      <c r="E57" s="22">
        <v>46219</v>
      </c>
      <c r="F57" s="21">
        <f t="shared" si="1"/>
        <v>7</v>
      </c>
      <c r="G57" s="20" t="s">
        <v>8</v>
      </c>
      <c r="H57" s="19" t="s">
        <v>15</v>
      </c>
      <c r="I57" s="19" t="s">
        <v>15</v>
      </c>
    </row>
    <row r="58" spans="1:9" ht="15.5" x14ac:dyDescent="0.35">
      <c r="B58" s="24" t="s">
        <v>140</v>
      </c>
      <c r="C58" s="23" t="s">
        <v>14</v>
      </c>
      <c r="D58" s="22">
        <v>46213</v>
      </c>
      <c r="E58" s="22">
        <v>46219</v>
      </c>
      <c r="F58" s="21">
        <f t="shared" si="1"/>
        <v>7</v>
      </c>
      <c r="G58" s="27" t="s">
        <v>67</v>
      </c>
      <c r="H58" s="19" t="s">
        <v>64</v>
      </c>
      <c r="I58" s="28" t="s">
        <v>141</v>
      </c>
    </row>
    <row r="59" spans="1:9" ht="15.5" x14ac:dyDescent="0.35">
      <c r="B59" s="24" t="s">
        <v>142</v>
      </c>
      <c r="C59" s="23" t="s">
        <v>14</v>
      </c>
      <c r="D59" s="22">
        <v>46213</v>
      </c>
      <c r="E59" s="22">
        <v>46219</v>
      </c>
      <c r="F59" s="21">
        <f t="shared" si="1"/>
        <v>7</v>
      </c>
      <c r="G59" s="27" t="s">
        <v>67</v>
      </c>
      <c r="H59" s="19" t="s">
        <v>64</v>
      </c>
      <c r="I59" s="28" t="s">
        <v>141</v>
      </c>
    </row>
    <row r="60" spans="1:9" ht="15.5" x14ac:dyDescent="0.35">
      <c r="B60" s="24" t="s">
        <v>143</v>
      </c>
      <c r="C60" s="23" t="s">
        <v>14</v>
      </c>
      <c r="D60" s="22">
        <v>46213</v>
      </c>
      <c r="E60" s="22">
        <v>46219</v>
      </c>
      <c r="F60" s="21">
        <f t="shared" si="1"/>
        <v>7</v>
      </c>
      <c r="G60" s="27" t="s">
        <v>67</v>
      </c>
      <c r="H60" s="19" t="s">
        <v>64</v>
      </c>
      <c r="I60" s="18" t="s">
        <v>119</v>
      </c>
    </row>
    <row r="61" spans="1:9" ht="15.5" x14ac:dyDescent="0.35">
      <c r="B61" s="24" t="s">
        <v>144</v>
      </c>
      <c r="C61" s="23" t="s">
        <v>14</v>
      </c>
      <c r="D61" s="22">
        <v>46213</v>
      </c>
      <c r="E61" s="22">
        <v>46219</v>
      </c>
      <c r="F61" s="21">
        <f t="shared" si="1"/>
        <v>7</v>
      </c>
      <c r="G61" s="20" t="s">
        <v>8</v>
      </c>
      <c r="H61" s="19" t="s">
        <v>33</v>
      </c>
      <c r="I61" s="26" t="s">
        <v>138</v>
      </c>
    </row>
    <row r="62" spans="1:9" ht="15.5" x14ac:dyDescent="0.35">
      <c r="B62" s="24" t="s">
        <v>145</v>
      </c>
      <c r="C62" s="23" t="s">
        <v>14</v>
      </c>
      <c r="D62" s="22">
        <v>46213</v>
      </c>
      <c r="E62" s="22">
        <v>46219</v>
      </c>
      <c r="F62" s="21">
        <f t="shared" si="1"/>
        <v>7</v>
      </c>
      <c r="G62" s="20" t="s">
        <v>8</v>
      </c>
      <c r="H62" s="19" t="s">
        <v>33</v>
      </c>
      <c r="I62" s="26" t="s">
        <v>138</v>
      </c>
    </row>
    <row r="63" spans="1:9" ht="15.5" x14ac:dyDescent="0.35">
      <c r="B63" s="24" t="s">
        <v>146</v>
      </c>
      <c r="C63" s="23" t="s">
        <v>14</v>
      </c>
      <c r="D63" s="22">
        <v>46213</v>
      </c>
      <c r="E63" s="22">
        <v>46219</v>
      </c>
      <c r="F63" s="21">
        <f t="shared" si="1"/>
        <v>7</v>
      </c>
      <c r="G63" s="20" t="s">
        <v>8</v>
      </c>
      <c r="H63" s="19" t="s">
        <v>33</v>
      </c>
      <c r="I63" s="26" t="s">
        <v>138</v>
      </c>
    </row>
    <row r="64" spans="1:9" ht="15.5" x14ac:dyDescent="0.35">
      <c r="B64" s="24" t="s">
        <v>147</v>
      </c>
      <c r="C64" s="23" t="s">
        <v>14</v>
      </c>
      <c r="D64" s="22">
        <v>46213</v>
      </c>
      <c r="E64" s="22">
        <v>46219</v>
      </c>
      <c r="F64" s="21">
        <f t="shared" si="1"/>
        <v>7</v>
      </c>
      <c r="G64" s="20" t="s">
        <v>8</v>
      </c>
      <c r="H64" s="19" t="s">
        <v>29</v>
      </c>
      <c r="I64" s="25" t="s">
        <v>116</v>
      </c>
    </row>
    <row r="65" spans="2:9" ht="15.5" x14ac:dyDescent="0.35">
      <c r="B65" s="24" t="s">
        <v>148</v>
      </c>
      <c r="C65" s="23" t="s">
        <v>14</v>
      </c>
      <c r="D65" s="22">
        <v>46213</v>
      </c>
      <c r="E65" s="22">
        <v>46219</v>
      </c>
      <c r="F65" s="21">
        <f t="shared" si="1"/>
        <v>7</v>
      </c>
      <c r="G65" s="20" t="s">
        <v>8</v>
      </c>
      <c r="H65" s="19" t="s">
        <v>29</v>
      </c>
      <c r="I65" s="25" t="s">
        <v>116</v>
      </c>
    </row>
    <row r="66" spans="2:9" ht="15.5" x14ac:dyDescent="0.35">
      <c r="B66" s="24" t="s">
        <v>149</v>
      </c>
      <c r="C66" s="23" t="s">
        <v>14</v>
      </c>
      <c r="D66" s="22">
        <v>46213</v>
      </c>
      <c r="E66" s="22">
        <v>46219</v>
      </c>
      <c r="F66" s="21">
        <f t="shared" si="1"/>
        <v>7</v>
      </c>
      <c r="G66" s="20" t="s">
        <v>8</v>
      </c>
      <c r="H66" s="19" t="s">
        <v>64</v>
      </c>
      <c r="I66" s="18" t="s">
        <v>119</v>
      </c>
    </row>
    <row r="67" spans="2:9" ht="15.5" x14ac:dyDescent="0.35">
      <c r="B67" s="24" t="s">
        <v>150</v>
      </c>
      <c r="C67" s="23" t="s">
        <v>14</v>
      </c>
      <c r="D67" s="22">
        <v>46213</v>
      </c>
      <c r="E67" s="22">
        <v>46219</v>
      </c>
      <c r="F67" s="21">
        <f t="shared" ref="F67" si="2">E67-D67+1</f>
        <v>7</v>
      </c>
      <c r="G67" s="20" t="s">
        <v>8</v>
      </c>
      <c r="H67" s="19" t="s">
        <v>64</v>
      </c>
      <c r="I67" s="18" t="s">
        <v>119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E6D5-363C-4975-BE2B-5852BBF0688D}">
  <dimension ref="A1:G15"/>
  <sheetViews>
    <sheetView workbookViewId="0"/>
  </sheetViews>
  <sheetFormatPr defaultColWidth="8.58203125" defaultRowHeight="14.5" x14ac:dyDescent="0.35"/>
  <cols>
    <col min="1" max="1" width="45.58203125" style="17" bestFit="1" customWidth="1"/>
    <col min="2" max="2" width="14.08203125" style="17" customWidth="1"/>
    <col min="3" max="5" width="17.25" style="17" customWidth="1"/>
    <col min="6" max="6" width="17.08203125" style="17" customWidth="1"/>
    <col min="7" max="7" width="29.83203125" style="17" bestFit="1" customWidth="1"/>
    <col min="8" max="8" width="27.08203125" style="17" customWidth="1"/>
    <col min="9" max="9" width="30.58203125" style="17" customWidth="1"/>
    <col min="10" max="10" width="43.08203125" style="17" customWidth="1"/>
    <col min="11" max="16384" width="8.58203125" style="17"/>
  </cols>
  <sheetData>
    <row r="1" spans="1:7" ht="13.4" customHeight="1" x14ac:dyDescent="0.35"/>
    <row r="2" spans="1:7" ht="15.5" x14ac:dyDescent="0.35">
      <c r="A2" s="43" t="s">
        <v>0</v>
      </c>
      <c r="B2" s="43" t="s">
        <v>3</v>
      </c>
      <c r="C2" s="43" t="s">
        <v>1</v>
      </c>
      <c r="D2" s="43" t="s">
        <v>2</v>
      </c>
      <c r="E2" s="43" t="s">
        <v>4</v>
      </c>
      <c r="F2" s="43" t="s">
        <v>108</v>
      </c>
      <c r="G2" s="43" t="s">
        <v>109</v>
      </c>
    </row>
    <row r="3" spans="1:7" ht="15.5" x14ac:dyDescent="0.35">
      <c r="A3" s="19" t="s">
        <v>151</v>
      </c>
      <c r="B3" s="42" t="s">
        <v>111</v>
      </c>
      <c r="C3" s="22">
        <v>45985</v>
      </c>
      <c r="D3" s="22">
        <v>45985</v>
      </c>
      <c r="E3" s="39" t="s">
        <v>22</v>
      </c>
      <c r="F3" s="19" t="s">
        <v>15</v>
      </c>
      <c r="G3" s="19" t="s">
        <v>15</v>
      </c>
    </row>
    <row r="4" spans="1:7" ht="15.5" x14ac:dyDescent="0.35">
      <c r="A4" s="19" t="s">
        <v>152</v>
      </c>
      <c r="B4" s="42" t="s">
        <v>111</v>
      </c>
      <c r="C4" s="22">
        <v>45998</v>
      </c>
      <c r="D4" s="22">
        <v>45998</v>
      </c>
      <c r="E4" s="39" t="s">
        <v>22</v>
      </c>
      <c r="F4" s="19" t="s">
        <v>15</v>
      </c>
      <c r="G4" s="19" t="s">
        <v>15</v>
      </c>
    </row>
    <row r="5" spans="1:7" ht="15.5" x14ac:dyDescent="0.35">
      <c r="A5" s="19" t="s">
        <v>153</v>
      </c>
      <c r="B5" s="41" t="s">
        <v>7</v>
      </c>
      <c r="C5" s="22">
        <v>46038</v>
      </c>
      <c r="D5" s="22">
        <v>46038</v>
      </c>
      <c r="E5" s="20" t="s">
        <v>8</v>
      </c>
      <c r="F5" s="19" t="s">
        <v>15</v>
      </c>
      <c r="G5" s="19" t="s">
        <v>15</v>
      </c>
    </row>
    <row r="6" spans="1:7" ht="15.5" x14ac:dyDescent="0.35">
      <c r="A6" s="19" t="s">
        <v>154</v>
      </c>
      <c r="B6" s="23" t="s">
        <v>14</v>
      </c>
      <c r="C6" s="22">
        <v>46039</v>
      </c>
      <c r="D6" s="22">
        <v>46039</v>
      </c>
      <c r="E6" s="20" t="s">
        <v>8</v>
      </c>
      <c r="F6" s="19" t="s">
        <v>15</v>
      </c>
      <c r="G6" s="19" t="s">
        <v>15</v>
      </c>
    </row>
    <row r="7" spans="1:7" ht="15.5" x14ac:dyDescent="0.35">
      <c r="A7" s="19" t="s">
        <v>155</v>
      </c>
      <c r="B7" s="23" t="s">
        <v>14</v>
      </c>
      <c r="C7" s="22">
        <v>46040</v>
      </c>
      <c r="D7" s="22">
        <v>46040</v>
      </c>
      <c r="E7" s="20" t="s">
        <v>8</v>
      </c>
      <c r="F7" s="19" t="s">
        <v>15</v>
      </c>
      <c r="G7" s="19" t="s">
        <v>15</v>
      </c>
    </row>
    <row r="8" spans="1:7" ht="15.5" x14ac:dyDescent="0.35">
      <c r="A8" s="19" t="s">
        <v>13</v>
      </c>
      <c r="B8" s="23" t="s">
        <v>14</v>
      </c>
      <c r="C8" s="22">
        <v>46054</v>
      </c>
      <c r="D8" s="22">
        <v>46054</v>
      </c>
      <c r="E8" s="19" t="s">
        <v>15</v>
      </c>
      <c r="F8" s="19" t="s">
        <v>15</v>
      </c>
      <c r="G8" s="19" t="s">
        <v>15</v>
      </c>
    </row>
    <row r="9" spans="1:7" ht="15.5" x14ac:dyDescent="0.35">
      <c r="A9" s="29" t="s">
        <v>42</v>
      </c>
      <c r="B9" s="23" t="s">
        <v>14</v>
      </c>
      <c r="C9" s="22">
        <v>46069</v>
      </c>
      <c r="D9" s="22">
        <v>46069</v>
      </c>
      <c r="E9" s="20" t="s">
        <v>8</v>
      </c>
      <c r="F9" s="19" t="s">
        <v>33</v>
      </c>
      <c r="G9" s="37" t="s">
        <v>117</v>
      </c>
    </row>
    <row r="10" spans="1:7" ht="15.5" x14ac:dyDescent="0.35">
      <c r="A10" s="29" t="s">
        <v>37</v>
      </c>
      <c r="B10" s="23" t="s">
        <v>14</v>
      </c>
      <c r="C10" s="22">
        <v>46113</v>
      </c>
      <c r="D10" s="22">
        <v>46113</v>
      </c>
      <c r="E10" s="20" t="s">
        <v>8</v>
      </c>
      <c r="F10" s="19" t="s">
        <v>29</v>
      </c>
      <c r="G10" s="25" t="s">
        <v>116</v>
      </c>
    </row>
    <row r="11" spans="1:7" ht="15.5" x14ac:dyDescent="0.35">
      <c r="A11" s="29" t="s">
        <v>50</v>
      </c>
      <c r="B11" s="23" t="s">
        <v>14</v>
      </c>
      <c r="C11" s="22">
        <v>46135</v>
      </c>
      <c r="D11" s="22">
        <v>46135</v>
      </c>
      <c r="E11" s="20" t="s">
        <v>8</v>
      </c>
      <c r="F11" s="19" t="s">
        <v>46</v>
      </c>
      <c r="G11" s="26" t="s">
        <v>138</v>
      </c>
    </row>
    <row r="12" spans="1:7" ht="15.5" x14ac:dyDescent="0.35">
      <c r="A12" s="29" t="s">
        <v>54</v>
      </c>
      <c r="B12" s="23" t="s">
        <v>14</v>
      </c>
      <c r="C12" s="22">
        <v>46183</v>
      </c>
      <c r="D12" s="22">
        <v>46183</v>
      </c>
      <c r="E12" s="20" t="s">
        <v>8</v>
      </c>
      <c r="F12" s="19" t="s">
        <v>41</v>
      </c>
      <c r="G12" s="25" t="s">
        <v>116</v>
      </c>
    </row>
    <row r="13" spans="1:7" ht="15.5" x14ac:dyDescent="0.35">
      <c r="A13" s="19" t="s">
        <v>95</v>
      </c>
      <c r="B13" s="23" t="s">
        <v>14</v>
      </c>
      <c r="C13" s="22">
        <v>46183</v>
      </c>
      <c r="D13" s="22">
        <v>46183</v>
      </c>
      <c r="E13" s="20" t="s">
        <v>8</v>
      </c>
      <c r="F13" s="19" t="s">
        <v>15</v>
      </c>
      <c r="G13" s="19" t="s">
        <v>15</v>
      </c>
    </row>
    <row r="14" spans="1:7" ht="15.5" x14ac:dyDescent="0.35">
      <c r="A14" s="19" t="s">
        <v>156</v>
      </c>
      <c r="B14" s="23" t="s">
        <v>14</v>
      </c>
      <c r="C14" s="22">
        <v>46220</v>
      </c>
      <c r="D14" s="22">
        <v>46220</v>
      </c>
      <c r="E14" s="20" t="s">
        <v>8</v>
      </c>
      <c r="F14" s="19" t="s">
        <v>15</v>
      </c>
      <c r="G14" s="19" t="s">
        <v>15</v>
      </c>
    </row>
    <row r="15" spans="1:7" ht="13.4" customHeight="1" x14ac:dyDescent="0.35"/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49ED-8202-4480-8F1D-09A3593853BA}">
  <dimension ref="A1:AA11"/>
  <sheetViews>
    <sheetView zoomScale="40" zoomScaleNormal="40" workbookViewId="0">
      <selection activeCell="O7" sqref="O7:U7"/>
    </sheetView>
  </sheetViews>
  <sheetFormatPr defaultRowHeight="16" x14ac:dyDescent="0.4"/>
  <cols>
    <col min="1" max="1" width="16.08203125" customWidth="1"/>
    <col min="2" max="2" width="15.75" customWidth="1"/>
    <col min="3" max="3" width="35.08203125" customWidth="1"/>
  </cols>
  <sheetData>
    <row r="1" spans="1:27" ht="44.5" customHeight="1" x14ac:dyDescent="0.4">
      <c r="A1" s="54" t="s">
        <v>157</v>
      </c>
      <c r="B1" s="54" t="s">
        <v>158</v>
      </c>
      <c r="C1" s="54" t="s">
        <v>159</v>
      </c>
      <c r="D1" s="54" t="s">
        <v>160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ht="32.15" customHeight="1" x14ac:dyDescent="0.4">
      <c r="A2" s="54"/>
      <c r="B2" s="54"/>
      <c r="C2" s="54"/>
      <c r="D2" s="54" t="s">
        <v>161</v>
      </c>
      <c r="E2" s="54"/>
      <c r="F2" s="54"/>
      <c r="G2" s="54"/>
      <c r="H2" s="54" t="s">
        <v>162</v>
      </c>
      <c r="I2" s="54"/>
      <c r="J2" s="54"/>
      <c r="K2" s="54"/>
      <c r="L2" s="54" t="s">
        <v>163</v>
      </c>
      <c r="M2" s="54"/>
      <c r="N2" s="54"/>
      <c r="O2" s="54"/>
      <c r="P2" s="54" t="s">
        <v>164</v>
      </c>
      <c r="Q2" s="54"/>
      <c r="R2" s="54"/>
      <c r="S2" s="54"/>
      <c r="T2" s="54" t="s">
        <v>165</v>
      </c>
      <c r="U2" s="54"/>
      <c r="V2" s="54"/>
      <c r="W2" s="54"/>
      <c r="X2" s="54" t="s">
        <v>166</v>
      </c>
      <c r="Y2" s="54"/>
      <c r="Z2" s="54"/>
      <c r="AA2" s="54"/>
    </row>
    <row r="3" spans="1:27" ht="28" customHeight="1" x14ac:dyDescent="0.4">
      <c r="A3" s="54"/>
      <c r="B3" s="54"/>
      <c r="C3" s="54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</row>
    <row r="4" spans="1:27" ht="80.150000000000006" customHeight="1" x14ac:dyDescent="0.4">
      <c r="A4" s="2" t="s">
        <v>16</v>
      </c>
      <c r="B4" s="3" t="s">
        <v>167</v>
      </c>
      <c r="C4" s="4" t="s">
        <v>168</v>
      </c>
      <c r="D4" s="14"/>
      <c r="E4" s="52"/>
      <c r="F4" s="52"/>
      <c r="G4" s="52"/>
      <c r="H4" s="52"/>
      <c r="I4" s="52"/>
      <c r="J4" s="5"/>
      <c r="K4" s="5"/>
      <c r="L4" s="14"/>
      <c r="M4" s="52"/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80.150000000000006" customHeight="1" x14ac:dyDescent="0.4">
      <c r="A5" s="2" t="s">
        <v>169</v>
      </c>
      <c r="B5" s="3" t="s">
        <v>167</v>
      </c>
      <c r="C5" s="4" t="s">
        <v>170</v>
      </c>
      <c r="D5" s="5"/>
      <c r="E5" s="5"/>
      <c r="F5" s="5"/>
      <c r="G5" s="14"/>
      <c r="H5" s="52"/>
      <c r="I5" s="14"/>
      <c r="J5" s="5"/>
      <c r="K5" s="5"/>
      <c r="L5" s="5"/>
      <c r="M5" s="5"/>
      <c r="N5" s="5"/>
      <c r="O5" s="5"/>
      <c r="P5" s="5"/>
      <c r="Q5" s="5"/>
      <c r="R5" s="5"/>
      <c r="S5" s="14"/>
      <c r="T5" s="52"/>
      <c r="U5" s="52"/>
      <c r="V5" s="52"/>
      <c r="W5" s="52"/>
      <c r="X5" s="52"/>
      <c r="Y5" s="14"/>
      <c r="Z5" s="5"/>
      <c r="AA5" s="5"/>
    </row>
    <row r="6" spans="1:27" ht="80.150000000000006" customHeight="1" x14ac:dyDescent="0.4">
      <c r="A6" s="2" t="s">
        <v>171</v>
      </c>
      <c r="B6" s="3" t="s">
        <v>167</v>
      </c>
      <c r="C6" s="4" t="s">
        <v>172</v>
      </c>
      <c r="D6" s="5"/>
      <c r="E6" s="5"/>
      <c r="F6" s="5"/>
      <c r="G6" s="5"/>
      <c r="H6" s="5"/>
      <c r="I6" s="5"/>
      <c r="J6" s="5"/>
      <c r="K6" s="5"/>
      <c r="L6" s="14"/>
      <c r="M6" s="52"/>
      <c r="N6" s="52"/>
      <c r="O6" s="52"/>
      <c r="P6" s="52"/>
      <c r="Q6" s="52"/>
      <c r="R6" s="14"/>
      <c r="S6" s="5"/>
      <c r="T6" s="5"/>
      <c r="U6" s="5"/>
      <c r="V6" s="5"/>
      <c r="W6" s="5"/>
      <c r="X6" s="5"/>
      <c r="Y6" s="5"/>
      <c r="Z6" s="5"/>
      <c r="AA6" s="5"/>
    </row>
    <row r="7" spans="1:27" ht="80.150000000000006" customHeight="1" x14ac:dyDescent="0.4">
      <c r="A7" s="2" t="s">
        <v>102</v>
      </c>
      <c r="B7" s="3" t="s">
        <v>167</v>
      </c>
      <c r="C7" s="7" t="s">
        <v>173</v>
      </c>
      <c r="D7" s="5"/>
      <c r="E7" s="5"/>
      <c r="F7" s="5"/>
      <c r="G7" s="5"/>
      <c r="H7" s="5"/>
      <c r="I7" s="5"/>
      <c r="J7" s="5"/>
      <c r="K7" s="5"/>
      <c r="L7" s="5"/>
      <c r="M7" s="5"/>
      <c r="N7" s="14"/>
      <c r="O7" s="52"/>
      <c r="P7" s="52"/>
      <c r="Q7" s="52"/>
      <c r="R7" s="52"/>
      <c r="S7" s="52"/>
      <c r="T7" s="52"/>
      <c r="U7" s="52"/>
      <c r="V7" s="14"/>
      <c r="W7" s="5"/>
      <c r="X7" s="5"/>
      <c r="Y7" s="5"/>
      <c r="Z7" s="5"/>
      <c r="AA7" s="5"/>
    </row>
    <row r="8" spans="1:27" ht="80.150000000000006" customHeight="1" x14ac:dyDescent="0.4">
      <c r="A8" s="2" t="s">
        <v>174</v>
      </c>
      <c r="B8" s="3" t="s">
        <v>175</v>
      </c>
      <c r="C8" s="8" t="s">
        <v>176</v>
      </c>
      <c r="D8" s="5"/>
      <c r="E8" s="5"/>
      <c r="F8" s="14"/>
      <c r="G8" s="5"/>
      <c r="H8" s="5"/>
      <c r="I8" s="14"/>
      <c r="J8" s="5"/>
      <c r="K8" s="5"/>
      <c r="L8" s="5"/>
      <c r="M8" s="14"/>
      <c r="N8" s="5"/>
      <c r="O8" s="5"/>
      <c r="P8" s="5"/>
      <c r="Q8" s="5"/>
      <c r="R8" s="14"/>
      <c r="S8" s="5"/>
      <c r="T8" s="5"/>
      <c r="U8" s="5"/>
      <c r="V8" s="14"/>
      <c r="W8" s="5"/>
      <c r="X8" s="5"/>
      <c r="Y8" s="5"/>
      <c r="Z8" s="5"/>
      <c r="AA8" s="5"/>
    </row>
    <row r="9" spans="1:27" ht="80.150000000000006" customHeight="1" x14ac:dyDescent="0.4">
      <c r="A9" s="6" t="s">
        <v>90</v>
      </c>
      <c r="B9" s="3" t="s">
        <v>167</v>
      </c>
      <c r="C9" s="8" t="s">
        <v>177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4"/>
      <c r="V9" s="14"/>
      <c r="W9" s="14"/>
      <c r="X9" s="14"/>
      <c r="Y9" s="14"/>
      <c r="Z9" s="14"/>
      <c r="AA9" s="14"/>
    </row>
    <row r="10" spans="1:27" ht="80.150000000000006" customHeight="1" x14ac:dyDescent="0.4">
      <c r="A10" s="9" t="s">
        <v>66</v>
      </c>
      <c r="B10" s="9" t="s">
        <v>167</v>
      </c>
      <c r="C10" s="10" t="s">
        <v>178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80.150000000000006" customHeight="1" x14ac:dyDescent="0.4">
      <c r="A11" s="8" t="s">
        <v>179</v>
      </c>
      <c r="B11" s="12" t="s">
        <v>167</v>
      </c>
      <c r="C11" s="7" t="s">
        <v>180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6"/>
      <c r="T11" s="16"/>
      <c r="U11" s="16"/>
      <c r="V11" s="16"/>
      <c r="W11" s="16"/>
      <c r="X11" s="16"/>
      <c r="Y11" s="16"/>
      <c r="Z11" s="16"/>
      <c r="AA11" s="16"/>
    </row>
  </sheetData>
  <mergeCells count="10">
    <mergeCell ref="X2:AA2"/>
    <mergeCell ref="A1:A3"/>
    <mergeCell ref="B1:B3"/>
    <mergeCell ref="C1:C3"/>
    <mergeCell ref="D1:AA1"/>
    <mergeCell ref="D2:G2"/>
    <mergeCell ref="H2:K2"/>
    <mergeCell ref="L2:O2"/>
    <mergeCell ref="P2:S2"/>
    <mergeCell ref="T2:W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Nhóm task</vt:lpstr>
      <vt:lpstr>Công việc vụ thể theo startdate</vt:lpstr>
      <vt:lpstr>Milestone chính</vt:lpstr>
      <vt:lpstr>Thời gian Họp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Hoàng, Trần Minh</dc:creator>
  <cp:keywords/>
  <dc:description/>
  <cp:lastModifiedBy>Hoàng, Trần Minh</cp:lastModifiedBy>
  <cp:revision/>
  <dcterms:created xsi:type="dcterms:W3CDTF">2026-01-16T01:13:00Z</dcterms:created>
  <dcterms:modified xsi:type="dcterms:W3CDTF">2026-01-20T03:01:22Z</dcterms:modified>
  <cp:category/>
  <cp:contentStatus/>
</cp:coreProperties>
</file>