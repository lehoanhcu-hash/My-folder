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hrd/LOD/DAO TAO VA PHAT TRIEN/"/>
    </mc:Choice>
  </mc:AlternateContent>
  <xr:revisionPtr revIDLastSave="246" documentId="8_{D1266756-EB2B-40C4-ADE3-7B10DFAE665A}" xr6:coauthVersionLast="47" xr6:coauthVersionMax="47" xr10:uidLastSave="{F643B987-64F9-4520-9A07-6F4ACA320D70}"/>
  <bookViews>
    <workbookView xWindow="-108" yWindow="-108" windowWidth="23256" windowHeight="12456" xr2:uid="{00000000-000D-0000-FFFF-FFFF00000000}"/>
  </bookViews>
  <sheets>
    <sheet name="Giờ đào tạo " sheetId="4" r:id="rId1"/>
    <sheet name="Khóa" sheetId="2" state="hidden" r:id="rId2"/>
  </sheets>
  <definedNames>
    <definedName name="_xlnm._FilterDatabase" localSheetId="0" hidden="1">'Giờ đào tạo '!$A$2:$AQ$107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4" i="4" l="1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4" i="4"/>
  <c r="AR5" i="4"/>
  <c r="AR6" i="4"/>
  <c r="AR7" i="4"/>
  <c r="AR8" i="4"/>
  <c r="AR9" i="4"/>
  <c r="AR10" i="4"/>
  <c r="AR11" i="4"/>
  <c r="AR12" i="4"/>
  <c r="AR13" i="4"/>
  <c r="AR14" i="4"/>
  <c r="AR3" i="4"/>
  <c r="AE157" i="4" l="1"/>
  <c r="AE1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Hảo, Phạm Thị Hồng</author>
  </authors>
  <commentList>
    <comment ref="B1" authorId="0" shapeId="0" xr:uid="{300A1E19-9A4C-4689-9908-406FA5612CA3}">
      <text>
        <r>
          <rPr>
            <b/>
            <sz val="9"/>
            <color indexed="81"/>
            <rFont val="Tahoma"/>
            <family val="2"/>
          </rPr>
          <t>Hảo, Phạm Thị Hồng:</t>
        </r>
        <r>
          <rPr>
            <sz val="9"/>
            <color indexed="81"/>
            <rFont val="Tahoma"/>
            <family val="2"/>
          </rPr>
          <t xml:space="preserve">
23KHDT001: &lt;NĂM&gt;&lt;KHDT&gt;&lt;SỐ THỨ TỰ LŨY TIẾN TRONG NĂM&gt;</t>
        </r>
      </text>
    </comment>
  </commentList>
</comments>
</file>

<file path=xl/sharedStrings.xml><?xml version="1.0" encoding="utf-8"?>
<sst xmlns="http://schemas.openxmlformats.org/spreadsheetml/2006/main" count="670" uniqueCount="424">
  <si>
    <t>QUÝ I</t>
  </si>
  <si>
    <t>QUÝ II</t>
  </si>
  <si>
    <t>QUÝ III</t>
  </si>
  <si>
    <t>QUÝ IV</t>
  </si>
  <si>
    <t>STT</t>
  </si>
  <si>
    <t>MSNV</t>
  </si>
  <si>
    <t>Họ và Tên</t>
  </si>
  <si>
    <t>Chức danh</t>
  </si>
  <si>
    <t>Cấp bậc</t>
  </si>
  <si>
    <t>Phòng ban</t>
  </si>
  <si>
    <t>Ngày vào cty</t>
  </si>
  <si>
    <t>Email</t>
  </si>
  <si>
    <t>Đào tạo 
hội nhập</t>
  </si>
  <si>
    <t>PowerBI cơ bản</t>
  </si>
  <si>
    <t>Đào tạo phần mềm nội bộ (3Be, QLHD)quý 1</t>
  </si>
  <si>
    <t>Phương án sát nhập bộ/sở/ngành
09/01</t>
  </si>
  <si>
    <t>Workshop Đàm phán thương lượng (15/03)</t>
  </si>
  <si>
    <t>Sơ cấp cứu văn phòng  (20/03)</t>
  </si>
  <si>
    <t>Thuế Thu nhập cá nhân (07/03)</t>
  </si>
  <si>
    <t>AI - Ứng dụng vào công việc văn phòng (03/04)</t>
  </si>
  <si>
    <t>Hội thảo NB Ban Sơ cấp cứu
(11/04)</t>
  </si>
  <si>
    <t>Đào tạo thiết kế Video
(13/06)</t>
  </si>
  <si>
    <t>Workshop Chinh phục khách hàng
(14/06)</t>
  </si>
  <si>
    <t>E-learning Giá trị Cốt lõi - Tầm nhìn sứ mệnh</t>
  </si>
  <si>
    <t>E-learning Nguyên tắc ứng xử</t>
  </si>
  <si>
    <t>Thiết lập và Quản trị KPI
(21/06)</t>
  </si>
  <si>
    <t>Hướng dẫn và khắc phục lỗi làm hợp đồng (25/06)</t>
  </si>
  <si>
    <t>Lãnh đạo linh hoạt và thích ứng
(28/06)</t>
  </si>
  <si>
    <t>Nghiệp vụ Văn phòng - Lưu trữ</t>
  </si>
  <si>
    <t>Nghiệp vụ 
Thông tin - Thư Viện</t>
  </si>
  <si>
    <t>Train The Trainer Basic
23/08</t>
  </si>
  <si>
    <t>Đào tạo phần mềm nội bộ  Becos 
17/09</t>
  </si>
  <si>
    <t>Worshop: Ứng dụng Ai thực chiến
(19/09)</t>
  </si>
  <si>
    <t>HDSD PMS 
cho ban KPIs
(19/09)</t>
  </si>
  <si>
    <t>Train the Trainer - VMP
11-13/07</t>
  </si>
  <si>
    <t>Worshop IMT : Chiến lược ứng biến và thực thi xuất sắc
28/08</t>
  </si>
  <si>
    <t>PPT Unica
(03/09)</t>
  </si>
  <si>
    <t>VIOD DCP 36
(25-27/09)</t>
  </si>
  <si>
    <t xml:space="preserve">Đào tạo hội nhập
</t>
  </si>
  <si>
    <t>Bộ 2 bài E-learning QTUX và TNSMGTCL</t>
  </si>
  <si>
    <t>Power BI trung cấp
26/9 và 3/10</t>
  </si>
  <si>
    <t>Phương pháp Quản lý dự án
16/10</t>
  </si>
  <si>
    <t xml:space="preserve">Bồi dưỡng luật sư
</t>
  </si>
  <si>
    <t>Tổng số giờ 2025</t>
  </si>
  <si>
    <t>Trần Duy Hy</t>
  </si>
  <si>
    <t>Chủ tịch Hội đồng Thành viên</t>
  </si>
  <si>
    <t>Quản Lý</t>
  </si>
  <si>
    <t>Ban Tổng Giám Đốc</t>
  </si>
  <si>
    <t>01/01/1987</t>
  </si>
  <si>
    <t>TranDuyHy@duytangroup.com</t>
  </si>
  <si>
    <t>Trần Duy Minh Đạt</t>
  </si>
  <si>
    <t>Phó Chủ Tịch HĐTV</t>
  </si>
  <si>
    <t>26/09/2020</t>
  </si>
  <si>
    <t>minhdat@plascene.com</t>
  </si>
  <si>
    <t>Trần Duy Minh Khoa</t>
  </si>
  <si>
    <t>Thành viên Hội đồng thành viên</t>
  </si>
  <si>
    <t>28/08/2023</t>
  </si>
  <si>
    <t>minhkhoa@duytangroup.com</t>
  </si>
  <si>
    <t>Lê Hoàng</t>
  </si>
  <si>
    <t>Cố vấn</t>
  </si>
  <si>
    <t>Tư Vấn Dịch vụ</t>
  </si>
  <si>
    <t>26/12/2023</t>
  </si>
  <si>
    <t>LeHoang@duytangroup.com</t>
  </si>
  <si>
    <t>Lê Thị Huế</t>
  </si>
  <si>
    <t>26/02/2020</t>
  </si>
  <si>
    <t>lethihue@duytangroup.com</t>
  </si>
  <si>
    <t>Huỳnh Thị Chúc Liên</t>
  </si>
  <si>
    <t>11/10/2021</t>
  </si>
  <si>
    <t>huynhthichuclien@duytangroup.com</t>
  </si>
  <si>
    <t>Tăng Diệu</t>
  </si>
  <si>
    <t>05/09/2022</t>
  </si>
  <si>
    <t>tangdieu@duytangroup.com</t>
  </si>
  <si>
    <t>Nguyễn Công Thành</t>
  </si>
  <si>
    <t>Trưởng phòng Đầu tư</t>
  </si>
  <si>
    <t>Văn Phòng Tổng Giám Đốc</t>
  </si>
  <si>
    <t>26/07/2021</t>
  </si>
  <si>
    <t>thanh@plascene.com</t>
  </si>
  <si>
    <t>Lê Ngọc Trâm Anh</t>
  </si>
  <si>
    <t>Thư Ký Tổng Giám Đốc</t>
  </si>
  <si>
    <t>26/11/2021</t>
  </si>
  <si>
    <t>LeNgocTramAnh@duytangroup.com</t>
  </si>
  <si>
    <t>Dương Phương Thảo</t>
  </si>
  <si>
    <t>Giám Đốc Hành Chánh Quản Trị</t>
  </si>
  <si>
    <t>26/02/2023</t>
  </si>
  <si>
    <t>DuongPhuongThao@duytangroup.com</t>
  </si>
  <si>
    <t>Võ Thanh Trúc</t>
  </si>
  <si>
    <t>Chuyên Viên Quản Trị Dự Án</t>
  </si>
  <si>
    <t>Chuyên Môn</t>
  </si>
  <si>
    <t>17/10/2022</t>
  </si>
  <si>
    <t>VoThanhTruc@duytangroup.com</t>
  </si>
  <si>
    <t>Hoàng Thị Chi</t>
  </si>
  <si>
    <t>Trợ lý TGĐ *</t>
  </si>
  <si>
    <t>09/02/2023</t>
  </si>
  <si>
    <t>hoangthichi@duytangroup.com</t>
  </si>
  <si>
    <t>Võ Thị Lâm Liễu</t>
  </si>
  <si>
    <t>Chuyên viên Kiểm soát Tài liệu</t>
  </si>
  <si>
    <t>26/10/2023</t>
  </si>
  <si>
    <t>VoThiLamLieu@duytangroup.com</t>
  </si>
  <si>
    <t>Trần Thị Tuyết Nhung</t>
  </si>
  <si>
    <t xml:space="preserve">Trợ lý Tổng Giám đốc </t>
  </si>
  <si>
    <t>AmyNhung@duytangroup.com</t>
  </si>
  <si>
    <t>Võ Minh Duy</t>
  </si>
  <si>
    <t>Trợ lý TGĐ phụ trách Dự án</t>
  </si>
  <si>
    <t>22/07/2024</t>
  </si>
  <si>
    <t>duyvm@duytangroup.com</t>
  </si>
  <si>
    <t>Hoàng Dương Trọng Hải</t>
  </si>
  <si>
    <t>Nhân Viên Văn Phòng Tổng Giám Đốc</t>
  </si>
  <si>
    <t>26/02/2021</t>
  </si>
  <si>
    <t>hoangduongtronghai@duytangroup.com</t>
  </si>
  <si>
    <t>Lưu Ngọc Hoa</t>
  </si>
  <si>
    <t>LuuNgocHoa@duytangroup.com</t>
  </si>
  <si>
    <t>Nguyễn Thị Thùy Linh</t>
  </si>
  <si>
    <t>nguyenthithuylinh@duytangroup.com</t>
  </si>
  <si>
    <t>Dương Ngô Hoàng Nguyên</t>
  </si>
  <si>
    <t>DuongNgoHoangNguyen@duytangroup.com</t>
  </si>
  <si>
    <t>Lê Quang Minh</t>
  </si>
  <si>
    <t>lequangminh3@duytangroup.com</t>
  </si>
  <si>
    <t>Lê Thị Hiền</t>
  </si>
  <si>
    <t>Trợ Lý Giám Đốc</t>
  </si>
  <si>
    <t>Văn Phòng Phó Chủ Tịch HĐTV</t>
  </si>
  <si>
    <t>26/12/2022</t>
  </si>
  <si>
    <t>LeThiHien@duytangroup.com</t>
  </si>
  <si>
    <t>Nguyễn Thị Nguyệt Hằng</t>
  </si>
  <si>
    <t>16/08/2022</t>
  </si>
  <si>
    <t>HangNguyen@plascene.com</t>
  </si>
  <si>
    <t>Trần Hoàng Minh</t>
  </si>
  <si>
    <t>Chuyên viên Phân tích Tài chính</t>
  </si>
  <si>
    <t>26/02/2024</t>
  </si>
  <si>
    <t>minhTH@duytangroup.com</t>
  </si>
  <si>
    <t>Huỳnh Trần Trọng</t>
  </si>
  <si>
    <t>Trưởng Phòng Quản Trị Chiến Lược</t>
  </si>
  <si>
    <t>Quản Trị Chiến Lược</t>
  </si>
  <si>
    <t>09/10/2023</t>
  </si>
  <si>
    <t>HuynhTranTrong@duytangroup.com</t>
  </si>
  <si>
    <t>Trần Văn Thắng</t>
  </si>
  <si>
    <t>Giám đốc Quản trị Chiến lược</t>
  </si>
  <si>
    <t>06/06/2024</t>
  </si>
  <si>
    <t>thangtv@duytangroup.com</t>
  </si>
  <si>
    <t>Trần Công Nghĩa</t>
  </si>
  <si>
    <t>Tổ Trưởng Phát Triển Thương Hiệu</t>
  </si>
  <si>
    <t>Phát Triển Bền Vững</t>
  </si>
  <si>
    <t>trancongnghia@duytangroup.com</t>
  </si>
  <si>
    <t>Lê Anh</t>
  </si>
  <si>
    <t>Giám Đốc Phát Triển Bền Vững</t>
  </si>
  <si>
    <t>LeAnh@duytangroup.com</t>
  </si>
  <si>
    <t>Lê Viết Đông Hiếu</t>
  </si>
  <si>
    <t>Trưởng phòng Marketing</t>
  </si>
  <si>
    <t>07/11/2022</t>
  </si>
  <si>
    <t>LeVietDongHieu@duytangroup.com</t>
  </si>
  <si>
    <t>Nguyễn Ngô Phi Vân</t>
  </si>
  <si>
    <t>Chuyên Viên Phát Triển Bền Vững</t>
  </si>
  <si>
    <t>31/01/2023</t>
  </si>
  <si>
    <t>NguyenNgoPhiVan@duytangroup.com</t>
  </si>
  <si>
    <t>Phan Minh Tân</t>
  </si>
  <si>
    <t>Chuyên Viên Marketing</t>
  </si>
  <si>
    <t>06/05/2024</t>
  </si>
  <si>
    <t>TanPM@duytangroup.com</t>
  </si>
  <si>
    <t>Nguyễn Ngọc Phương Trinh</t>
  </si>
  <si>
    <t>Chuyên Viên Pháp Chế</t>
  </si>
  <si>
    <t>Pháp chế</t>
  </si>
  <si>
    <t>03/02/2025</t>
  </si>
  <si>
    <t>trinhnnp@duytangroup.com</t>
  </si>
  <si>
    <t>Đoàn Thị Kim Uyên</t>
  </si>
  <si>
    <t>Trưởng Phòng Pháp Chế</t>
  </si>
  <si>
    <t>doanthikimuyen@duytangroup.com</t>
  </si>
  <si>
    <t>Trần Ngọc Phước Thiện</t>
  </si>
  <si>
    <t>Trợ Lý Cố Vấn Pháp Lý</t>
  </si>
  <si>
    <t>10/04/2023</t>
  </si>
  <si>
    <t>tranngocphuocthien@duytangroup.com</t>
  </si>
  <si>
    <t>Phạm Hoàng Mỹ</t>
  </si>
  <si>
    <t>Giám Đốc Pháp Chế</t>
  </si>
  <si>
    <t>16/04/2024</t>
  </si>
  <si>
    <t>myph@duytangroup.com</t>
  </si>
  <si>
    <t>Võ Thế Tính</t>
  </si>
  <si>
    <t>Trưởng Phòng Tư Vấn Pháp Lý</t>
  </si>
  <si>
    <t>26/05/2024</t>
  </si>
  <si>
    <t>tinhvt@juniter.com</t>
  </si>
  <si>
    <t>Nguyễn Thị Mộng Thường</t>
  </si>
  <si>
    <t>Chuyên Viên Tư Vấn Pháp Lý</t>
  </si>
  <si>
    <t>thuongntm@juniter.com</t>
  </si>
  <si>
    <t>Võ Trung Tín</t>
  </si>
  <si>
    <t>19/08/2024</t>
  </si>
  <si>
    <t>TinVT@duytangroup.com</t>
  </si>
  <si>
    <t>Nguyễn Thị Nhung</t>
  </si>
  <si>
    <t>03/10/2024</t>
  </si>
  <si>
    <t>NhungNT@duytangroup.com</t>
  </si>
  <si>
    <t>Mai Thị Hương</t>
  </si>
  <si>
    <t>Trưởng phòng Xuất khẩu</t>
  </si>
  <si>
    <t>Nhân Sự Plascene</t>
  </si>
  <si>
    <t>huong@plascene.com</t>
  </si>
  <si>
    <t>Nguyễn Lê Nguyên</t>
  </si>
  <si>
    <t>Nhân Viên Xuất Khẩu</t>
  </si>
  <si>
    <t>Nguyen@plascene.com</t>
  </si>
  <si>
    <t>Nguyễn Phú Sang</t>
  </si>
  <si>
    <t>Sang@plascene.com</t>
  </si>
  <si>
    <t>Đặng Thị Bích Trâm</t>
  </si>
  <si>
    <t>Trưởng Phòng Chuỗi Cung Ứng</t>
  </si>
  <si>
    <t>tramdang@plascene.com</t>
  </si>
  <si>
    <t>Trần Thị Như Quỳnh</t>
  </si>
  <si>
    <t>Chuyên Viên Chuỗi Cung Ứng</t>
  </si>
  <si>
    <t>09/08/2021</t>
  </si>
  <si>
    <t>quynhtran@plascene.com</t>
  </si>
  <si>
    <t>Võ Thái Linh</t>
  </si>
  <si>
    <t>Nhân Viên Chuỗi Cung Ứng</t>
  </si>
  <si>
    <t>20/09/2021</t>
  </si>
  <si>
    <t>thailinh@plascene.com</t>
  </si>
  <si>
    <t>Trần Thị Nhân Hòa</t>
  </si>
  <si>
    <t>Kế Toán Viên</t>
  </si>
  <si>
    <t>04/05/2022</t>
  </si>
  <si>
    <t>tranthinhanhoa@duytangroup.com</t>
  </si>
  <si>
    <t>Trần Thị Khánh Mai</t>
  </si>
  <si>
    <t>04/07/2022</t>
  </si>
  <si>
    <t>MaiTran@plascene.com</t>
  </si>
  <si>
    <t>Trương Thị Ngọc</t>
  </si>
  <si>
    <t>11/07/2022</t>
  </si>
  <si>
    <t>NgocTruong@plascene.com</t>
  </si>
  <si>
    <t>Bùi Thị Hiền Vân</t>
  </si>
  <si>
    <t>Kế Toán Tổng Hợp</t>
  </si>
  <si>
    <t>20/07/2022</t>
  </si>
  <si>
    <t>BuiThiHienVan@duytangroup.com</t>
  </si>
  <si>
    <t>Nguyễn Thị Tú Vy</t>
  </si>
  <si>
    <t>Nhân viên Kế hoạch</t>
  </si>
  <si>
    <t>11/09/2023</t>
  </si>
  <si>
    <t>vynguyen@plascene.com</t>
  </si>
  <si>
    <t>Đặng Minh Hoàng</t>
  </si>
  <si>
    <t>Chuyên Viên Mua Hàng</t>
  </si>
  <si>
    <t>18/12/2023</t>
  </si>
  <si>
    <t>Hoangdang@plascene.com</t>
  </si>
  <si>
    <t>Nguyễn Lan Chi</t>
  </si>
  <si>
    <t>Chuyên viên kiểm soát nội bộ</t>
  </si>
  <si>
    <t>15/01/2024</t>
  </si>
  <si>
    <t>ChiNL@duytangroup.com</t>
  </si>
  <si>
    <t>Nguyễn Thị Diễm Phương</t>
  </si>
  <si>
    <t>Trưởng phòng Kế toán Phân tích</t>
  </si>
  <si>
    <t>15/03/2024</t>
  </si>
  <si>
    <t>nguyenthidiemphuong@duytangroup.com</t>
  </si>
  <si>
    <t>Tăng Quốc Phát</t>
  </si>
  <si>
    <t>04/11/2024</t>
  </si>
  <si>
    <t>PhatTQ@plascene.com</t>
  </si>
  <si>
    <t>Nguyễn Ái Ly</t>
  </si>
  <si>
    <t>03/03/2025</t>
  </si>
  <si>
    <t>LyNA@plascene.com</t>
  </si>
  <si>
    <t>Nguyễn Đình Tùng</t>
  </si>
  <si>
    <t>Quyền Trưởng phòng Kiểm soát nội bộ</t>
  </si>
  <si>
    <t>Kiểm Soát Nội Bộ</t>
  </si>
  <si>
    <t>23/11/2022</t>
  </si>
  <si>
    <t>NguyenDinhTung@duytangroup.com</t>
  </si>
  <si>
    <t>Lâm Phước Lộc</t>
  </si>
  <si>
    <t>Giám Đốc Kiểm Soát Nội Bộ</t>
  </si>
  <si>
    <t>10/07/2023</t>
  </si>
  <si>
    <t>LamPhuocLoc@duytangroup.com</t>
  </si>
  <si>
    <t>Phạm Phú Phương Linh</t>
  </si>
  <si>
    <t>26/03/2024</t>
  </si>
  <si>
    <t>LinhPPP@duytangroup.com</t>
  </si>
  <si>
    <t>La Nhật Quang</t>
  </si>
  <si>
    <t>Nhân viên Kiểm soát Nội bộ</t>
  </si>
  <si>
    <t>26/09/2024</t>
  </si>
  <si>
    <t>quangln@duytangroup.com</t>
  </si>
  <si>
    <t>Mai Minh Nhật</t>
  </si>
  <si>
    <t>21/10/2024</t>
  </si>
  <si>
    <t>nhatmm@duytangroup.com</t>
  </si>
  <si>
    <t>Ninh Văn Quý</t>
  </si>
  <si>
    <t>04/12/2024</t>
  </si>
  <si>
    <t>QuyNV@duytangroup.com</t>
  </si>
  <si>
    <t>Hồ Thị Bích Phi</t>
  </si>
  <si>
    <t>Kế toán trưởng</t>
  </si>
  <si>
    <t>Kế Toán Tài Chính</t>
  </si>
  <si>
    <t>14/02/1995</t>
  </si>
  <si>
    <t>hothibichphi@duytangroup.com</t>
  </si>
  <si>
    <t>Huỳnh Thị Thu Nguyệt</t>
  </si>
  <si>
    <t>Trưởng phòng Kế toán Tài chính</t>
  </si>
  <si>
    <t>HuynhThiThuNguyet@duytangroup.com</t>
  </si>
  <si>
    <t>Hoàng Thị Hồng Hạnh</t>
  </si>
  <si>
    <t>Giám đốc Tài Chính</t>
  </si>
  <si>
    <t>02/11/2020</t>
  </si>
  <si>
    <t>HoangThiHongHanh@duytangroup.com</t>
  </si>
  <si>
    <t>Ông Thụy Hồng Nhung</t>
  </si>
  <si>
    <t>Trưởng phòng Hành Chánh Nhân Sự</t>
  </si>
  <si>
    <t>Hành Chánh Nhân Sự</t>
  </si>
  <si>
    <t>ongthuyhongnhung@duytangroup.com</t>
  </si>
  <si>
    <t>Bùi Thị Hồng Yến</t>
  </si>
  <si>
    <t>Nhân viên Hành chánh</t>
  </si>
  <si>
    <t>14/03/2022</t>
  </si>
  <si>
    <t>hongyen83gc@gmail.com</t>
  </si>
  <si>
    <t>Trần Thị Hồng Cẩm</t>
  </si>
  <si>
    <t>Tổ trưởng Lương và Phúc Lợi</t>
  </si>
  <si>
    <t>17/04/2023</t>
  </si>
  <si>
    <t>tranthihongcam@duytangroup.com</t>
  </si>
  <si>
    <t>Đặng Vũ Linh</t>
  </si>
  <si>
    <t>Phạm Thị Hồng Hảo</t>
  </si>
  <si>
    <t>Chuyên viên Đào Tạo Và Phát Triển Tổ Chức</t>
  </si>
  <si>
    <t>phamthihonghao@duytangroup.com</t>
  </si>
  <si>
    <t>Nguyễn Văn Trãi</t>
  </si>
  <si>
    <t>Tổ Trưởng Hành Chánh</t>
  </si>
  <si>
    <t>12/04/2022</t>
  </si>
  <si>
    <t>NguyenVanTrai@duytangroup.com</t>
  </si>
  <si>
    <t>Đặng Thị Yến Nhi</t>
  </si>
  <si>
    <t>01/07/2022</t>
  </si>
  <si>
    <t>Trương Thị Hoàng Oanh</t>
  </si>
  <si>
    <t>Chuyên Viên Chế Độ Tiền Lương</t>
  </si>
  <si>
    <t>TruongThiHoangOanh@duytangroup.com</t>
  </si>
  <si>
    <t>Phan Thị Hồng Liên</t>
  </si>
  <si>
    <t>08/05/2023</t>
  </si>
  <si>
    <t>PhanThiHongLien@duytangroup.com</t>
  </si>
  <si>
    <t>Bành Hồng Ngọc</t>
  </si>
  <si>
    <t>Nhân viên Phát triển Tổ chức</t>
  </si>
  <si>
    <t>23/04/2024</t>
  </si>
  <si>
    <t>ngocbh@duytangroup.com</t>
  </si>
  <si>
    <t>Nguyễn Thạch Uyên Vy</t>
  </si>
  <si>
    <t>Giám đốc Nhân sự</t>
  </si>
  <si>
    <t>16/05/2024</t>
  </si>
  <si>
    <t>VyNTU@duytangroup.com</t>
  </si>
  <si>
    <t>Trần Thanh Quyền</t>
  </si>
  <si>
    <t>Chuyên viên KPIS</t>
  </si>
  <si>
    <t>12/12/2024</t>
  </si>
  <si>
    <t>QuyenTT@duytangroup.com</t>
  </si>
  <si>
    <t>Lê Chí Cường</t>
  </si>
  <si>
    <t>Trưởng Phòng Đào Tạo &amp; Phát Triển Tổ chức</t>
  </si>
  <si>
    <t>06/01/2025</t>
  </si>
  <si>
    <t>cuonglc@duytangroup.com</t>
  </si>
  <si>
    <t>Tôn Thất Cẩm Nhân</t>
  </si>
  <si>
    <t>Giám Đốc Thiết Kế</t>
  </si>
  <si>
    <t>Điều Hành Dự Án</t>
  </si>
  <si>
    <t>01/03/2023</t>
  </si>
  <si>
    <t>TonThatCamNhan@duytangroup.com</t>
  </si>
  <si>
    <t>Đỗ Tấn Vinh</t>
  </si>
  <si>
    <t>Trưởng Phòng Kế Toán XDCB</t>
  </si>
  <si>
    <t>04/09/2024</t>
  </si>
  <si>
    <t>vinhDT@duytangroup.com</t>
  </si>
  <si>
    <t>Nguyễn Thanh Phong</t>
  </si>
  <si>
    <t>Giám Sát Xây Dựng</t>
  </si>
  <si>
    <t>09/09/2024</t>
  </si>
  <si>
    <t>PhongNT@duytangroup.com</t>
  </si>
  <si>
    <t>Nguyễn Hoàng Nghĩa</t>
  </si>
  <si>
    <t>26/10/2020</t>
  </si>
  <si>
    <t>NguyenHoangNghia@duytangroup.com</t>
  </si>
  <si>
    <t>Võ Duy Khánh</t>
  </si>
  <si>
    <t>voduykhanh@duytangroup.com</t>
  </si>
  <si>
    <t>Nguyễn Văn Khánh</t>
  </si>
  <si>
    <t>Trưởng Phòng Xây Dựng Cơ Bản</t>
  </si>
  <si>
    <t>nguyenvankhanh@duytangroup.com</t>
  </si>
  <si>
    <t>Nguyễn Thị Phương Thảo</t>
  </si>
  <si>
    <t>Thư ký dự án</t>
  </si>
  <si>
    <t>10/03/2021</t>
  </si>
  <si>
    <t>phuongthao2@duytangroup.com</t>
  </si>
  <si>
    <t>Dương Duy Quan</t>
  </si>
  <si>
    <t>Trưởng Phòng Phát Triển Dự Án</t>
  </si>
  <si>
    <t>26/12/2021</t>
  </si>
  <si>
    <t>DuongDuyQuan@duytangroup.com</t>
  </si>
  <si>
    <t>Lưu Vĩnh Hoàng</t>
  </si>
  <si>
    <t>Nhân Viên Hỗ Trợ Người Dùng</t>
  </si>
  <si>
    <t>Công Nghệ Thông Tin</t>
  </si>
  <si>
    <t>11/12/2023</t>
  </si>
  <si>
    <t>hoanglv@duytangroup.com</t>
  </si>
  <si>
    <t>Huỳnh Phương Duy</t>
  </si>
  <si>
    <t>Trưởng phòng BI</t>
  </si>
  <si>
    <t>DuyHP@duytangroup.com</t>
  </si>
  <si>
    <t>Nguyễn Mỹ Hạnh</t>
  </si>
  <si>
    <t>Giám Đốc Công nghệ Thông tin</t>
  </si>
  <si>
    <t>02/12/2024</t>
  </si>
  <si>
    <t>HanhNM@duytangroup.com</t>
  </si>
  <si>
    <t>Nguyễn Lê Chấn Nam</t>
  </si>
  <si>
    <t>Chuyên Viên Phát Triển Ứng Dụng</t>
  </si>
  <si>
    <t>Nguyễn Hữu Châu Nguyên</t>
  </si>
  <si>
    <t>Chuyên viên cao cấp Kiến trúc dữ liệu</t>
  </si>
  <si>
    <t>Mai Thị Thanh Ngà</t>
  </si>
  <si>
    <t>Nhân Viên Hành Chánh Lễ Tân</t>
  </si>
  <si>
    <t>Hành chánh Nhân sự</t>
  </si>
  <si>
    <t>Đoàn Thị Ngọc Huyền</t>
  </si>
  <si>
    <t>Kiểm soát nội bộ</t>
  </si>
  <si>
    <t>Trần Ngọc Thắng</t>
  </si>
  <si>
    <t>Trần Thị Kim Thanh</t>
  </si>
  <si>
    <t>Giám đốc</t>
  </si>
  <si>
    <t>Thạnh Phát</t>
  </si>
  <si>
    <t>Võ Minh Tâm</t>
  </si>
  <si>
    <t>Chuyên Viên Xây Dựng</t>
  </si>
  <si>
    <t>Phạm Quốc Kiệt</t>
  </si>
  <si>
    <t>Nhân Viên Xây Dựng</t>
  </si>
  <si>
    <t>Trần Thị Thu Ngà</t>
  </si>
  <si>
    <t>Chuyên Viên Bất Động Sản</t>
  </si>
  <si>
    <t>Bùi Phi Hùng</t>
  </si>
  <si>
    <t>Chuyên viên phát triển ứng dụng</t>
  </si>
  <si>
    <t>HungBP@duytangroup.com</t>
  </si>
  <si>
    <t>Nguyễn Bảo Quốc</t>
  </si>
  <si>
    <t>Giám đốc Tài chính</t>
  </si>
  <si>
    <t>NguyenBaoQuoc@duytangroup.com</t>
  </si>
  <si>
    <t>Phạm Thị Kim Ngân</t>
  </si>
  <si>
    <t>NganPTK@duytangroup.com</t>
  </si>
  <si>
    <t>Phan Hương Ly</t>
  </si>
  <si>
    <t>LyPH@duytangroup.com</t>
  </si>
  <si>
    <t>Lưu Việt Hùng</t>
  </si>
  <si>
    <t>hunglv@plascene.com</t>
  </si>
  <si>
    <t>Trần Hữu Thọ</t>
  </si>
  <si>
    <t>Trưởng phòng kế toán tổng hợp</t>
  </si>
  <si>
    <t>ThoTH@duytangroup.com</t>
  </si>
  <si>
    <t>Trần Ngọc Hiền Nguyên</t>
  </si>
  <si>
    <t>Nhân viên quản trị chiến lược</t>
  </si>
  <si>
    <t>Quản trị chiến lược</t>
  </si>
  <si>
    <t>nguyentnh@duytangroup.com</t>
  </si>
  <si>
    <t>Nguyễn Thị Ngọc Hương</t>
  </si>
  <si>
    <t>Nhân viên lưu trữ</t>
  </si>
  <si>
    <t>29/09/2025</t>
  </si>
  <si>
    <t>huongntn@duytangroup.com</t>
  </si>
  <si>
    <t>Nguyễn Quốc Sơn</t>
  </si>
  <si>
    <t>NguyenQuocSon@duytangroup.com</t>
  </si>
  <si>
    <t>Mã khóa học</t>
  </si>
  <si>
    <t>Tên khóa học</t>
  </si>
  <si>
    <t>Cá nhân học</t>
  </si>
  <si>
    <t>Hình thức</t>
  </si>
  <si>
    <t>Đơn vị đào tạo</t>
  </si>
  <si>
    <t>Giảng viên</t>
  </si>
  <si>
    <t>Ngày bắt đầu</t>
  </si>
  <si>
    <t>Ngày kết thúc</t>
  </si>
  <si>
    <t>Tình trạng</t>
  </si>
  <si>
    <t>Thời lượng (giờ)</t>
  </si>
  <si>
    <t>Số tham dự</t>
  </si>
  <si>
    <t>địa điểm</t>
  </si>
  <si>
    <t>Chi phí</t>
  </si>
  <si>
    <t>Cam kết đào tạo</t>
  </si>
  <si>
    <t>Thời gian cam kết</t>
  </si>
  <si>
    <t>Từ</t>
  </si>
  <si>
    <t>Đến</t>
  </si>
  <si>
    <t>Báo cáo sau đào tạo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</si>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</sst>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Calibri Light"/>
      <family val="1"/>
      <scheme val="major"/>
    </font>
    <font>
      <b/>
      <sz val="11"/>
      <color theme="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0"/>
      <name val="Calibri Light"/>
      <family val="1"/>
      <scheme val="major"/>
    </font>
    <font>
      <sz val="12"/>
      <color theme="0"/>
      <name val="Calibri Light"/>
      <family val="2"/>
      <scheme val="major"/>
    </font>
    <font>
      <b/>
      <sz val="11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rgb="FF002060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</cellStyleXfs>
  <cellXfs count="9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3" fontId="13" fillId="0" borderId="1" xfId="0" applyNumberFormat="1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2" fontId="12" fillId="0" borderId="1" xfId="0" applyNumberFormat="1" applyFont="1" applyBorder="1"/>
    <xf numFmtId="2" fontId="12" fillId="0" borderId="0" xfId="0" applyNumberFormat="1" applyFont="1"/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/>
    </xf>
    <xf numFmtId="2" fontId="12" fillId="0" borderId="1" xfId="0" applyNumberFormat="1" applyFont="1" applyBorder="1" applyAlignment="1">
      <alignment vertical="center"/>
    </xf>
    <xf numFmtId="3" fontId="13" fillId="0" borderId="1" xfId="0" applyNumberFormat="1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/>
    <xf numFmtId="0" fontId="15" fillId="0" borderId="1" xfId="2" applyBorder="1"/>
    <xf numFmtId="14" fontId="12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" fontId="13" fillId="0" borderId="2" xfId="0" applyNumberFormat="1" applyFont="1" applyBorder="1" applyAlignment="1">
      <alignment horizontal="left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0" fontId="15" fillId="0" borderId="2" xfId="2" applyBorder="1" applyAlignment="1">
      <alignment horizontal="left" vertical="center" wrapText="1"/>
    </xf>
    <xf numFmtId="1" fontId="12" fillId="0" borderId="2" xfId="0" applyNumberFormat="1" applyFont="1" applyBorder="1" applyAlignment="1">
      <alignment horizontal="center"/>
    </xf>
    <xf numFmtId="2" fontId="12" fillId="0" borderId="2" xfId="0" applyNumberFormat="1" applyFont="1" applyBorder="1"/>
    <xf numFmtId="166" fontId="12" fillId="0" borderId="2" xfId="0" applyNumberFormat="1" applyFont="1" applyBorder="1" applyAlignment="1">
      <alignment horizontal="center"/>
    </xf>
    <xf numFmtId="0" fontId="12" fillId="0" borderId="2" xfId="0" applyFont="1" applyBorder="1"/>
    <xf numFmtId="14" fontId="12" fillId="0" borderId="2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vertical="center"/>
    </xf>
    <xf numFmtId="3" fontId="13" fillId="0" borderId="3" xfId="0" applyNumberFormat="1" applyFont="1" applyBorder="1" applyAlignment="1">
      <alignment horizontal="left" vertical="center"/>
    </xf>
    <xf numFmtId="3" fontId="13" fillId="0" borderId="3" xfId="0" applyNumberFormat="1" applyFont="1" applyBorder="1" applyAlignment="1">
      <alignment horizontal="left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0" fontId="15" fillId="0" borderId="3" xfId="2" applyBorder="1" applyAlignment="1">
      <alignment horizontal="left" vertical="center" wrapText="1"/>
    </xf>
    <xf numFmtId="1" fontId="12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/>
    </xf>
    <xf numFmtId="166" fontId="12" fillId="0" borderId="3" xfId="0" applyNumberFormat="1" applyFont="1" applyBorder="1" applyAlignment="1">
      <alignment horizontal="center"/>
    </xf>
    <xf numFmtId="1" fontId="14" fillId="0" borderId="4" xfId="3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3" fontId="13" fillId="0" borderId="5" xfId="0" applyNumberFormat="1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center"/>
    </xf>
    <xf numFmtId="0" fontId="15" fillId="0" borderId="5" xfId="2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/>
    </xf>
    <xf numFmtId="2" fontId="12" fillId="0" borderId="5" xfId="0" applyNumberFormat="1" applyFont="1" applyBorder="1"/>
    <xf numFmtId="2" fontId="12" fillId="0" borderId="5" xfId="0" applyNumberFormat="1" applyFont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2" fillId="0" borderId="1" xfId="0" quotePrefix="1" applyFont="1" applyBorder="1"/>
    <xf numFmtId="0" fontId="15" fillId="0" borderId="1" xfId="2" applyBorder="1" applyAlignment="1">
      <alignment horizontal="left" vertical="center" wrapText="1"/>
    </xf>
    <xf numFmtId="14" fontId="12" fillId="0" borderId="1" xfId="0" applyNumberFormat="1" applyFont="1" applyBorder="1"/>
    <xf numFmtId="0" fontId="16" fillId="0" borderId="0" xfId="0" applyFont="1" applyAlignment="1">
      <alignment horizontal="center" vertical="center"/>
    </xf>
    <xf numFmtId="166" fontId="16" fillId="0" borderId="0" xfId="0" applyNumberFormat="1" applyFont="1"/>
    <xf numFmtId="0" fontId="16" fillId="0" borderId="0" xfId="0" applyFont="1"/>
    <xf numFmtId="1" fontId="2" fillId="10" borderId="6" xfId="0" applyNumberFormat="1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1" fontId="2" fillId="11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Normal 6" xfId="3" xr:uid="{54D66956-61E5-42E5-8A20-B422B470C80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oTH@duytangroup.com" TargetMode="External"/><Relationship Id="rId3" Type="http://schemas.openxmlformats.org/officeDocument/2006/relationships/hyperlink" Target="mailto:HungBP@duytangroup.com" TargetMode="External"/><Relationship Id="rId7" Type="http://schemas.openxmlformats.org/officeDocument/2006/relationships/hyperlink" Target="mailto:nguyentnh@duytangroup.com" TargetMode="External"/><Relationship Id="rId2" Type="http://schemas.openxmlformats.org/officeDocument/2006/relationships/hyperlink" Target="mailto:NganPTK@duytangroup.com" TargetMode="External"/><Relationship Id="rId1" Type="http://schemas.openxmlformats.org/officeDocument/2006/relationships/hyperlink" Target="mailto:LyPH@duytangroup.com" TargetMode="External"/><Relationship Id="rId6" Type="http://schemas.openxmlformats.org/officeDocument/2006/relationships/hyperlink" Target="mailto:huongntn@duytangroup.com" TargetMode="External"/><Relationship Id="rId5" Type="http://schemas.openxmlformats.org/officeDocument/2006/relationships/hyperlink" Target="mailto:hunglv@plascene.com" TargetMode="External"/><Relationship Id="rId4" Type="http://schemas.openxmlformats.org/officeDocument/2006/relationships/hyperlink" Target="mailto:NguyenBaoQuoc@duytangroup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DDE9-E09B-484C-872D-BE2630DF8B97}">
  <dimension ref="A1:AT157"/>
  <sheetViews>
    <sheetView tabSelected="1" zoomScaleNormal="100" workbookViewId="0">
      <pane xSplit="4" ySplit="2" topLeftCell="P3" activePane="bottomRight" state="frozen"/>
      <selection pane="bottomRight" activeCell="C2" sqref="C2"/>
      <selection pane="bottomLeft" activeCell="A3" sqref="A3"/>
      <selection pane="topRight" activeCell="E1" sqref="E1"/>
    </sheetView>
  </sheetViews>
  <sheetFormatPr defaultColWidth="9.140625" defaultRowHeight="15" customHeight="1"/>
  <cols>
    <col min="1" max="1" width="4.28515625" style="19" customWidth="1"/>
    <col min="2" max="2" width="10.42578125" style="9" bestFit="1" customWidth="1"/>
    <col min="3" max="3" width="24" style="9" bestFit="1" customWidth="1"/>
    <col min="4" max="4" width="27.28515625" style="9" customWidth="1"/>
    <col min="5" max="5" width="20" style="9" customWidth="1"/>
    <col min="6" max="6" width="26.42578125" style="9" customWidth="1"/>
    <col min="7" max="7" width="13.42578125" style="9" bestFit="1" customWidth="1"/>
    <col min="8" max="8" width="39.140625" style="9" customWidth="1"/>
    <col min="9" max="9" width="15.42578125" style="25" customWidth="1"/>
    <col min="10" max="15" width="12.85546875" style="25" customWidth="1"/>
    <col min="16" max="16" width="14" style="17" customWidth="1"/>
    <col min="17" max="19" width="14" style="27" customWidth="1"/>
    <col min="20" max="20" width="14" style="25" customWidth="1"/>
    <col min="21" max="22" width="14" style="27" customWidth="1"/>
    <col min="23" max="23" width="14" style="25" customWidth="1"/>
    <col min="24" max="24" width="14" style="30" customWidth="1"/>
    <col min="25" max="27" width="14" style="19" customWidth="1"/>
    <col min="28" max="28" width="15.42578125" style="25" customWidth="1"/>
    <col min="29" max="30" width="12.85546875" style="25" customWidth="1"/>
    <col min="31" max="34" width="14" style="27" customWidth="1"/>
    <col min="35" max="38" width="14" style="19" customWidth="1"/>
    <col min="39" max="41" width="12.85546875" style="25" customWidth="1"/>
    <col min="42" max="43" width="13.5703125" style="9" customWidth="1"/>
    <col min="44" max="44" width="16" style="87" customWidth="1"/>
    <col min="45" max="16384" width="9.140625" style="9"/>
  </cols>
  <sheetData>
    <row r="1" spans="1:44" ht="22.9" customHeight="1">
      <c r="K1" s="88" t="s">
        <v>0</v>
      </c>
      <c r="L1" s="88"/>
      <c r="M1" s="88"/>
      <c r="N1" s="88"/>
      <c r="O1" s="88"/>
      <c r="P1" s="89" t="s">
        <v>1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90" t="s">
        <v>2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1" t="s">
        <v>3</v>
      </c>
      <c r="AN1" s="91"/>
      <c r="AO1" s="91"/>
      <c r="AP1" s="91"/>
      <c r="AQ1" s="91"/>
    </row>
    <row r="2" spans="1:44" s="8" customFormat="1" ht="69.599999999999994" customHeight="1">
      <c r="A2" s="31" t="s">
        <v>4</v>
      </c>
      <c r="B2" s="31" t="s">
        <v>5</v>
      </c>
      <c r="C2" s="31" t="s">
        <v>6</v>
      </c>
      <c r="D2" s="31" t="s">
        <v>7</v>
      </c>
      <c r="E2" s="31" t="s">
        <v>8</v>
      </c>
      <c r="F2" s="32" t="s">
        <v>9</v>
      </c>
      <c r="G2" s="31" t="s">
        <v>10</v>
      </c>
      <c r="H2" s="31" t="s">
        <v>11</v>
      </c>
      <c r="I2" s="33" t="s">
        <v>12</v>
      </c>
      <c r="J2" s="33" t="s">
        <v>13</v>
      </c>
      <c r="K2" s="33" t="s">
        <v>14</v>
      </c>
      <c r="L2" s="33" t="s">
        <v>15</v>
      </c>
      <c r="M2" s="33" t="s">
        <v>16</v>
      </c>
      <c r="N2" s="33" t="s">
        <v>17</v>
      </c>
      <c r="O2" s="33" t="s">
        <v>18</v>
      </c>
      <c r="P2" s="33" t="s">
        <v>12</v>
      </c>
      <c r="Q2" s="33" t="s">
        <v>19</v>
      </c>
      <c r="R2" s="33" t="s">
        <v>20</v>
      </c>
      <c r="S2" s="33" t="s">
        <v>21</v>
      </c>
      <c r="T2" s="33" t="s">
        <v>22</v>
      </c>
      <c r="U2" s="33" t="s">
        <v>23</v>
      </c>
      <c r="V2" s="33" t="s">
        <v>24</v>
      </c>
      <c r="W2" s="33" t="s">
        <v>25</v>
      </c>
      <c r="X2" s="34" t="s">
        <v>26</v>
      </c>
      <c r="Y2" s="33" t="s">
        <v>27</v>
      </c>
      <c r="Z2" s="36" t="s">
        <v>28</v>
      </c>
      <c r="AA2" s="36" t="s">
        <v>29</v>
      </c>
      <c r="AB2" s="33" t="s">
        <v>12</v>
      </c>
      <c r="AC2" s="33" t="s">
        <v>30</v>
      </c>
      <c r="AD2" s="33" t="s">
        <v>31</v>
      </c>
      <c r="AE2" s="33" t="s">
        <v>23</v>
      </c>
      <c r="AF2" s="33" t="s">
        <v>24</v>
      </c>
      <c r="AG2" s="33" t="s">
        <v>32</v>
      </c>
      <c r="AH2" s="33" t="s">
        <v>33</v>
      </c>
      <c r="AI2" s="36" t="s">
        <v>34</v>
      </c>
      <c r="AJ2" s="36" t="s">
        <v>35</v>
      </c>
      <c r="AK2" s="36" t="s">
        <v>36</v>
      </c>
      <c r="AL2" s="36" t="s">
        <v>37</v>
      </c>
      <c r="AM2" s="35" t="s">
        <v>38</v>
      </c>
      <c r="AN2" s="35" t="s">
        <v>39</v>
      </c>
      <c r="AO2" s="35" t="s">
        <v>40</v>
      </c>
      <c r="AP2" s="35" t="s">
        <v>41</v>
      </c>
      <c r="AQ2" s="36" t="s">
        <v>42</v>
      </c>
      <c r="AR2" s="85" t="s">
        <v>43</v>
      </c>
    </row>
    <row r="3" spans="1:44" ht="16.149999999999999" customHeight="1">
      <c r="A3" s="18">
        <v>1</v>
      </c>
      <c r="B3" s="13">
        <v>90024083</v>
      </c>
      <c r="C3" s="10" t="s">
        <v>44</v>
      </c>
      <c r="D3" s="10" t="s">
        <v>45</v>
      </c>
      <c r="E3" s="10" t="s">
        <v>46</v>
      </c>
      <c r="F3" s="10" t="s">
        <v>47</v>
      </c>
      <c r="G3" s="11" t="s">
        <v>48</v>
      </c>
      <c r="H3" s="12" t="s">
        <v>49</v>
      </c>
      <c r="I3" s="23"/>
      <c r="J3" s="23"/>
      <c r="K3" s="23"/>
      <c r="L3" s="23"/>
      <c r="M3" s="23"/>
      <c r="N3" s="23"/>
      <c r="O3" s="23"/>
      <c r="P3" s="16"/>
      <c r="Q3" s="18">
        <v>3</v>
      </c>
      <c r="R3" s="18"/>
      <c r="S3" s="18"/>
      <c r="T3" s="23"/>
      <c r="U3" s="23"/>
      <c r="V3" s="26"/>
      <c r="W3" s="23"/>
      <c r="X3" s="28"/>
      <c r="Y3" s="18">
        <v>8</v>
      </c>
      <c r="Z3" s="13"/>
      <c r="AA3" s="13"/>
      <c r="AB3" s="23"/>
      <c r="AC3" s="23"/>
      <c r="AD3" s="23"/>
      <c r="AE3" s="23"/>
      <c r="AF3" s="26"/>
      <c r="AG3" s="26"/>
      <c r="AH3" s="26"/>
      <c r="AI3" s="45"/>
      <c r="AJ3" s="28">
        <v>2.5</v>
      </c>
      <c r="AK3" s="28"/>
      <c r="AL3" s="28"/>
      <c r="AM3" s="28"/>
      <c r="AN3" s="28"/>
      <c r="AO3" s="28"/>
      <c r="AP3" s="18"/>
      <c r="AQ3" s="18"/>
      <c r="AR3" s="86">
        <f>SUM(I3:AQ3)</f>
        <v>13.5</v>
      </c>
    </row>
    <row r="4" spans="1:44" ht="16.149999999999999" customHeight="1">
      <c r="A4" s="18">
        <v>2</v>
      </c>
      <c r="B4" s="13">
        <v>80021051</v>
      </c>
      <c r="C4" s="10" t="s">
        <v>50</v>
      </c>
      <c r="D4" s="10" t="s">
        <v>51</v>
      </c>
      <c r="E4" s="10" t="s">
        <v>46</v>
      </c>
      <c r="F4" s="10" t="s">
        <v>47</v>
      </c>
      <c r="G4" s="11" t="s">
        <v>52</v>
      </c>
      <c r="H4" s="12" t="s">
        <v>53</v>
      </c>
      <c r="I4" s="23"/>
      <c r="J4" s="23"/>
      <c r="K4" s="23"/>
      <c r="L4" s="23"/>
      <c r="M4" s="23"/>
      <c r="N4" s="23"/>
      <c r="O4" s="23"/>
      <c r="P4" s="16"/>
      <c r="Q4" s="18">
        <v>3</v>
      </c>
      <c r="R4" s="18"/>
      <c r="S4" s="18"/>
      <c r="T4" s="23"/>
      <c r="U4" s="23"/>
      <c r="V4" s="26"/>
      <c r="W4" s="23"/>
      <c r="X4" s="28"/>
      <c r="Y4" s="18">
        <v>8</v>
      </c>
      <c r="Z4" s="13"/>
      <c r="AA4" s="13"/>
      <c r="AB4" s="23"/>
      <c r="AC4" s="23"/>
      <c r="AD4" s="23"/>
      <c r="AE4" s="23"/>
      <c r="AF4" s="26"/>
      <c r="AG4" s="26"/>
      <c r="AH4" s="26"/>
      <c r="AI4" s="13"/>
      <c r="AJ4" s="13"/>
      <c r="AK4" s="13"/>
      <c r="AL4" s="13"/>
      <c r="AM4" s="28"/>
      <c r="AN4" s="28"/>
      <c r="AO4" s="28"/>
      <c r="AP4" s="13"/>
      <c r="AQ4" s="13"/>
      <c r="AR4" s="86">
        <f t="shared" ref="AR4:AR67" si="0">SUM(I4:AQ4)</f>
        <v>11</v>
      </c>
    </row>
    <row r="5" spans="1:44" ht="16.149999999999999" customHeight="1">
      <c r="A5" s="18">
        <v>3</v>
      </c>
      <c r="B5" s="13">
        <v>90024980</v>
      </c>
      <c r="C5" s="10" t="s">
        <v>54</v>
      </c>
      <c r="D5" s="10" t="s">
        <v>55</v>
      </c>
      <c r="E5" s="10" t="s">
        <v>46</v>
      </c>
      <c r="F5" s="10" t="s">
        <v>47</v>
      </c>
      <c r="G5" s="11" t="s">
        <v>56</v>
      </c>
      <c r="H5" s="12" t="s">
        <v>57</v>
      </c>
      <c r="I5" s="23"/>
      <c r="J5" s="23"/>
      <c r="K5" s="23"/>
      <c r="L5" s="23"/>
      <c r="M5" s="23"/>
      <c r="N5" s="23"/>
      <c r="O5" s="23"/>
      <c r="P5" s="16"/>
      <c r="Q5" s="18">
        <v>3</v>
      </c>
      <c r="R5" s="18"/>
      <c r="S5" s="18"/>
      <c r="T5" s="23"/>
      <c r="U5" s="23"/>
      <c r="V5" s="23">
        <v>1</v>
      </c>
      <c r="W5" s="23"/>
      <c r="X5" s="28"/>
      <c r="Y5" s="18">
        <v>8</v>
      </c>
      <c r="Z5" s="13"/>
      <c r="AA5" s="13"/>
      <c r="AB5" s="23"/>
      <c r="AC5" s="23"/>
      <c r="AD5" s="23"/>
      <c r="AE5" s="23"/>
      <c r="AF5" s="23"/>
      <c r="AG5" s="23"/>
      <c r="AH5" s="23"/>
      <c r="AI5" s="13"/>
      <c r="AJ5" s="13"/>
      <c r="AK5" s="13"/>
      <c r="AL5" s="13"/>
      <c r="AM5" s="28"/>
      <c r="AN5" s="28"/>
      <c r="AO5" s="28"/>
      <c r="AP5" s="13"/>
      <c r="AQ5" s="13"/>
      <c r="AR5" s="86">
        <f t="shared" si="0"/>
        <v>12</v>
      </c>
    </row>
    <row r="6" spans="1:44" ht="16.149999999999999" customHeight="1">
      <c r="A6" s="18">
        <v>4</v>
      </c>
      <c r="B6" s="13">
        <v>90026068</v>
      </c>
      <c r="C6" s="10" t="s">
        <v>58</v>
      </c>
      <c r="D6" s="10" t="s">
        <v>59</v>
      </c>
      <c r="E6" s="10" t="s">
        <v>46</v>
      </c>
      <c r="F6" s="10" t="s">
        <v>60</v>
      </c>
      <c r="G6" s="11" t="s">
        <v>61</v>
      </c>
      <c r="H6" s="12" t="s">
        <v>62</v>
      </c>
      <c r="I6" s="23"/>
      <c r="J6" s="23"/>
      <c r="K6" s="23"/>
      <c r="L6" s="23"/>
      <c r="M6" s="23"/>
      <c r="N6" s="23"/>
      <c r="O6" s="23"/>
      <c r="P6" s="16"/>
      <c r="Q6" s="18">
        <v>3</v>
      </c>
      <c r="R6" s="18"/>
      <c r="S6" s="18"/>
      <c r="T6" s="23"/>
      <c r="U6" s="23"/>
      <c r="V6" s="26"/>
      <c r="W6" s="23"/>
      <c r="X6" s="28"/>
      <c r="Y6" s="18"/>
      <c r="Z6" s="13"/>
      <c r="AA6" s="13"/>
      <c r="AB6" s="23"/>
      <c r="AC6" s="23"/>
      <c r="AD6" s="23"/>
      <c r="AE6" s="23"/>
      <c r="AF6" s="26"/>
      <c r="AG6" s="26"/>
      <c r="AH6" s="26"/>
      <c r="AI6" s="13"/>
      <c r="AJ6" s="13"/>
      <c r="AK6" s="13"/>
      <c r="AL6" s="13"/>
      <c r="AM6" s="28"/>
      <c r="AN6" s="28"/>
      <c r="AO6" s="28"/>
      <c r="AP6" s="13"/>
      <c r="AQ6" s="13"/>
      <c r="AR6" s="86">
        <f t="shared" si="0"/>
        <v>3</v>
      </c>
    </row>
    <row r="7" spans="1:44" ht="16.149999999999999" customHeight="1">
      <c r="A7" s="18">
        <v>5</v>
      </c>
      <c r="B7" s="13">
        <v>80019081</v>
      </c>
      <c r="C7" s="10" t="s">
        <v>63</v>
      </c>
      <c r="D7" s="10" t="s">
        <v>59</v>
      </c>
      <c r="E7" s="10" t="s">
        <v>46</v>
      </c>
      <c r="F7" s="10" t="s">
        <v>60</v>
      </c>
      <c r="G7" s="11" t="s">
        <v>64</v>
      </c>
      <c r="H7" s="12" t="s">
        <v>65</v>
      </c>
      <c r="I7" s="23"/>
      <c r="J7" s="23"/>
      <c r="K7" s="23"/>
      <c r="L7" s="23"/>
      <c r="M7" s="23"/>
      <c r="N7" s="23"/>
      <c r="O7" s="23"/>
      <c r="P7" s="16"/>
      <c r="Q7" s="26"/>
      <c r="R7" s="26"/>
      <c r="S7" s="26"/>
      <c r="T7" s="23"/>
      <c r="U7" s="23"/>
      <c r="V7" s="26"/>
      <c r="W7" s="23"/>
      <c r="X7" s="28"/>
      <c r="Y7" s="18"/>
      <c r="Z7" s="13"/>
      <c r="AA7" s="13"/>
      <c r="AB7" s="23"/>
      <c r="AC7" s="23"/>
      <c r="AD7" s="23"/>
      <c r="AE7" s="23"/>
      <c r="AF7" s="26"/>
      <c r="AG7" s="26"/>
      <c r="AH7" s="26"/>
      <c r="AI7" s="13"/>
      <c r="AJ7" s="13"/>
      <c r="AK7" s="13"/>
      <c r="AL7" s="13"/>
      <c r="AM7" s="28"/>
      <c r="AN7" s="28"/>
      <c r="AO7" s="28"/>
      <c r="AP7" s="13"/>
      <c r="AQ7" s="13"/>
      <c r="AR7" s="86">
        <f t="shared" si="0"/>
        <v>0</v>
      </c>
    </row>
    <row r="8" spans="1:44" ht="16.149999999999999" customHeight="1">
      <c r="A8" s="18">
        <v>6</v>
      </c>
      <c r="B8" s="13">
        <v>80023624</v>
      </c>
      <c r="C8" s="10" t="s">
        <v>66</v>
      </c>
      <c r="D8" s="10" t="s">
        <v>59</v>
      </c>
      <c r="E8" s="10" t="s">
        <v>46</v>
      </c>
      <c r="F8" s="10" t="s">
        <v>60</v>
      </c>
      <c r="G8" s="11" t="s">
        <v>67</v>
      </c>
      <c r="H8" s="12" t="s">
        <v>68</v>
      </c>
      <c r="I8" s="23"/>
      <c r="J8" s="23"/>
      <c r="K8" s="23"/>
      <c r="L8" s="23"/>
      <c r="M8" s="23"/>
      <c r="N8" s="23"/>
      <c r="O8" s="23"/>
      <c r="P8" s="16"/>
      <c r="Q8" s="18">
        <v>3</v>
      </c>
      <c r="R8" s="18"/>
      <c r="S8" s="18"/>
      <c r="T8" s="23"/>
      <c r="U8" s="23"/>
      <c r="V8" s="26"/>
      <c r="W8" s="23"/>
      <c r="X8" s="28"/>
      <c r="Y8" s="18"/>
      <c r="Z8" s="13"/>
      <c r="AA8" s="13"/>
      <c r="AB8" s="23"/>
      <c r="AC8" s="23"/>
      <c r="AD8" s="23"/>
      <c r="AE8" s="23"/>
      <c r="AF8" s="26"/>
      <c r="AG8" s="26"/>
      <c r="AH8" s="26"/>
      <c r="AI8" s="13"/>
      <c r="AJ8" s="13"/>
      <c r="AK8" s="13"/>
      <c r="AL8" s="13"/>
      <c r="AM8" s="28"/>
      <c r="AN8" s="28"/>
      <c r="AO8" s="28"/>
      <c r="AP8" s="13"/>
      <c r="AQ8" s="13"/>
      <c r="AR8" s="86">
        <f t="shared" si="0"/>
        <v>3</v>
      </c>
    </row>
    <row r="9" spans="1:44" ht="16.149999999999999" customHeight="1">
      <c r="A9" s="18">
        <v>7</v>
      </c>
      <c r="B9" s="13">
        <v>90024311</v>
      </c>
      <c r="C9" s="10" t="s">
        <v>69</v>
      </c>
      <c r="D9" s="10" t="s">
        <v>59</v>
      </c>
      <c r="E9" s="10" t="s">
        <v>46</v>
      </c>
      <c r="F9" s="10" t="s">
        <v>60</v>
      </c>
      <c r="G9" s="11" t="s">
        <v>70</v>
      </c>
      <c r="H9" s="12" t="s">
        <v>71</v>
      </c>
      <c r="I9" s="23"/>
      <c r="J9" s="23"/>
      <c r="K9" s="23"/>
      <c r="L9" s="23"/>
      <c r="M9" s="23"/>
      <c r="N9" s="23"/>
      <c r="O9" s="23"/>
      <c r="P9" s="16"/>
      <c r="Q9" s="18">
        <v>3</v>
      </c>
      <c r="R9" s="18"/>
      <c r="S9" s="18"/>
      <c r="T9" s="23"/>
      <c r="U9" s="23"/>
      <c r="V9" s="26"/>
      <c r="W9" s="23"/>
      <c r="X9" s="28"/>
      <c r="Y9" s="18"/>
      <c r="Z9" s="13"/>
      <c r="AA9" s="13"/>
      <c r="AB9" s="23"/>
      <c r="AC9" s="23"/>
      <c r="AD9" s="23"/>
      <c r="AE9" s="23"/>
      <c r="AF9" s="26"/>
      <c r="AG9" s="26"/>
      <c r="AH9" s="26"/>
      <c r="AI9" s="13"/>
      <c r="AJ9" s="13"/>
      <c r="AK9" s="13"/>
      <c r="AL9" s="13"/>
      <c r="AM9" s="28"/>
      <c r="AN9" s="28"/>
      <c r="AO9" s="28"/>
      <c r="AP9" s="13"/>
      <c r="AQ9" s="13"/>
      <c r="AR9" s="86">
        <f t="shared" si="0"/>
        <v>3</v>
      </c>
    </row>
    <row r="10" spans="1:44" ht="16.149999999999999" customHeight="1">
      <c r="A10" s="18">
        <v>8</v>
      </c>
      <c r="B10" s="13">
        <v>80023612</v>
      </c>
      <c r="C10" s="10" t="s">
        <v>72</v>
      </c>
      <c r="D10" s="10" t="s">
        <v>73</v>
      </c>
      <c r="E10" s="10" t="s">
        <v>46</v>
      </c>
      <c r="F10" s="10" t="s">
        <v>74</v>
      </c>
      <c r="G10" s="11" t="s">
        <v>75</v>
      </c>
      <c r="H10" s="12" t="s">
        <v>76</v>
      </c>
      <c r="I10" s="23"/>
      <c r="J10" s="23"/>
      <c r="K10" s="23"/>
      <c r="L10" s="23"/>
      <c r="M10" s="23"/>
      <c r="N10" s="23"/>
      <c r="O10" s="23"/>
      <c r="P10" s="16"/>
      <c r="Q10" s="18">
        <v>3</v>
      </c>
      <c r="R10" s="18"/>
      <c r="S10" s="18"/>
      <c r="T10" s="23"/>
      <c r="U10" s="23"/>
      <c r="V10" s="23">
        <v>1</v>
      </c>
      <c r="W10" s="23"/>
      <c r="X10" s="28"/>
      <c r="Y10" s="18"/>
      <c r="Z10" s="13"/>
      <c r="AA10" s="13"/>
      <c r="AB10" s="23"/>
      <c r="AC10" s="23"/>
      <c r="AD10" s="23"/>
      <c r="AE10" s="23"/>
      <c r="AF10" s="23"/>
      <c r="AG10" s="23"/>
      <c r="AH10" s="23"/>
      <c r="AI10" s="13"/>
      <c r="AJ10" s="13"/>
      <c r="AK10" s="13"/>
      <c r="AL10" s="13"/>
      <c r="AM10" s="28"/>
      <c r="AN10" s="28"/>
      <c r="AO10" s="28"/>
      <c r="AP10" s="13"/>
      <c r="AQ10" s="13"/>
      <c r="AR10" s="86">
        <f t="shared" si="0"/>
        <v>4</v>
      </c>
    </row>
    <row r="11" spans="1:44" ht="16.149999999999999" customHeight="1">
      <c r="A11" s="18">
        <v>9</v>
      </c>
      <c r="B11" s="13">
        <v>90023984</v>
      </c>
      <c r="C11" s="10" t="s">
        <v>77</v>
      </c>
      <c r="D11" s="10" t="s">
        <v>78</v>
      </c>
      <c r="E11" s="10" t="s">
        <v>46</v>
      </c>
      <c r="F11" s="10" t="s">
        <v>74</v>
      </c>
      <c r="G11" s="11" t="s">
        <v>79</v>
      </c>
      <c r="H11" s="12" t="s">
        <v>80</v>
      </c>
      <c r="I11" s="23"/>
      <c r="J11" s="23">
        <v>14</v>
      </c>
      <c r="K11" s="23"/>
      <c r="L11" s="23"/>
      <c r="M11" s="23"/>
      <c r="N11" s="23">
        <v>2</v>
      </c>
      <c r="O11" s="23">
        <v>4</v>
      </c>
      <c r="P11" s="16"/>
      <c r="Q11" s="18">
        <v>3</v>
      </c>
      <c r="R11" s="18"/>
      <c r="S11" s="18"/>
      <c r="T11" s="23"/>
      <c r="U11" s="23">
        <v>1</v>
      </c>
      <c r="V11" s="23">
        <v>1</v>
      </c>
      <c r="W11" s="23"/>
      <c r="X11" s="28"/>
      <c r="Y11" s="18"/>
      <c r="Z11" s="13"/>
      <c r="AA11" s="13"/>
      <c r="AB11" s="23"/>
      <c r="AC11" s="23"/>
      <c r="AD11" s="23"/>
      <c r="AE11" s="23"/>
      <c r="AF11" s="23"/>
      <c r="AG11" s="23">
        <v>2</v>
      </c>
      <c r="AH11" s="23"/>
      <c r="AI11" s="13"/>
      <c r="AJ11" s="13"/>
      <c r="AK11" s="13"/>
      <c r="AL11" s="13"/>
      <c r="AM11" s="28"/>
      <c r="AN11" s="28"/>
      <c r="AO11" s="28">
        <v>4</v>
      </c>
      <c r="AP11" s="13">
        <v>1.5</v>
      </c>
      <c r="AQ11" s="13"/>
      <c r="AR11" s="86">
        <f t="shared" si="0"/>
        <v>32.5</v>
      </c>
    </row>
    <row r="12" spans="1:44" ht="16.149999999999999" customHeight="1">
      <c r="A12" s="18">
        <v>10</v>
      </c>
      <c r="B12" s="13">
        <v>90024084</v>
      </c>
      <c r="C12" s="10" t="s">
        <v>81</v>
      </c>
      <c r="D12" s="10" t="s">
        <v>82</v>
      </c>
      <c r="E12" s="10" t="s">
        <v>46</v>
      </c>
      <c r="F12" s="10" t="s">
        <v>74</v>
      </c>
      <c r="G12" s="11" t="s">
        <v>83</v>
      </c>
      <c r="H12" s="12" t="s">
        <v>84</v>
      </c>
      <c r="I12" s="23"/>
      <c r="J12" s="23"/>
      <c r="K12" s="23"/>
      <c r="L12" s="23"/>
      <c r="M12" s="23"/>
      <c r="N12" s="23">
        <v>2</v>
      </c>
      <c r="O12" s="23"/>
      <c r="P12" s="16"/>
      <c r="Q12" s="18">
        <v>3</v>
      </c>
      <c r="R12" s="18"/>
      <c r="S12" s="18"/>
      <c r="T12" s="23"/>
      <c r="U12" s="23">
        <v>1</v>
      </c>
      <c r="V12" s="23">
        <v>1</v>
      </c>
      <c r="W12" s="23"/>
      <c r="X12" s="28"/>
      <c r="Y12" s="18">
        <v>8</v>
      </c>
      <c r="Z12" s="13"/>
      <c r="AA12" s="13"/>
      <c r="AB12" s="23"/>
      <c r="AC12" s="23"/>
      <c r="AD12" s="23"/>
      <c r="AE12" s="23"/>
      <c r="AF12" s="23"/>
      <c r="AG12" s="23"/>
      <c r="AH12" s="23"/>
      <c r="AI12" s="13"/>
      <c r="AJ12" s="13"/>
      <c r="AK12" s="13"/>
      <c r="AL12" s="13"/>
      <c r="AM12" s="28"/>
      <c r="AN12" s="28"/>
      <c r="AO12" s="28"/>
      <c r="AP12" s="13"/>
      <c r="AQ12" s="13"/>
      <c r="AR12" s="86">
        <f t="shared" si="0"/>
        <v>15</v>
      </c>
    </row>
    <row r="13" spans="1:44" ht="16.149999999999999" customHeight="1">
      <c r="A13" s="18">
        <v>11</v>
      </c>
      <c r="B13" s="13">
        <v>90024360</v>
      </c>
      <c r="C13" s="10" t="s">
        <v>85</v>
      </c>
      <c r="D13" s="10" t="s">
        <v>86</v>
      </c>
      <c r="E13" s="10" t="s">
        <v>87</v>
      </c>
      <c r="F13" s="10" t="s">
        <v>74</v>
      </c>
      <c r="G13" s="11" t="s">
        <v>88</v>
      </c>
      <c r="H13" s="12" t="s">
        <v>89</v>
      </c>
      <c r="I13" s="23"/>
      <c r="J13" s="23">
        <v>14</v>
      </c>
      <c r="K13" s="23"/>
      <c r="L13" s="23"/>
      <c r="M13" s="23"/>
      <c r="N13" s="23">
        <v>2</v>
      </c>
      <c r="O13" s="23">
        <v>4</v>
      </c>
      <c r="P13" s="16"/>
      <c r="Q13" s="18">
        <v>3</v>
      </c>
      <c r="R13" s="18"/>
      <c r="S13" s="18"/>
      <c r="T13" s="23"/>
      <c r="U13" s="23">
        <v>1</v>
      </c>
      <c r="V13" s="23">
        <v>1</v>
      </c>
      <c r="W13" s="23"/>
      <c r="X13" s="28"/>
      <c r="Y13" s="18"/>
      <c r="Z13" s="13"/>
      <c r="AA13" s="13"/>
      <c r="AB13" s="23"/>
      <c r="AC13" s="23"/>
      <c r="AD13" s="23"/>
      <c r="AE13" s="23"/>
      <c r="AF13" s="23"/>
      <c r="AG13" s="23">
        <v>2</v>
      </c>
      <c r="AH13" s="23"/>
      <c r="AI13" s="13"/>
      <c r="AJ13" s="13"/>
      <c r="AK13" s="13"/>
      <c r="AL13" s="13"/>
      <c r="AM13" s="28"/>
      <c r="AN13" s="28"/>
      <c r="AO13" s="28">
        <v>4</v>
      </c>
      <c r="AP13" s="13"/>
      <c r="AQ13" s="13"/>
      <c r="AR13" s="86">
        <f t="shared" si="0"/>
        <v>31</v>
      </c>
    </row>
    <row r="14" spans="1:44" ht="16.149999999999999" customHeight="1">
      <c r="A14" s="18">
        <v>12</v>
      </c>
      <c r="B14" s="13">
        <v>90024534</v>
      </c>
      <c r="C14" s="10" t="s">
        <v>90</v>
      </c>
      <c r="D14" s="10" t="s">
        <v>91</v>
      </c>
      <c r="E14" s="10" t="s">
        <v>46</v>
      </c>
      <c r="F14" s="10" t="s">
        <v>74</v>
      </c>
      <c r="G14" s="11" t="s">
        <v>92</v>
      </c>
      <c r="H14" s="12" t="s">
        <v>93</v>
      </c>
      <c r="I14" s="23"/>
      <c r="J14" s="23"/>
      <c r="K14" s="23"/>
      <c r="L14" s="23"/>
      <c r="M14" s="23"/>
      <c r="N14" s="23"/>
      <c r="O14" s="23"/>
      <c r="P14" s="16"/>
      <c r="Q14" s="18">
        <v>3</v>
      </c>
      <c r="R14" s="18"/>
      <c r="S14" s="18"/>
      <c r="T14" s="23"/>
      <c r="U14" s="23">
        <v>1</v>
      </c>
      <c r="V14" s="23">
        <v>1</v>
      </c>
      <c r="W14" s="23">
        <v>8</v>
      </c>
      <c r="X14" s="28"/>
      <c r="Y14" s="18"/>
      <c r="Z14" s="13"/>
      <c r="AA14" s="13"/>
      <c r="AB14" s="23"/>
      <c r="AC14" s="23"/>
      <c r="AD14" s="23"/>
      <c r="AE14" s="23"/>
      <c r="AF14" s="23"/>
      <c r="AG14" s="23"/>
      <c r="AH14" s="23">
        <v>1</v>
      </c>
      <c r="AI14" s="13"/>
      <c r="AJ14" s="13"/>
      <c r="AK14" s="13"/>
      <c r="AL14" s="13"/>
      <c r="AM14" s="28"/>
      <c r="AN14" s="28"/>
      <c r="AO14" s="28"/>
      <c r="AP14" s="13"/>
      <c r="AQ14" s="13"/>
      <c r="AR14" s="86">
        <f t="shared" si="0"/>
        <v>14</v>
      </c>
    </row>
    <row r="15" spans="1:44" ht="16.149999999999999" customHeight="1">
      <c r="A15" s="18">
        <v>13</v>
      </c>
      <c r="B15" s="13">
        <v>90025985</v>
      </c>
      <c r="C15" s="10" t="s">
        <v>94</v>
      </c>
      <c r="D15" s="10" t="s">
        <v>95</v>
      </c>
      <c r="E15" s="10" t="s">
        <v>87</v>
      </c>
      <c r="F15" s="10" t="s">
        <v>74</v>
      </c>
      <c r="G15" s="11" t="s">
        <v>96</v>
      </c>
      <c r="H15" s="12" t="s">
        <v>97</v>
      </c>
      <c r="I15" s="23"/>
      <c r="J15" s="23"/>
      <c r="K15" s="23"/>
      <c r="L15" s="23"/>
      <c r="M15" s="23"/>
      <c r="N15" s="23">
        <v>2</v>
      </c>
      <c r="O15" s="23"/>
      <c r="P15" s="16"/>
      <c r="Q15" s="18">
        <v>3</v>
      </c>
      <c r="R15" s="18"/>
      <c r="S15" s="18"/>
      <c r="T15" s="23"/>
      <c r="U15" s="23">
        <v>1</v>
      </c>
      <c r="V15" s="23">
        <v>1</v>
      </c>
      <c r="W15" s="23"/>
      <c r="X15" s="28"/>
      <c r="Y15" s="18"/>
      <c r="Z15" s="13"/>
      <c r="AA15" s="13"/>
      <c r="AB15" s="23"/>
      <c r="AC15" s="23"/>
      <c r="AD15" s="23"/>
      <c r="AE15" s="23"/>
      <c r="AF15" s="23"/>
      <c r="AG15" s="23"/>
      <c r="AH15" s="23"/>
      <c r="AI15" s="13"/>
      <c r="AJ15" s="13"/>
      <c r="AK15" s="13"/>
      <c r="AL15" s="13"/>
      <c r="AM15" s="28"/>
      <c r="AN15" s="28"/>
      <c r="AO15" s="28"/>
      <c r="AP15" s="13"/>
      <c r="AQ15" s="13"/>
      <c r="AR15" s="86">
        <f t="shared" si="0"/>
        <v>7</v>
      </c>
    </row>
    <row r="16" spans="1:44" ht="16.149999999999999" customHeight="1">
      <c r="A16" s="18">
        <v>14</v>
      </c>
      <c r="B16" s="13">
        <v>90026071</v>
      </c>
      <c r="C16" s="10" t="s">
        <v>98</v>
      </c>
      <c r="D16" s="10" t="s">
        <v>99</v>
      </c>
      <c r="E16" s="10" t="s">
        <v>46</v>
      </c>
      <c r="F16" s="10" t="s">
        <v>74</v>
      </c>
      <c r="G16" s="11" t="s">
        <v>61</v>
      </c>
      <c r="H16" s="12" t="s">
        <v>100</v>
      </c>
      <c r="I16" s="23"/>
      <c r="J16" s="23"/>
      <c r="K16" s="23"/>
      <c r="L16" s="23"/>
      <c r="M16" s="23"/>
      <c r="N16" s="23"/>
      <c r="O16" s="23"/>
      <c r="P16" s="16"/>
      <c r="Q16" s="18">
        <v>3</v>
      </c>
      <c r="R16" s="18"/>
      <c r="S16" s="18"/>
      <c r="T16" s="23">
        <v>4</v>
      </c>
      <c r="U16" s="23"/>
      <c r="V16" s="26"/>
      <c r="W16" s="23"/>
      <c r="X16" s="28"/>
      <c r="Y16" s="18">
        <v>8</v>
      </c>
      <c r="Z16" s="18"/>
      <c r="AA16" s="18"/>
      <c r="AB16" s="23"/>
      <c r="AC16" s="23"/>
      <c r="AD16" s="23"/>
      <c r="AE16" s="23"/>
      <c r="AF16" s="26"/>
      <c r="AG16" s="26"/>
      <c r="AH16" s="26"/>
      <c r="AI16" s="18"/>
      <c r="AJ16" s="18"/>
      <c r="AK16" s="18"/>
      <c r="AL16" s="18"/>
      <c r="AM16" s="28"/>
      <c r="AN16" s="28"/>
      <c r="AO16" s="28"/>
      <c r="AP16" s="13"/>
      <c r="AQ16" s="13"/>
      <c r="AR16" s="86">
        <f t="shared" si="0"/>
        <v>15</v>
      </c>
    </row>
    <row r="17" spans="1:44" ht="16.149999999999999" customHeight="1">
      <c r="A17" s="18">
        <v>15</v>
      </c>
      <c r="B17" s="13">
        <v>90026682</v>
      </c>
      <c r="C17" s="10" t="s">
        <v>101</v>
      </c>
      <c r="D17" s="10" t="s">
        <v>102</v>
      </c>
      <c r="E17" s="10" t="s">
        <v>46</v>
      </c>
      <c r="F17" s="10" t="s">
        <v>74</v>
      </c>
      <c r="G17" s="11" t="s">
        <v>103</v>
      </c>
      <c r="H17" s="12" t="s">
        <v>104</v>
      </c>
      <c r="I17" s="23"/>
      <c r="J17" s="23"/>
      <c r="K17" s="23"/>
      <c r="L17" s="23"/>
      <c r="M17" s="23"/>
      <c r="N17" s="23">
        <v>2</v>
      </c>
      <c r="O17" s="23">
        <v>4</v>
      </c>
      <c r="P17" s="16"/>
      <c r="Q17" s="18">
        <v>2</v>
      </c>
      <c r="R17" s="18"/>
      <c r="S17" s="18"/>
      <c r="T17" s="23"/>
      <c r="U17" s="23">
        <v>1</v>
      </c>
      <c r="V17" s="23">
        <v>1</v>
      </c>
      <c r="W17" s="23"/>
      <c r="X17" s="28"/>
      <c r="Y17" s="18"/>
      <c r="Z17" s="13"/>
      <c r="AA17" s="13"/>
      <c r="AB17" s="23"/>
      <c r="AC17" s="23"/>
      <c r="AD17" s="23"/>
      <c r="AE17" s="23"/>
      <c r="AF17" s="23"/>
      <c r="AG17" s="23">
        <v>2</v>
      </c>
      <c r="AH17" s="23"/>
      <c r="AI17" s="13"/>
      <c r="AJ17" s="13"/>
      <c r="AK17" s="13"/>
      <c r="AL17" s="13"/>
      <c r="AM17" s="28"/>
      <c r="AN17" s="28"/>
      <c r="AO17" s="28"/>
      <c r="AP17" s="13"/>
      <c r="AQ17" s="13"/>
      <c r="AR17" s="86">
        <f t="shared" si="0"/>
        <v>12</v>
      </c>
    </row>
    <row r="18" spans="1:44" s="22" customFormat="1" ht="16.149999999999999" customHeight="1">
      <c r="A18" s="18">
        <v>16</v>
      </c>
      <c r="B18" s="21">
        <v>80022348</v>
      </c>
      <c r="C18" s="41" t="s">
        <v>105</v>
      </c>
      <c r="D18" s="41" t="s">
        <v>106</v>
      </c>
      <c r="E18" s="41" t="s">
        <v>87</v>
      </c>
      <c r="F18" s="41" t="s">
        <v>74</v>
      </c>
      <c r="G18" s="42" t="s">
        <v>107</v>
      </c>
      <c r="H18" s="43" t="s">
        <v>108</v>
      </c>
      <c r="I18" s="24"/>
      <c r="J18" s="24"/>
      <c r="K18" s="24"/>
      <c r="L18" s="24"/>
      <c r="M18" s="24"/>
      <c r="N18" s="24">
        <v>2</v>
      </c>
      <c r="O18" s="24"/>
      <c r="P18" s="40"/>
      <c r="Q18" s="20">
        <v>3</v>
      </c>
      <c r="R18" s="20">
        <v>1.5</v>
      </c>
      <c r="S18" s="20"/>
      <c r="T18" s="24"/>
      <c r="U18" s="24"/>
      <c r="V18" s="24">
        <v>1</v>
      </c>
      <c r="W18" s="24"/>
      <c r="X18" s="29"/>
      <c r="Y18" s="20">
        <v>8</v>
      </c>
      <c r="Z18" s="20"/>
      <c r="AA18" s="20"/>
      <c r="AB18" s="24"/>
      <c r="AC18" s="24"/>
      <c r="AD18" s="24"/>
      <c r="AE18" s="24"/>
      <c r="AF18" s="24"/>
      <c r="AG18" s="24"/>
      <c r="AH18" s="24"/>
      <c r="AI18" s="20"/>
      <c r="AJ18" s="20"/>
      <c r="AK18" s="20"/>
      <c r="AL18" s="20"/>
      <c r="AM18" s="28"/>
      <c r="AN18" s="28"/>
      <c r="AO18" s="28"/>
      <c r="AP18" s="21"/>
      <c r="AQ18" s="21"/>
      <c r="AR18" s="86">
        <f t="shared" si="0"/>
        <v>15.5</v>
      </c>
    </row>
    <row r="19" spans="1:44" ht="16.149999999999999" customHeight="1">
      <c r="A19" s="18">
        <v>17</v>
      </c>
      <c r="B19" s="13">
        <v>80022351</v>
      </c>
      <c r="C19" s="10" t="s">
        <v>109</v>
      </c>
      <c r="D19" s="10" t="s">
        <v>78</v>
      </c>
      <c r="E19" s="10" t="s">
        <v>46</v>
      </c>
      <c r="F19" s="10" t="s">
        <v>74</v>
      </c>
      <c r="G19" s="11" t="s">
        <v>107</v>
      </c>
      <c r="H19" s="12" t="s">
        <v>110</v>
      </c>
      <c r="I19" s="23"/>
      <c r="J19" s="23"/>
      <c r="K19" s="23"/>
      <c r="L19" s="23"/>
      <c r="M19" s="23"/>
      <c r="N19" s="23"/>
      <c r="O19" s="23"/>
      <c r="P19" s="16"/>
      <c r="Q19" s="18">
        <v>3</v>
      </c>
      <c r="R19" s="18"/>
      <c r="S19" s="18"/>
      <c r="T19" s="23"/>
      <c r="U19" s="23">
        <v>1</v>
      </c>
      <c r="V19" s="23">
        <v>1</v>
      </c>
      <c r="W19" s="23"/>
      <c r="X19" s="28"/>
      <c r="Y19" s="18"/>
      <c r="Z19" s="18">
        <v>30</v>
      </c>
      <c r="AA19" s="18"/>
      <c r="AB19" s="23"/>
      <c r="AC19" s="23"/>
      <c r="AD19" s="23"/>
      <c r="AE19" s="23"/>
      <c r="AF19" s="23"/>
      <c r="AG19" s="23">
        <v>2</v>
      </c>
      <c r="AH19" s="23"/>
      <c r="AI19" s="18"/>
      <c r="AJ19" s="18"/>
      <c r="AK19" s="18">
        <v>6.5</v>
      </c>
      <c r="AL19" s="18"/>
      <c r="AM19" s="28"/>
      <c r="AN19" s="28"/>
      <c r="AO19" s="28"/>
      <c r="AP19" s="13"/>
      <c r="AQ19" s="13"/>
      <c r="AR19" s="86">
        <f t="shared" si="0"/>
        <v>43.5</v>
      </c>
    </row>
    <row r="20" spans="1:44" ht="16.149999999999999" customHeight="1">
      <c r="A20" s="18">
        <v>18</v>
      </c>
      <c r="B20" s="13">
        <v>80022352</v>
      </c>
      <c r="C20" s="10" t="s">
        <v>111</v>
      </c>
      <c r="D20" s="10" t="s">
        <v>106</v>
      </c>
      <c r="E20" s="10" t="s">
        <v>87</v>
      </c>
      <c r="F20" s="10" t="s">
        <v>74</v>
      </c>
      <c r="G20" s="11" t="s">
        <v>107</v>
      </c>
      <c r="H20" s="12" t="s">
        <v>112</v>
      </c>
      <c r="I20" s="23"/>
      <c r="J20" s="23"/>
      <c r="K20" s="23"/>
      <c r="L20" s="23"/>
      <c r="M20" s="23"/>
      <c r="N20" s="23">
        <v>2</v>
      </c>
      <c r="O20" s="23"/>
      <c r="P20" s="16"/>
      <c r="Q20" s="18">
        <v>3</v>
      </c>
      <c r="R20" s="18"/>
      <c r="S20" s="18"/>
      <c r="T20" s="23"/>
      <c r="U20" s="23">
        <v>1</v>
      </c>
      <c r="V20" s="23">
        <v>1</v>
      </c>
      <c r="W20" s="23"/>
      <c r="X20" s="28"/>
      <c r="Y20" s="18"/>
      <c r="Z20" s="18"/>
      <c r="AA20" s="18">
        <v>40</v>
      </c>
      <c r="AB20" s="23"/>
      <c r="AC20" s="23"/>
      <c r="AD20" s="23"/>
      <c r="AE20" s="23"/>
      <c r="AF20" s="23"/>
      <c r="AG20" s="23"/>
      <c r="AH20" s="23"/>
      <c r="AI20" s="18"/>
      <c r="AJ20" s="18"/>
      <c r="AK20" s="18"/>
      <c r="AL20" s="18"/>
      <c r="AM20" s="28"/>
      <c r="AN20" s="28"/>
      <c r="AO20" s="28"/>
      <c r="AP20" s="13"/>
      <c r="AQ20" s="13"/>
      <c r="AR20" s="86">
        <f t="shared" si="0"/>
        <v>47</v>
      </c>
    </row>
    <row r="21" spans="1:44" s="22" customFormat="1" ht="16.149999999999999" customHeight="1">
      <c r="A21" s="18">
        <v>19</v>
      </c>
      <c r="B21" s="21">
        <v>80022353</v>
      </c>
      <c r="C21" s="41" t="s">
        <v>113</v>
      </c>
      <c r="D21" s="41" t="s">
        <v>78</v>
      </c>
      <c r="E21" s="41" t="s">
        <v>46</v>
      </c>
      <c r="F21" s="41" t="s">
        <v>74</v>
      </c>
      <c r="G21" s="42" t="s">
        <v>107</v>
      </c>
      <c r="H21" s="43" t="s">
        <v>114</v>
      </c>
      <c r="I21" s="24"/>
      <c r="J21" s="24"/>
      <c r="K21" s="24"/>
      <c r="L21" s="24"/>
      <c r="M21" s="24"/>
      <c r="N21" s="24"/>
      <c r="O21" s="24"/>
      <c r="P21" s="40"/>
      <c r="Q21" s="20">
        <v>3</v>
      </c>
      <c r="R21" s="20"/>
      <c r="S21" s="20"/>
      <c r="T21" s="24"/>
      <c r="U21" s="24">
        <v>1</v>
      </c>
      <c r="V21" s="24">
        <v>1</v>
      </c>
      <c r="W21" s="24"/>
      <c r="X21" s="29"/>
      <c r="Y21" s="20"/>
      <c r="Z21" s="21"/>
      <c r="AA21" s="21"/>
      <c r="AB21" s="24"/>
      <c r="AC21" s="24"/>
      <c r="AD21" s="24"/>
      <c r="AE21" s="24"/>
      <c r="AF21" s="24"/>
      <c r="AG21" s="24"/>
      <c r="AH21" s="24"/>
      <c r="AI21" s="21"/>
      <c r="AJ21" s="21"/>
      <c r="AK21" s="21"/>
      <c r="AL21" s="21"/>
      <c r="AM21" s="28"/>
      <c r="AN21" s="28"/>
      <c r="AO21" s="28"/>
      <c r="AP21" s="21"/>
      <c r="AQ21" s="21"/>
      <c r="AR21" s="86">
        <f t="shared" si="0"/>
        <v>5</v>
      </c>
    </row>
    <row r="22" spans="1:44" ht="16.149999999999999" customHeight="1">
      <c r="A22" s="18">
        <v>20</v>
      </c>
      <c r="B22" s="13">
        <v>90023983</v>
      </c>
      <c r="C22" s="10" t="s">
        <v>115</v>
      </c>
      <c r="D22" s="10" t="s">
        <v>99</v>
      </c>
      <c r="E22" s="10" t="s">
        <v>46</v>
      </c>
      <c r="F22" s="10" t="s">
        <v>74</v>
      </c>
      <c r="G22" s="11" t="s">
        <v>79</v>
      </c>
      <c r="H22" s="12" t="s">
        <v>116</v>
      </c>
      <c r="I22" s="23"/>
      <c r="J22" s="23"/>
      <c r="K22" s="23"/>
      <c r="L22" s="23"/>
      <c r="M22" s="23"/>
      <c r="N22" s="23"/>
      <c r="O22" s="23"/>
      <c r="P22" s="16"/>
      <c r="Q22" s="18">
        <v>3</v>
      </c>
      <c r="R22" s="18">
        <v>1.5</v>
      </c>
      <c r="S22" s="18"/>
      <c r="T22" s="23"/>
      <c r="U22" s="23">
        <v>1</v>
      </c>
      <c r="V22" s="23">
        <v>1</v>
      </c>
      <c r="W22" s="23">
        <v>8</v>
      </c>
      <c r="X22" s="28"/>
      <c r="Y22" s="18">
        <v>8</v>
      </c>
      <c r="Z22" s="18"/>
      <c r="AA22" s="18"/>
      <c r="AB22" s="23"/>
      <c r="AC22" s="23"/>
      <c r="AD22" s="23"/>
      <c r="AE22" s="23"/>
      <c r="AF22" s="23"/>
      <c r="AG22" s="23"/>
      <c r="AH22" s="23"/>
      <c r="AI22" s="18"/>
      <c r="AJ22" s="18">
        <v>2.5</v>
      </c>
      <c r="AK22" s="18"/>
      <c r="AL22" s="18"/>
      <c r="AM22" s="28"/>
      <c r="AN22" s="28"/>
      <c r="AO22" s="28"/>
      <c r="AP22" s="13"/>
      <c r="AQ22" s="13"/>
      <c r="AR22" s="86">
        <f t="shared" si="0"/>
        <v>25</v>
      </c>
    </row>
    <row r="23" spans="1:44" s="22" customFormat="1" ht="16.149999999999999" customHeight="1">
      <c r="A23" s="18">
        <v>21</v>
      </c>
      <c r="B23" s="21">
        <v>90024238</v>
      </c>
      <c r="C23" s="41" t="s">
        <v>117</v>
      </c>
      <c r="D23" s="41" t="s">
        <v>118</v>
      </c>
      <c r="E23" s="41" t="s">
        <v>87</v>
      </c>
      <c r="F23" s="41" t="s">
        <v>119</v>
      </c>
      <c r="G23" s="42" t="s">
        <v>120</v>
      </c>
      <c r="H23" s="43" t="s">
        <v>121</v>
      </c>
      <c r="I23" s="24"/>
      <c r="J23" s="24"/>
      <c r="K23" s="24"/>
      <c r="L23" s="24"/>
      <c r="M23" s="24">
        <v>3</v>
      </c>
      <c r="N23" s="24">
        <v>2</v>
      </c>
      <c r="O23" s="24"/>
      <c r="P23" s="40"/>
      <c r="Q23" s="20">
        <v>3</v>
      </c>
      <c r="R23" s="20"/>
      <c r="S23" s="20"/>
      <c r="T23" s="24">
        <v>4</v>
      </c>
      <c r="U23" s="24"/>
      <c r="V23" s="24">
        <v>1</v>
      </c>
      <c r="W23" s="24"/>
      <c r="X23" s="29"/>
      <c r="Y23" s="20">
        <v>8</v>
      </c>
      <c r="Z23" s="20"/>
      <c r="AA23" s="20"/>
      <c r="AB23" s="24"/>
      <c r="AC23" s="24"/>
      <c r="AD23" s="24"/>
      <c r="AE23" s="24"/>
      <c r="AF23" s="24"/>
      <c r="AG23" s="24"/>
      <c r="AH23" s="24"/>
      <c r="AI23" s="20"/>
      <c r="AJ23" s="20"/>
      <c r="AK23" s="20"/>
      <c r="AL23" s="20"/>
      <c r="AM23" s="28"/>
      <c r="AN23" s="28"/>
      <c r="AO23" s="28"/>
      <c r="AP23" s="21"/>
      <c r="AQ23" s="21"/>
      <c r="AR23" s="86">
        <f t="shared" si="0"/>
        <v>21</v>
      </c>
    </row>
    <row r="24" spans="1:44" s="22" customFormat="1" ht="16.149999999999999" customHeight="1">
      <c r="A24" s="18">
        <v>22</v>
      </c>
      <c r="B24" s="21">
        <v>90024297</v>
      </c>
      <c r="C24" s="41" t="s">
        <v>122</v>
      </c>
      <c r="D24" s="41" t="s">
        <v>118</v>
      </c>
      <c r="E24" s="41" t="s">
        <v>87</v>
      </c>
      <c r="F24" s="41" t="s">
        <v>119</v>
      </c>
      <c r="G24" s="42" t="s">
        <v>123</v>
      </c>
      <c r="H24" s="43" t="s">
        <v>124</v>
      </c>
      <c r="I24" s="24"/>
      <c r="J24" s="24"/>
      <c r="K24" s="24"/>
      <c r="L24" s="24"/>
      <c r="M24" s="24"/>
      <c r="N24" s="24">
        <v>2</v>
      </c>
      <c r="O24" s="24"/>
      <c r="P24" s="40"/>
      <c r="Q24" s="20">
        <v>3</v>
      </c>
      <c r="R24" s="20"/>
      <c r="S24" s="20"/>
      <c r="T24" s="24"/>
      <c r="U24" s="24"/>
      <c r="V24" s="24">
        <v>1</v>
      </c>
      <c r="W24" s="24"/>
      <c r="X24" s="29"/>
      <c r="Y24" s="20"/>
      <c r="Z24" s="21"/>
      <c r="AA24" s="21"/>
      <c r="AB24" s="24"/>
      <c r="AC24" s="24"/>
      <c r="AD24" s="24"/>
      <c r="AE24" s="24"/>
      <c r="AF24" s="24"/>
      <c r="AG24" s="24"/>
      <c r="AH24" s="24"/>
      <c r="AI24" s="21"/>
      <c r="AJ24" s="21"/>
      <c r="AK24" s="21"/>
      <c r="AL24" s="21"/>
      <c r="AM24" s="28"/>
      <c r="AN24" s="28"/>
      <c r="AO24" s="28"/>
      <c r="AP24" s="21"/>
      <c r="AQ24" s="21"/>
      <c r="AR24" s="86">
        <f t="shared" si="0"/>
        <v>6</v>
      </c>
    </row>
    <row r="25" spans="1:44" s="22" customFormat="1" ht="16.149999999999999" customHeight="1">
      <c r="A25" s="18">
        <v>23</v>
      </c>
      <c r="B25" s="21">
        <v>90026119</v>
      </c>
      <c r="C25" s="41" t="s">
        <v>125</v>
      </c>
      <c r="D25" s="41" t="s">
        <v>126</v>
      </c>
      <c r="E25" s="41" t="s">
        <v>87</v>
      </c>
      <c r="F25" s="41" t="s">
        <v>119</v>
      </c>
      <c r="G25" s="42" t="s">
        <v>127</v>
      </c>
      <c r="H25" s="43" t="s">
        <v>128</v>
      </c>
      <c r="I25" s="24"/>
      <c r="J25" s="24"/>
      <c r="K25" s="24"/>
      <c r="L25" s="24"/>
      <c r="M25" s="24">
        <v>3</v>
      </c>
      <c r="N25" s="24">
        <v>2</v>
      </c>
      <c r="O25" s="24"/>
      <c r="P25" s="40"/>
      <c r="Q25" s="20">
        <v>3</v>
      </c>
      <c r="R25" s="20"/>
      <c r="S25" s="20"/>
      <c r="T25" s="24"/>
      <c r="U25" s="24"/>
      <c r="V25" s="44"/>
      <c r="W25" s="24"/>
      <c r="X25" s="29"/>
      <c r="Y25" s="20"/>
      <c r="Z25" s="21"/>
      <c r="AA25" s="21"/>
      <c r="AB25" s="24"/>
      <c r="AC25" s="24"/>
      <c r="AD25" s="24"/>
      <c r="AE25" s="24"/>
      <c r="AF25" s="44"/>
      <c r="AG25" s="44"/>
      <c r="AH25" s="44"/>
      <c r="AI25" s="21"/>
      <c r="AJ25" s="21"/>
      <c r="AK25" s="21"/>
      <c r="AL25" s="21"/>
      <c r="AM25" s="28"/>
      <c r="AN25" s="28"/>
      <c r="AO25" s="28"/>
      <c r="AP25" s="21"/>
      <c r="AQ25" s="21"/>
      <c r="AR25" s="86">
        <f t="shared" si="0"/>
        <v>8</v>
      </c>
    </row>
    <row r="26" spans="1:44" ht="16.149999999999999" customHeight="1">
      <c r="A26" s="18">
        <v>24</v>
      </c>
      <c r="B26" s="13">
        <v>90025922</v>
      </c>
      <c r="C26" s="10" t="s">
        <v>129</v>
      </c>
      <c r="D26" s="10" t="s">
        <v>130</v>
      </c>
      <c r="E26" s="10" t="s">
        <v>46</v>
      </c>
      <c r="F26" s="10" t="s">
        <v>131</v>
      </c>
      <c r="G26" s="11" t="s">
        <v>132</v>
      </c>
      <c r="H26" s="12" t="s">
        <v>133</v>
      </c>
      <c r="I26" s="23"/>
      <c r="J26" s="23"/>
      <c r="K26" s="23"/>
      <c r="L26" s="23"/>
      <c r="M26" s="23">
        <v>3</v>
      </c>
      <c r="N26" s="23"/>
      <c r="O26" s="23">
        <v>4</v>
      </c>
      <c r="P26" s="16"/>
      <c r="Q26" s="18">
        <v>3</v>
      </c>
      <c r="R26" s="18"/>
      <c r="S26" s="18"/>
      <c r="T26" s="23">
        <v>4</v>
      </c>
      <c r="U26" s="23">
        <v>1</v>
      </c>
      <c r="V26" s="23">
        <v>1</v>
      </c>
      <c r="W26" s="23"/>
      <c r="X26" s="28"/>
      <c r="Y26" s="18">
        <v>8</v>
      </c>
      <c r="Z26" s="18"/>
      <c r="AA26" s="18"/>
      <c r="AB26" s="23"/>
      <c r="AC26" s="23"/>
      <c r="AD26" s="23"/>
      <c r="AE26" s="23"/>
      <c r="AF26" s="23"/>
      <c r="AG26" s="23"/>
      <c r="AH26" s="23"/>
      <c r="AI26" s="18"/>
      <c r="AJ26" s="18">
        <v>2.5</v>
      </c>
      <c r="AK26" s="18"/>
      <c r="AL26" s="18"/>
      <c r="AM26" s="28"/>
      <c r="AN26" s="28"/>
      <c r="AO26" s="28"/>
      <c r="AP26" s="13"/>
      <c r="AQ26" s="13"/>
      <c r="AR26" s="86">
        <f t="shared" si="0"/>
        <v>26.5</v>
      </c>
    </row>
    <row r="27" spans="1:44" ht="16.149999999999999" customHeight="1">
      <c r="A27" s="18">
        <v>25</v>
      </c>
      <c r="B27" s="13">
        <v>90026553</v>
      </c>
      <c r="C27" s="10" t="s">
        <v>134</v>
      </c>
      <c r="D27" s="10" t="s">
        <v>135</v>
      </c>
      <c r="E27" s="10" t="s">
        <v>46</v>
      </c>
      <c r="F27" s="10" t="s">
        <v>131</v>
      </c>
      <c r="G27" s="11" t="s">
        <v>136</v>
      </c>
      <c r="H27" s="12" t="s">
        <v>137</v>
      </c>
      <c r="I27" s="23"/>
      <c r="J27" s="23"/>
      <c r="K27" s="23"/>
      <c r="L27" s="23"/>
      <c r="M27" s="23"/>
      <c r="N27" s="23"/>
      <c r="O27" s="23"/>
      <c r="P27" s="16"/>
      <c r="Q27" s="18">
        <v>2</v>
      </c>
      <c r="R27" s="18"/>
      <c r="S27" s="18"/>
      <c r="T27" s="23"/>
      <c r="U27" s="23"/>
      <c r="V27" s="26"/>
      <c r="W27" s="23"/>
      <c r="X27" s="28"/>
      <c r="Y27" s="18"/>
      <c r="Z27" s="13"/>
      <c r="AA27" s="13"/>
      <c r="AB27" s="23"/>
      <c r="AC27" s="23"/>
      <c r="AD27" s="23"/>
      <c r="AE27" s="23"/>
      <c r="AF27" s="26"/>
      <c r="AG27" s="26"/>
      <c r="AH27" s="26"/>
      <c r="AI27" s="13"/>
      <c r="AJ27" s="13"/>
      <c r="AK27" s="13"/>
      <c r="AL27" s="13"/>
      <c r="AM27" s="28"/>
      <c r="AN27" s="28"/>
      <c r="AO27" s="28"/>
      <c r="AP27" s="13"/>
      <c r="AQ27" s="13"/>
      <c r="AR27" s="86">
        <f t="shared" si="0"/>
        <v>2</v>
      </c>
    </row>
    <row r="28" spans="1:44" ht="16.149999999999999" customHeight="1">
      <c r="A28" s="18">
        <v>26</v>
      </c>
      <c r="B28" s="39">
        <v>90023978</v>
      </c>
      <c r="C28" s="10" t="s">
        <v>138</v>
      </c>
      <c r="D28" s="10" t="s">
        <v>139</v>
      </c>
      <c r="E28" s="10" t="s">
        <v>87</v>
      </c>
      <c r="F28" s="10" t="s">
        <v>140</v>
      </c>
      <c r="G28" s="11" t="s">
        <v>79</v>
      </c>
      <c r="H28" s="12" t="s">
        <v>141</v>
      </c>
      <c r="I28" s="23"/>
      <c r="J28" s="23"/>
      <c r="K28" s="23"/>
      <c r="L28" s="23"/>
      <c r="M28" s="23"/>
      <c r="N28" s="23"/>
      <c r="O28" s="23"/>
      <c r="P28" s="16"/>
      <c r="Q28" s="18">
        <v>3</v>
      </c>
      <c r="R28" s="18">
        <v>1.5</v>
      </c>
      <c r="S28" s="18"/>
      <c r="T28" s="23"/>
      <c r="U28" s="23">
        <v>1</v>
      </c>
      <c r="V28" s="23">
        <v>1</v>
      </c>
      <c r="W28" s="23"/>
      <c r="X28" s="28"/>
      <c r="Y28" s="18"/>
      <c r="Z28" s="13"/>
      <c r="AA28" s="13"/>
      <c r="AB28" s="23"/>
      <c r="AC28" s="23"/>
      <c r="AD28" s="23"/>
      <c r="AE28" s="23"/>
      <c r="AF28" s="23"/>
      <c r="AG28" s="23"/>
      <c r="AH28" s="23"/>
      <c r="AI28" s="13"/>
      <c r="AJ28" s="13"/>
      <c r="AK28" s="13"/>
      <c r="AL28" s="13"/>
      <c r="AM28" s="28"/>
      <c r="AN28" s="28"/>
      <c r="AO28" s="28"/>
      <c r="AP28" s="13"/>
      <c r="AQ28" s="13"/>
      <c r="AR28" s="86">
        <f t="shared" si="0"/>
        <v>6.5</v>
      </c>
    </row>
    <row r="29" spans="1:44" ht="16.149999999999999" customHeight="1">
      <c r="A29" s="18">
        <v>27</v>
      </c>
      <c r="B29" s="13">
        <v>90024361</v>
      </c>
      <c r="C29" s="10" t="s">
        <v>142</v>
      </c>
      <c r="D29" s="10" t="s">
        <v>143</v>
      </c>
      <c r="E29" s="10" t="s">
        <v>46</v>
      </c>
      <c r="F29" s="10" t="s">
        <v>140</v>
      </c>
      <c r="G29" s="11" t="s">
        <v>88</v>
      </c>
      <c r="H29" s="12" t="s">
        <v>144</v>
      </c>
      <c r="I29" s="23"/>
      <c r="J29" s="23"/>
      <c r="K29" s="23"/>
      <c r="L29" s="23"/>
      <c r="M29" s="23"/>
      <c r="N29" s="23"/>
      <c r="O29" s="23"/>
      <c r="P29" s="16"/>
      <c r="Q29" s="18">
        <v>3</v>
      </c>
      <c r="R29" s="18"/>
      <c r="S29" s="18"/>
      <c r="T29" s="23"/>
      <c r="U29" s="23">
        <v>1</v>
      </c>
      <c r="V29" s="23">
        <v>1</v>
      </c>
      <c r="W29" s="23"/>
      <c r="X29" s="28"/>
      <c r="Y29" s="18">
        <v>8</v>
      </c>
      <c r="Z29" s="18"/>
      <c r="AA29" s="18"/>
      <c r="AB29" s="23"/>
      <c r="AC29" s="23"/>
      <c r="AD29" s="23"/>
      <c r="AE29" s="23"/>
      <c r="AF29" s="23"/>
      <c r="AG29" s="23"/>
      <c r="AH29" s="23"/>
      <c r="AI29" s="18"/>
      <c r="AJ29" s="18"/>
      <c r="AK29" s="18"/>
      <c r="AL29" s="18"/>
      <c r="AM29" s="28"/>
      <c r="AN29" s="28"/>
      <c r="AO29" s="28"/>
      <c r="AP29" s="13"/>
      <c r="AQ29" s="13"/>
      <c r="AR29" s="86">
        <f t="shared" si="0"/>
        <v>13</v>
      </c>
    </row>
    <row r="30" spans="1:44" ht="16.149999999999999" customHeight="1">
      <c r="A30" s="18">
        <v>28</v>
      </c>
      <c r="B30" s="13">
        <v>90024384</v>
      </c>
      <c r="C30" s="10" t="s">
        <v>145</v>
      </c>
      <c r="D30" s="10" t="s">
        <v>146</v>
      </c>
      <c r="E30" s="10" t="s">
        <v>46</v>
      </c>
      <c r="F30" s="10" t="s">
        <v>140</v>
      </c>
      <c r="G30" s="11" t="s">
        <v>147</v>
      </c>
      <c r="H30" s="12" t="s">
        <v>148</v>
      </c>
      <c r="I30" s="23"/>
      <c r="J30" s="23"/>
      <c r="K30" s="23"/>
      <c r="L30" s="23"/>
      <c r="M30" s="23"/>
      <c r="N30" s="23"/>
      <c r="O30" s="23"/>
      <c r="P30" s="16"/>
      <c r="Q30" s="18">
        <v>3</v>
      </c>
      <c r="R30" s="18"/>
      <c r="S30" s="18"/>
      <c r="T30" s="23"/>
      <c r="U30" s="23">
        <v>1</v>
      </c>
      <c r="V30" s="23">
        <v>1</v>
      </c>
      <c r="W30" s="23"/>
      <c r="X30" s="28"/>
      <c r="Y30" s="18"/>
      <c r="Z30" s="13"/>
      <c r="AA30" s="13"/>
      <c r="AB30" s="23"/>
      <c r="AC30" s="23"/>
      <c r="AD30" s="23"/>
      <c r="AE30" s="23"/>
      <c r="AF30" s="23"/>
      <c r="AG30" s="23">
        <v>2</v>
      </c>
      <c r="AH30" s="23"/>
      <c r="AI30" s="13"/>
      <c r="AJ30" s="13"/>
      <c r="AK30" s="13"/>
      <c r="AL30" s="13"/>
      <c r="AM30" s="28"/>
      <c r="AN30" s="28"/>
      <c r="AO30" s="28"/>
      <c r="AP30" s="13"/>
      <c r="AQ30" s="13"/>
      <c r="AR30" s="86">
        <f t="shared" si="0"/>
        <v>7</v>
      </c>
    </row>
    <row r="31" spans="1:44" ht="16.149999999999999" customHeight="1">
      <c r="A31" s="18">
        <v>29</v>
      </c>
      <c r="B31" s="13">
        <v>90024528</v>
      </c>
      <c r="C31" s="10" t="s">
        <v>149</v>
      </c>
      <c r="D31" s="10" t="s">
        <v>150</v>
      </c>
      <c r="E31" s="10" t="s">
        <v>87</v>
      </c>
      <c r="F31" s="10" t="s">
        <v>140</v>
      </c>
      <c r="G31" s="11" t="s">
        <v>151</v>
      </c>
      <c r="H31" s="12" t="s">
        <v>152</v>
      </c>
      <c r="I31" s="23"/>
      <c r="J31" s="23"/>
      <c r="K31" s="23"/>
      <c r="L31" s="23"/>
      <c r="M31" s="23"/>
      <c r="N31" s="23">
        <v>2</v>
      </c>
      <c r="O31" s="23"/>
      <c r="P31" s="16"/>
      <c r="Q31" s="18">
        <v>3</v>
      </c>
      <c r="R31" s="18"/>
      <c r="S31" s="18"/>
      <c r="T31" s="23"/>
      <c r="U31" s="23">
        <v>1</v>
      </c>
      <c r="V31" s="23">
        <v>1</v>
      </c>
      <c r="W31" s="23"/>
      <c r="X31" s="28">
        <v>1.5</v>
      </c>
      <c r="Y31" s="18"/>
      <c r="Z31" s="13"/>
      <c r="AA31" s="13"/>
      <c r="AB31" s="23"/>
      <c r="AC31" s="23"/>
      <c r="AD31" s="23"/>
      <c r="AE31" s="23"/>
      <c r="AF31" s="23"/>
      <c r="AG31" s="23">
        <v>2</v>
      </c>
      <c r="AH31" s="23"/>
      <c r="AI31" s="13"/>
      <c r="AJ31" s="13"/>
      <c r="AK31" s="13"/>
      <c r="AL31" s="13"/>
      <c r="AM31" s="28"/>
      <c r="AN31" s="28"/>
      <c r="AO31" s="28"/>
      <c r="AP31" s="13"/>
      <c r="AQ31" s="13"/>
      <c r="AR31" s="86">
        <f t="shared" si="0"/>
        <v>10.5</v>
      </c>
    </row>
    <row r="32" spans="1:44" ht="16.149999999999999" customHeight="1">
      <c r="A32" s="18">
        <v>30</v>
      </c>
      <c r="B32" s="13">
        <v>90026440</v>
      </c>
      <c r="C32" s="10" t="s">
        <v>153</v>
      </c>
      <c r="D32" s="10" t="s">
        <v>154</v>
      </c>
      <c r="E32" s="10" t="s">
        <v>87</v>
      </c>
      <c r="F32" s="10" t="s">
        <v>140</v>
      </c>
      <c r="G32" s="11" t="s">
        <v>155</v>
      </c>
      <c r="H32" s="12" t="s">
        <v>156</v>
      </c>
      <c r="I32" s="23"/>
      <c r="J32" s="23"/>
      <c r="K32" s="23"/>
      <c r="L32" s="23"/>
      <c r="M32" s="23"/>
      <c r="N32" s="25">
        <v>2</v>
      </c>
      <c r="O32" s="23">
        <v>4</v>
      </c>
      <c r="P32" s="16"/>
      <c r="Q32" s="18">
        <v>2</v>
      </c>
      <c r="R32" s="18"/>
      <c r="S32" s="18"/>
      <c r="T32" s="23"/>
      <c r="U32" s="23">
        <v>1</v>
      </c>
      <c r="V32" s="23">
        <v>1</v>
      </c>
      <c r="W32" s="23"/>
      <c r="X32" s="28">
        <v>1.5</v>
      </c>
      <c r="Y32" s="18"/>
      <c r="Z32" s="13"/>
      <c r="AA32" s="13"/>
      <c r="AB32" s="23"/>
      <c r="AC32" s="23"/>
      <c r="AD32" s="23"/>
      <c r="AE32" s="23"/>
      <c r="AF32" s="23"/>
      <c r="AG32" s="23"/>
      <c r="AH32" s="23"/>
      <c r="AI32" s="13"/>
      <c r="AJ32" s="13"/>
      <c r="AK32" s="13"/>
      <c r="AL32" s="13"/>
      <c r="AM32" s="28"/>
      <c r="AN32" s="28"/>
      <c r="AO32" s="28"/>
      <c r="AP32" s="13"/>
      <c r="AQ32" s="13"/>
      <c r="AR32" s="86">
        <f t="shared" si="0"/>
        <v>11.5</v>
      </c>
    </row>
    <row r="33" spans="1:44" s="22" customFormat="1" ht="16.149999999999999" customHeight="1">
      <c r="A33" s="18">
        <v>31</v>
      </c>
      <c r="B33" s="21">
        <v>90027057</v>
      </c>
      <c r="C33" s="41" t="s">
        <v>157</v>
      </c>
      <c r="D33" s="41" t="s">
        <v>158</v>
      </c>
      <c r="E33" s="41" t="s">
        <v>87</v>
      </c>
      <c r="F33" s="41" t="s">
        <v>159</v>
      </c>
      <c r="G33" s="42" t="s">
        <v>160</v>
      </c>
      <c r="H33" s="43" t="s">
        <v>161</v>
      </c>
      <c r="I33" s="24"/>
      <c r="J33" s="24"/>
      <c r="K33" s="24"/>
      <c r="L33" s="24"/>
      <c r="M33" s="24"/>
      <c r="N33" s="24">
        <v>2</v>
      </c>
      <c r="O33" s="24">
        <v>4</v>
      </c>
      <c r="P33" s="40"/>
      <c r="Q33" s="20">
        <v>2</v>
      </c>
      <c r="R33" s="20"/>
      <c r="S33" s="20"/>
      <c r="T33" s="24"/>
      <c r="U33" s="24">
        <v>1</v>
      </c>
      <c r="V33" s="24">
        <v>1</v>
      </c>
      <c r="W33" s="24"/>
      <c r="X33" s="29"/>
      <c r="Y33" s="20"/>
      <c r="Z33" s="21"/>
      <c r="AA33" s="21"/>
      <c r="AB33" s="24"/>
      <c r="AC33" s="24"/>
      <c r="AD33" s="24">
        <v>1</v>
      </c>
      <c r="AE33" s="24"/>
      <c r="AF33" s="24"/>
      <c r="AG33" s="23">
        <v>2</v>
      </c>
      <c r="AH33" s="24"/>
      <c r="AI33" s="21"/>
      <c r="AJ33" s="21"/>
      <c r="AK33" s="21"/>
      <c r="AL33" s="21"/>
      <c r="AM33" s="28"/>
      <c r="AN33" s="28"/>
      <c r="AO33" s="28"/>
      <c r="AP33" s="21"/>
      <c r="AQ33" s="21">
        <v>8</v>
      </c>
      <c r="AR33" s="86">
        <f t="shared" si="0"/>
        <v>21</v>
      </c>
    </row>
    <row r="34" spans="1:44" ht="16.149999999999999" customHeight="1">
      <c r="A34" s="18">
        <v>32</v>
      </c>
      <c r="B34" s="13">
        <v>80021050</v>
      </c>
      <c r="C34" s="10" t="s">
        <v>162</v>
      </c>
      <c r="D34" s="10" t="s">
        <v>163</v>
      </c>
      <c r="E34" s="10" t="s">
        <v>46</v>
      </c>
      <c r="F34" s="10" t="s">
        <v>159</v>
      </c>
      <c r="G34" s="11" t="s">
        <v>52</v>
      </c>
      <c r="H34" s="12" t="s">
        <v>164</v>
      </c>
      <c r="I34" s="23"/>
      <c r="J34" s="23"/>
      <c r="K34" s="23"/>
      <c r="L34" s="23">
        <v>1</v>
      </c>
      <c r="M34" s="23"/>
      <c r="N34" s="23">
        <v>2</v>
      </c>
      <c r="O34" s="23">
        <v>4</v>
      </c>
      <c r="P34" s="16"/>
      <c r="Q34" s="18">
        <v>3</v>
      </c>
      <c r="R34" s="18"/>
      <c r="S34" s="18"/>
      <c r="T34" s="23"/>
      <c r="U34" s="23">
        <v>1</v>
      </c>
      <c r="V34" s="23">
        <v>1</v>
      </c>
      <c r="W34" s="23"/>
      <c r="X34" s="28"/>
      <c r="Y34" s="18"/>
      <c r="Z34" s="13"/>
      <c r="AA34" s="13"/>
      <c r="AB34" s="23"/>
      <c r="AC34" s="23"/>
      <c r="AD34" s="23">
        <v>1</v>
      </c>
      <c r="AE34" s="23"/>
      <c r="AF34" s="23"/>
      <c r="AG34" s="23">
        <v>2</v>
      </c>
      <c r="AH34" s="23"/>
      <c r="AI34" s="13"/>
      <c r="AJ34" s="13"/>
      <c r="AK34" s="13"/>
      <c r="AL34" s="13"/>
      <c r="AM34" s="28"/>
      <c r="AN34" s="28"/>
      <c r="AO34" s="28"/>
      <c r="AP34" s="13"/>
      <c r="AQ34" s="13">
        <v>8</v>
      </c>
      <c r="AR34" s="86">
        <f>SUM(I34:AQ34)</f>
        <v>23</v>
      </c>
    </row>
    <row r="35" spans="1:44" ht="16.149999999999999" customHeight="1">
      <c r="A35" s="18">
        <v>33</v>
      </c>
      <c r="B35" s="13">
        <v>90024806</v>
      </c>
      <c r="C35" s="10" t="s">
        <v>165</v>
      </c>
      <c r="D35" s="10" t="s">
        <v>166</v>
      </c>
      <c r="E35" s="10" t="s">
        <v>87</v>
      </c>
      <c r="F35" s="10" t="s">
        <v>159</v>
      </c>
      <c r="G35" s="11" t="s">
        <v>167</v>
      </c>
      <c r="H35" s="12" t="s">
        <v>168</v>
      </c>
      <c r="I35" s="23"/>
      <c r="J35" s="23"/>
      <c r="K35" s="23"/>
      <c r="L35" s="23"/>
      <c r="M35" s="23">
        <v>3</v>
      </c>
      <c r="N35" s="23">
        <v>2</v>
      </c>
      <c r="O35" s="23">
        <v>4</v>
      </c>
      <c r="P35" s="16"/>
      <c r="Q35" s="18">
        <v>3</v>
      </c>
      <c r="R35" s="18"/>
      <c r="S35" s="18"/>
      <c r="T35" s="23">
        <v>4</v>
      </c>
      <c r="U35" s="23">
        <v>1</v>
      </c>
      <c r="V35" s="23">
        <v>1</v>
      </c>
      <c r="W35" s="23"/>
      <c r="X35" s="28"/>
      <c r="Y35" s="18">
        <v>8</v>
      </c>
      <c r="Z35" s="18"/>
      <c r="AA35" s="18"/>
      <c r="AB35" s="23"/>
      <c r="AC35" s="23"/>
      <c r="AD35" s="23"/>
      <c r="AE35" s="23"/>
      <c r="AF35" s="23"/>
      <c r="AG35" s="23"/>
      <c r="AH35" s="23"/>
      <c r="AI35" s="18"/>
      <c r="AJ35" s="18"/>
      <c r="AK35" s="18"/>
      <c r="AL35" s="18"/>
      <c r="AM35" s="28"/>
      <c r="AN35" s="28"/>
      <c r="AO35" s="28"/>
      <c r="AP35" s="13"/>
      <c r="AQ35" s="13"/>
      <c r="AR35" s="86">
        <f t="shared" si="0"/>
        <v>26</v>
      </c>
    </row>
    <row r="36" spans="1:44" ht="16.149999999999999" customHeight="1">
      <c r="A36" s="18">
        <v>34</v>
      </c>
      <c r="B36" s="13">
        <v>90026379</v>
      </c>
      <c r="C36" s="10" t="s">
        <v>169</v>
      </c>
      <c r="D36" s="10" t="s">
        <v>170</v>
      </c>
      <c r="E36" s="10" t="s">
        <v>46</v>
      </c>
      <c r="F36" s="10" t="s">
        <v>159</v>
      </c>
      <c r="G36" s="11" t="s">
        <v>171</v>
      </c>
      <c r="H36" s="12" t="s">
        <v>172</v>
      </c>
      <c r="I36" s="23"/>
      <c r="J36" s="23"/>
      <c r="K36" s="23"/>
      <c r="L36" s="23"/>
      <c r="M36" s="23"/>
      <c r="N36" s="23">
        <v>2</v>
      </c>
      <c r="O36" s="23">
        <v>4</v>
      </c>
      <c r="P36" s="16"/>
      <c r="Q36" s="18">
        <v>3</v>
      </c>
      <c r="R36" s="18"/>
      <c r="S36" s="18"/>
      <c r="T36" s="23"/>
      <c r="U36" s="23">
        <v>1</v>
      </c>
      <c r="V36" s="23">
        <v>1</v>
      </c>
      <c r="W36" s="23"/>
      <c r="X36" s="28"/>
      <c r="Y36" s="18">
        <v>8</v>
      </c>
      <c r="Z36" s="18"/>
      <c r="AA36" s="18"/>
      <c r="AB36" s="23"/>
      <c r="AC36" s="23"/>
      <c r="AD36" s="23">
        <v>1</v>
      </c>
      <c r="AE36" s="23"/>
      <c r="AF36" s="23"/>
      <c r="AG36" s="23">
        <v>2</v>
      </c>
      <c r="AH36" s="23"/>
      <c r="AI36" s="18"/>
      <c r="AJ36" s="18"/>
      <c r="AK36" s="18"/>
      <c r="AL36" s="18"/>
      <c r="AM36" s="28"/>
      <c r="AN36" s="28"/>
      <c r="AO36" s="28"/>
      <c r="AP36" s="13"/>
      <c r="AQ36" s="13">
        <v>8</v>
      </c>
      <c r="AR36" s="86">
        <f t="shared" si="0"/>
        <v>30</v>
      </c>
    </row>
    <row r="37" spans="1:44" ht="16.149999999999999" customHeight="1">
      <c r="A37" s="18">
        <v>35</v>
      </c>
      <c r="B37" s="13">
        <v>90026522</v>
      </c>
      <c r="C37" s="10" t="s">
        <v>173</v>
      </c>
      <c r="D37" s="10" t="s">
        <v>174</v>
      </c>
      <c r="E37" s="10" t="s">
        <v>46</v>
      </c>
      <c r="F37" s="10" t="s">
        <v>159</v>
      </c>
      <c r="G37" s="11" t="s">
        <v>175</v>
      </c>
      <c r="H37" s="12" t="s">
        <v>176</v>
      </c>
      <c r="I37" s="23"/>
      <c r="J37" s="23"/>
      <c r="K37" s="23"/>
      <c r="M37" s="23"/>
      <c r="N37" s="23"/>
      <c r="O37" s="23"/>
      <c r="P37" s="16"/>
      <c r="Q37" s="18">
        <v>2</v>
      </c>
      <c r="R37" s="18"/>
      <c r="S37" s="18"/>
      <c r="T37" s="23"/>
      <c r="U37" s="23"/>
      <c r="V37" s="26"/>
      <c r="W37" s="23"/>
      <c r="X37" s="28"/>
      <c r="Y37" s="18"/>
      <c r="Z37" s="13"/>
      <c r="AA37" s="13"/>
      <c r="AB37" s="23"/>
      <c r="AC37" s="23"/>
      <c r="AD37" s="23"/>
      <c r="AE37" s="23"/>
      <c r="AF37" s="26"/>
      <c r="AG37" s="26"/>
      <c r="AH37" s="26"/>
      <c r="AI37" s="13"/>
      <c r="AJ37" s="13"/>
      <c r="AK37" s="13"/>
      <c r="AL37" s="13"/>
      <c r="AM37" s="28"/>
      <c r="AN37" s="28"/>
      <c r="AO37" s="28"/>
      <c r="AP37" s="13"/>
      <c r="AQ37" s="13"/>
      <c r="AR37" s="86">
        <f t="shared" si="0"/>
        <v>2</v>
      </c>
    </row>
    <row r="38" spans="1:44" s="22" customFormat="1" ht="16.149999999999999" customHeight="1">
      <c r="A38" s="18">
        <v>36</v>
      </c>
      <c r="B38" s="21">
        <v>90026524</v>
      </c>
      <c r="C38" s="41" t="s">
        <v>177</v>
      </c>
      <c r="D38" s="41" t="s">
        <v>178</v>
      </c>
      <c r="E38" s="41" t="s">
        <v>87</v>
      </c>
      <c r="F38" s="41" t="s">
        <v>159</v>
      </c>
      <c r="G38" s="42" t="s">
        <v>175</v>
      </c>
      <c r="H38" s="43" t="s">
        <v>179</v>
      </c>
      <c r="I38" s="24"/>
      <c r="J38" s="24"/>
      <c r="K38" s="24"/>
      <c r="L38" s="24"/>
      <c r="M38" s="24"/>
      <c r="N38" s="24"/>
      <c r="O38" s="24"/>
      <c r="P38" s="40"/>
      <c r="Q38" s="20">
        <v>2</v>
      </c>
      <c r="R38" s="20"/>
      <c r="S38" s="20"/>
      <c r="T38" s="24"/>
      <c r="U38" s="24"/>
      <c r="V38" s="44"/>
      <c r="W38" s="24"/>
      <c r="X38" s="29"/>
      <c r="Y38" s="20"/>
      <c r="Z38" s="21"/>
      <c r="AA38" s="21"/>
      <c r="AB38" s="24"/>
      <c r="AC38" s="24"/>
      <c r="AD38" s="24"/>
      <c r="AE38" s="24"/>
      <c r="AF38" s="44"/>
      <c r="AG38" s="44"/>
      <c r="AH38" s="44"/>
      <c r="AI38" s="21"/>
      <c r="AJ38" s="21"/>
      <c r="AK38" s="21"/>
      <c r="AL38" s="21"/>
      <c r="AM38" s="28"/>
      <c r="AN38" s="28"/>
      <c r="AO38" s="28"/>
      <c r="AP38" s="21"/>
      <c r="AQ38" s="21"/>
      <c r="AR38" s="86">
        <f t="shared" si="0"/>
        <v>2</v>
      </c>
    </row>
    <row r="39" spans="1:44" ht="16.149999999999999" customHeight="1">
      <c r="A39" s="18">
        <v>37</v>
      </c>
      <c r="B39" s="13">
        <v>90026747</v>
      </c>
      <c r="C39" s="10" t="s">
        <v>180</v>
      </c>
      <c r="D39" s="10" t="s">
        <v>158</v>
      </c>
      <c r="E39" s="10" t="s">
        <v>87</v>
      </c>
      <c r="F39" s="10" t="s">
        <v>159</v>
      </c>
      <c r="G39" s="11" t="s">
        <v>181</v>
      </c>
      <c r="H39" s="12" t="s">
        <v>182</v>
      </c>
      <c r="I39" s="23"/>
      <c r="J39" s="23"/>
      <c r="K39" s="23">
        <v>2</v>
      </c>
      <c r="L39" s="23">
        <v>1</v>
      </c>
      <c r="M39" s="23">
        <v>3</v>
      </c>
      <c r="N39" s="23">
        <v>2</v>
      </c>
      <c r="O39" s="23">
        <v>4</v>
      </c>
      <c r="P39" s="16"/>
      <c r="Q39" s="18">
        <v>2</v>
      </c>
      <c r="R39" s="18"/>
      <c r="S39" s="18"/>
      <c r="T39" s="23"/>
      <c r="U39" s="23">
        <v>1</v>
      </c>
      <c r="V39" s="23">
        <v>1</v>
      </c>
      <c r="W39" s="23"/>
      <c r="X39" s="28"/>
      <c r="Y39" s="18"/>
      <c r="Z39" s="13"/>
      <c r="AA39" s="13"/>
      <c r="AB39" s="23"/>
      <c r="AC39" s="23"/>
      <c r="AD39" s="23">
        <v>1</v>
      </c>
      <c r="AE39" s="23"/>
      <c r="AF39" s="23"/>
      <c r="AG39" s="23">
        <v>2</v>
      </c>
      <c r="AH39" s="23"/>
      <c r="AI39" s="13"/>
      <c r="AJ39" s="13"/>
      <c r="AK39" s="13"/>
      <c r="AL39" s="13"/>
      <c r="AM39" s="28"/>
      <c r="AN39" s="28"/>
      <c r="AO39" s="28"/>
      <c r="AP39" s="13"/>
      <c r="AQ39" s="13"/>
      <c r="AR39" s="86">
        <f t="shared" si="0"/>
        <v>19</v>
      </c>
    </row>
    <row r="40" spans="1:44" ht="16.149999999999999" customHeight="1">
      <c r="A40" s="18">
        <v>38</v>
      </c>
      <c r="B40" s="13">
        <v>90026868</v>
      </c>
      <c r="C40" s="10" t="s">
        <v>183</v>
      </c>
      <c r="D40" s="10" t="s">
        <v>158</v>
      </c>
      <c r="E40" s="10" t="s">
        <v>87</v>
      </c>
      <c r="F40" s="10" t="s">
        <v>159</v>
      </c>
      <c r="G40" s="11" t="s">
        <v>184</v>
      </c>
      <c r="H40" s="12" t="s">
        <v>185</v>
      </c>
      <c r="I40" s="23"/>
      <c r="J40" s="23"/>
      <c r="K40" s="23">
        <v>2</v>
      </c>
      <c r="L40" s="23">
        <v>1</v>
      </c>
      <c r="M40" s="23"/>
      <c r="N40" s="23">
        <v>2</v>
      </c>
      <c r="O40" s="23">
        <v>4</v>
      </c>
      <c r="P40" s="16"/>
      <c r="Q40" s="18">
        <v>2</v>
      </c>
      <c r="R40" s="18"/>
      <c r="S40" s="18"/>
      <c r="T40" s="23"/>
      <c r="U40" s="23"/>
      <c r="V40" s="23">
        <v>1</v>
      </c>
      <c r="W40" s="23"/>
      <c r="X40" s="28"/>
      <c r="Y40" s="18"/>
      <c r="Z40" s="13"/>
      <c r="AA40" s="13"/>
      <c r="AB40" s="23"/>
      <c r="AC40" s="23"/>
      <c r="AD40" s="23">
        <v>1</v>
      </c>
      <c r="AE40" s="23"/>
      <c r="AF40" s="23"/>
      <c r="AG40" s="23">
        <v>2</v>
      </c>
      <c r="AH40" s="23"/>
      <c r="AI40" s="13"/>
      <c r="AJ40" s="13"/>
      <c r="AK40" s="13"/>
      <c r="AL40" s="13"/>
      <c r="AM40" s="28"/>
      <c r="AN40" s="28"/>
      <c r="AO40" s="28"/>
      <c r="AP40" s="13"/>
      <c r="AQ40" s="13"/>
      <c r="AR40" s="86">
        <f t="shared" si="0"/>
        <v>15</v>
      </c>
    </row>
    <row r="41" spans="1:44" ht="16.149999999999999" customHeight="1">
      <c r="A41" s="18">
        <v>39</v>
      </c>
      <c r="B41" s="13">
        <v>80023611</v>
      </c>
      <c r="C41" s="10" t="s">
        <v>186</v>
      </c>
      <c r="D41" s="10" t="s">
        <v>187</v>
      </c>
      <c r="E41" s="10" t="s">
        <v>46</v>
      </c>
      <c r="F41" s="10" t="s">
        <v>188</v>
      </c>
      <c r="G41" s="11" t="s">
        <v>75</v>
      </c>
      <c r="H41" s="12" t="s">
        <v>189</v>
      </c>
      <c r="I41" s="23"/>
      <c r="J41" s="23"/>
      <c r="K41" s="23"/>
      <c r="L41" s="23"/>
      <c r="M41" s="23"/>
      <c r="N41" s="23"/>
      <c r="O41" s="23"/>
      <c r="P41" s="16"/>
      <c r="Q41" s="18">
        <v>3</v>
      </c>
      <c r="R41" s="18"/>
      <c r="S41" s="18"/>
      <c r="T41" s="23">
        <v>4</v>
      </c>
      <c r="U41" s="23"/>
      <c r="V41" s="23">
        <v>1</v>
      </c>
      <c r="W41" s="23"/>
      <c r="X41" s="28"/>
      <c r="Y41" s="18">
        <v>8</v>
      </c>
      <c r="Z41" s="18"/>
      <c r="AA41" s="18"/>
      <c r="AB41" s="23"/>
      <c r="AC41" s="23"/>
      <c r="AD41" s="23"/>
      <c r="AE41" s="23"/>
      <c r="AF41" s="23"/>
      <c r="AG41" s="23"/>
      <c r="AH41" s="23"/>
      <c r="AI41" s="18"/>
      <c r="AJ41" s="18"/>
      <c r="AK41" s="18"/>
      <c r="AL41" s="18"/>
      <c r="AM41" s="28"/>
      <c r="AN41" s="28"/>
      <c r="AO41" s="28"/>
      <c r="AP41" s="13"/>
      <c r="AQ41" s="13"/>
      <c r="AR41" s="86">
        <f t="shared" si="0"/>
        <v>16</v>
      </c>
    </row>
    <row r="42" spans="1:44" ht="16.149999999999999" customHeight="1">
      <c r="A42" s="18">
        <v>40</v>
      </c>
      <c r="B42" s="13">
        <v>80023613</v>
      </c>
      <c r="C42" s="10" t="s">
        <v>190</v>
      </c>
      <c r="D42" s="10" t="s">
        <v>191</v>
      </c>
      <c r="E42" s="10" t="s">
        <v>87</v>
      </c>
      <c r="F42" s="10" t="s">
        <v>188</v>
      </c>
      <c r="G42" s="11" t="s">
        <v>75</v>
      </c>
      <c r="H42" s="12" t="s">
        <v>192</v>
      </c>
      <c r="I42" s="23"/>
      <c r="J42" s="23"/>
      <c r="K42" s="23"/>
      <c r="L42" s="23"/>
      <c r="M42" s="23"/>
      <c r="N42" s="23"/>
      <c r="O42" s="23"/>
      <c r="P42" s="16"/>
      <c r="Q42" s="18">
        <v>3</v>
      </c>
      <c r="R42" s="18">
        <v>1.5</v>
      </c>
      <c r="S42" s="18"/>
      <c r="T42" s="23">
        <v>4</v>
      </c>
      <c r="U42" s="23"/>
      <c r="V42" s="26"/>
      <c r="W42" s="23"/>
      <c r="X42" s="28"/>
      <c r="Y42" s="18"/>
      <c r="Z42" s="13"/>
      <c r="AA42" s="13"/>
      <c r="AB42" s="23"/>
      <c r="AC42" s="23"/>
      <c r="AD42" s="23"/>
      <c r="AE42" s="23"/>
      <c r="AF42" s="26"/>
      <c r="AG42" s="26">
        <v>2</v>
      </c>
      <c r="AH42" s="26"/>
      <c r="AI42" s="13"/>
      <c r="AJ42" s="13"/>
      <c r="AK42" s="13"/>
      <c r="AL42" s="13"/>
      <c r="AM42" s="28"/>
      <c r="AN42" s="28"/>
      <c r="AO42" s="28"/>
      <c r="AP42" s="13"/>
      <c r="AQ42" s="13"/>
      <c r="AR42" s="86">
        <f t="shared" si="0"/>
        <v>10.5</v>
      </c>
    </row>
    <row r="43" spans="1:44" ht="16.149999999999999" customHeight="1">
      <c r="A43" s="18">
        <v>41</v>
      </c>
      <c r="B43" s="13">
        <v>80023614</v>
      </c>
      <c r="C43" s="10" t="s">
        <v>193</v>
      </c>
      <c r="D43" s="10" t="s">
        <v>191</v>
      </c>
      <c r="E43" s="10" t="s">
        <v>87</v>
      </c>
      <c r="F43" s="10" t="s">
        <v>188</v>
      </c>
      <c r="G43" s="11" t="s">
        <v>75</v>
      </c>
      <c r="H43" s="12" t="s">
        <v>194</v>
      </c>
      <c r="I43" s="23"/>
      <c r="J43" s="23"/>
      <c r="K43" s="23"/>
      <c r="L43" s="23"/>
      <c r="M43" s="23"/>
      <c r="N43" s="23"/>
      <c r="O43" s="23"/>
      <c r="P43" s="16"/>
      <c r="Q43" s="18">
        <v>3</v>
      </c>
      <c r="R43" s="18"/>
      <c r="S43" s="18"/>
      <c r="T43" s="23"/>
      <c r="U43" s="23"/>
      <c r="V43" s="23">
        <v>1</v>
      </c>
      <c r="W43" s="23"/>
      <c r="X43" s="28"/>
      <c r="Y43" s="18"/>
      <c r="Z43" s="13"/>
      <c r="AA43" s="13"/>
      <c r="AB43" s="23"/>
      <c r="AC43" s="23"/>
      <c r="AD43" s="23"/>
      <c r="AE43" s="23"/>
      <c r="AF43" s="23"/>
      <c r="AG43" s="23"/>
      <c r="AH43" s="23"/>
      <c r="AI43" s="13"/>
      <c r="AJ43" s="13"/>
      <c r="AK43" s="13"/>
      <c r="AL43" s="13"/>
      <c r="AM43" s="28"/>
      <c r="AN43" s="28"/>
      <c r="AO43" s="28"/>
      <c r="AP43" s="13"/>
      <c r="AQ43" s="13"/>
      <c r="AR43" s="86">
        <f t="shared" si="0"/>
        <v>4</v>
      </c>
    </row>
    <row r="44" spans="1:44" ht="16.149999999999999" customHeight="1">
      <c r="A44" s="18">
        <v>42</v>
      </c>
      <c r="B44" s="13">
        <v>80021046</v>
      </c>
      <c r="C44" s="10" t="s">
        <v>195</v>
      </c>
      <c r="D44" s="10" t="s">
        <v>196</v>
      </c>
      <c r="E44" s="10" t="s">
        <v>46</v>
      </c>
      <c r="F44" s="10" t="s">
        <v>188</v>
      </c>
      <c r="G44" s="11" t="s">
        <v>52</v>
      </c>
      <c r="H44" s="12" t="s">
        <v>197</v>
      </c>
      <c r="I44" s="23"/>
      <c r="J44" s="23"/>
      <c r="K44" s="23"/>
      <c r="L44" s="23"/>
      <c r="M44" s="23"/>
      <c r="N44" s="23"/>
      <c r="O44" s="23"/>
      <c r="P44" s="16"/>
      <c r="Q44" s="18">
        <v>3</v>
      </c>
      <c r="R44" s="18"/>
      <c r="S44" s="18"/>
      <c r="T44" s="23">
        <v>4</v>
      </c>
      <c r="U44" s="23">
        <v>1</v>
      </c>
      <c r="V44" s="23">
        <v>1</v>
      </c>
      <c r="W44" s="23">
        <v>8</v>
      </c>
      <c r="X44" s="28"/>
      <c r="Y44" s="18"/>
      <c r="Z44" s="13"/>
      <c r="AA44" s="13"/>
      <c r="AB44" s="23"/>
      <c r="AC44" s="23"/>
      <c r="AD44" s="23"/>
      <c r="AE44" s="23"/>
      <c r="AF44" s="23"/>
      <c r="AG44" s="23">
        <v>2</v>
      </c>
      <c r="AH44" s="23">
        <v>1</v>
      </c>
      <c r="AI44" s="13"/>
      <c r="AJ44" s="13"/>
      <c r="AK44" s="13"/>
      <c r="AL44" s="13"/>
      <c r="AM44" s="28"/>
      <c r="AN44" s="28"/>
      <c r="AO44" s="28"/>
      <c r="AP44" s="13"/>
      <c r="AQ44" s="13"/>
      <c r="AR44" s="86">
        <f t="shared" si="0"/>
        <v>20</v>
      </c>
    </row>
    <row r="45" spans="1:44" ht="16.149999999999999" customHeight="1">
      <c r="A45" s="18">
        <v>43</v>
      </c>
      <c r="B45" s="13">
        <v>80023616</v>
      </c>
      <c r="C45" s="10" t="s">
        <v>198</v>
      </c>
      <c r="D45" s="10" t="s">
        <v>199</v>
      </c>
      <c r="E45" s="10" t="s">
        <v>87</v>
      </c>
      <c r="F45" s="10" t="s">
        <v>188</v>
      </c>
      <c r="G45" s="11" t="s">
        <v>200</v>
      </c>
      <c r="H45" s="12" t="s">
        <v>201</v>
      </c>
      <c r="I45" s="23"/>
      <c r="J45" s="23"/>
      <c r="K45" s="23"/>
      <c r="L45" s="23"/>
      <c r="M45" s="23"/>
      <c r="N45" s="23"/>
      <c r="O45" s="23"/>
      <c r="P45" s="16"/>
      <c r="Q45" s="18">
        <v>3</v>
      </c>
      <c r="R45" s="18"/>
      <c r="S45" s="18"/>
      <c r="T45" s="23"/>
      <c r="U45" s="23">
        <v>1</v>
      </c>
      <c r="V45" s="23">
        <v>1</v>
      </c>
      <c r="W45" s="23"/>
      <c r="X45" s="28"/>
      <c r="Y45" s="18"/>
      <c r="Z45" s="13"/>
      <c r="AA45" s="13"/>
      <c r="AB45" s="23"/>
      <c r="AC45" s="23"/>
      <c r="AD45" s="23"/>
      <c r="AE45" s="23"/>
      <c r="AF45" s="23"/>
      <c r="AG45" s="23"/>
      <c r="AH45" s="23"/>
      <c r="AI45" s="13"/>
      <c r="AJ45" s="13"/>
      <c r="AK45" s="13"/>
      <c r="AL45" s="13"/>
      <c r="AM45" s="28"/>
      <c r="AN45" s="28"/>
      <c r="AO45" s="28"/>
      <c r="AP45" s="13"/>
      <c r="AQ45" s="13"/>
      <c r="AR45" s="86">
        <f t="shared" si="0"/>
        <v>5</v>
      </c>
    </row>
    <row r="46" spans="1:44" ht="16.149999999999999" customHeight="1">
      <c r="A46" s="18">
        <v>44</v>
      </c>
      <c r="B46" s="13">
        <v>80023618</v>
      </c>
      <c r="C46" s="10" t="s">
        <v>202</v>
      </c>
      <c r="D46" s="10" t="s">
        <v>203</v>
      </c>
      <c r="E46" s="10" t="s">
        <v>87</v>
      </c>
      <c r="F46" s="10" t="s">
        <v>188</v>
      </c>
      <c r="G46" s="11" t="s">
        <v>204</v>
      </c>
      <c r="H46" s="12" t="s">
        <v>205</v>
      </c>
      <c r="I46" s="23"/>
      <c r="J46" s="23"/>
      <c r="K46" s="23"/>
      <c r="L46" s="23"/>
      <c r="M46" s="23"/>
      <c r="N46" s="23"/>
      <c r="O46" s="23"/>
      <c r="P46" s="16"/>
      <c r="Q46" s="18">
        <v>3</v>
      </c>
      <c r="R46" s="18"/>
      <c r="S46" s="18"/>
      <c r="T46" s="23"/>
      <c r="U46" s="23"/>
      <c r="V46" s="26"/>
      <c r="W46" s="23"/>
      <c r="X46" s="28"/>
      <c r="Y46" s="18"/>
      <c r="Z46" s="13"/>
      <c r="AA46" s="13"/>
      <c r="AB46" s="23"/>
      <c r="AC46" s="23"/>
      <c r="AD46" s="23"/>
      <c r="AE46" s="23"/>
      <c r="AF46" s="26"/>
      <c r="AG46" s="26"/>
      <c r="AH46" s="26"/>
      <c r="AI46" s="13"/>
      <c r="AJ46" s="13"/>
      <c r="AK46" s="13"/>
      <c r="AL46" s="13"/>
      <c r="AM46" s="28"/>
      <c r="AN46" s="28"/>
      <c r="AO46" s="28"/>
      <c r="AP46" s="13"/>
      <c r="AQ46" s="13"/>
      <c r="AR46" s="86">
        <f t="shared" si="0"/>
        <v>3</v>
      </c>
    </row>
    <row r="47" spans="1:44" ht="16.149999999999999" customHeight="1">
      <c r="A47" s="18">
        <v>45</v>
      </c>
      <c r="B47" s="13">
        <v>90024170</v>
      </c>
      <c r="C47" s="10" t="s">
        <v>206</v>
      </c>
      <c r="D47" s="10" t="s">
        <v>207</v>
      </c>
      <c r="E47" s="10" t="s">
        <v>87</v>
      </c>
      <c r="F47" s="10" t="s">
        <v>188</v>
      </c>
      <c r="G47" s="11" t="s">
        <v>208</v>
      </c>
      <c r="H47" s="12" t="s">
        <v>209</v>
      </c>
      <c r="I47" s="23"/>
      <c r="J47" s="23"/>
      <c r="K47" s="23"/>
      <c r="L47" s="23"/>
      <c r="M47" s="23"/>
      <c r="N47" s="23">
        <v>2</v>
      </c>
      <c r="O47" s="23">
        <v>4</v>
      </c>
      <c r="P47" s="16"/>
      <c r="Q47" s="18">
        <v>3</v>
      </c>
      <c r="R47" s="18"/>
      <c r="S47" s="18"/>
      <c r="T47" s="23">
        <v>4</v>
      </c>
      <c r="U47" s="23">
        <v>1</v>
      </c>
      <c r="V47" s="23">
        <v>1</v>
      </c>
      <c r="W47" s="23"/>
      <c r="X47" s="28"/>
      <c r="Y47" s="18"/>
      <c r="Z47" s="13"/>
      <c r="AA47" s="13"/>
      <c r="AB47" s="23"/>
      <c r="AC47" s="23"/>
      <c r="AD47" s="23"/>
      <c r="AE47" s="23"/>
      <c r="AF47" s="23"/>
      <c r="AG47" s="23"/>
      <c r="AH47" s="23"/>
      <c r="AI47" s="13"/>
      <c r="AJ47" s="13"/>
      <c r="AK47" s="13"/>
      <c r="AL47" s="13"/>
      <c r="AM47" s="28"/>
      <c r="AN47" s="28"/>
      <c r="AO47" s="28"/>
      <c r="AP47" s="13"/>
      <c r="AQ47" s="13"/>
      <c r="AR47" s="86">
        <f t="shared" si="0"/>
        <v>15</v>
      </c>
    </row>
    <row r="48" spans="1:44" ht="16.149999999999999" customHeight="1">
      <c r="A48" s="18">
        <v>46</v>
      </c>
      <c r="B48" s="13">
        <v>90024247</v>
      </c>
      <c r="C48" s="10" t="s">
        <v>210</v>
      </c>
      <c r="D48" s="10" t="s">
        <v>191</v>
      </c>
      <c r="E48" s="10" t="s">
        <v>87</v>
      </c>
      <c r="F48" s="10" t="s">
        <v>188</v>
      </c>
      <c r="G48" s="11" t="s">
        <v>211</v>
      </c>
      <c r="H48" s="12" t="s">
        <v>212</v>
      </c>
      <c r="I48" s="23"/>
      <c r="J48" s="23"/>
      <c r="K48" s="23"/>
      <c r="L48" s="23"/>
      <c r="M48" s="23">
        <v>3</v>
      </c>
      <c r="N48" s="23">
        <v>2</v>
      </c>
      <c r="O48" s="23"/>
      <c r="P48" s="16"/>
      <c r="Q48" s="18">
        <v>3</v>
      </c>
      <c r="R48" s="18"/>
      <c r="S48" s="18"/>
      <c r="T48" s="23">
        <v>4</v>
      </c>
      <c r="U48" s="23"/>
      <c r="V48" s="26"/>
      <c r="W48" s="23"/>
      <c r="X48" s="28"/>
      <c r="Y48" s="18"/>
      <c r="Z48" s="13"/>
      <c r="AA48" s="13"/>
      <c r="AB48" s="23"/>
      <c r="AC48" s="23"/>
      <c r="AD48" s="23"/>
      <c r="AE48" s="23"/>
      <c r="AF48" s="26"/>
      <c r="AG48" s="26"/>
      <c r="AH48" s="26"/>
      <c r="AI48" s="13"/>
      <c r="AJ48" s="13"/>
      <c r="AK48" s="13"/>
      <c r="AL48" s="13"/>
      <c r="AM48" s="28"/>
      <c r="AN48" s="28"/>
      <c r="AO48" s="28"/>
      <c r="AP48" s="13"/>
      <c r="AQ48" s="13"/>
      <c r="AR48" s="86">
        <f t="shared" si="0"/>
        <v>12</v>
      </c>
    </row>
    <row r="49" spans="1:44" ht="16.149999999999999" customHeight="1">
      <c r="A49" s="18">
        <v>47</v>
      </c>
      <c r="B49" s="13">
        <v>90024262</v>
      </c>
      <c r="C49" s="10" t="s">
        <v>213</v>
      </c>
      <c r="D49" s="10" t="s">
        <v>203</v>
      </c>
      <c r="E49" s="10" t="s">
        <v>87</v>
      </c>
      <c r="F49" s="10" t="s">
        <v>188</v>
      </c>
      <c r="G49" s="11" t="s">
        <v>214</v>
      </c>
      <c r="H49" s="12" t="s">
        <v>215</v>
      </c>
      <c r="I49" s="23"/>
      <c r="J49" s="23"/>
      <c r="K49" s="23"/>
      <c r="L49" s="23"/>
      <c r="M49" s="23"/>
      <c r="N49" s="23"/>
      <c r="O49" s="23"/>
      <c r="P49" s="16"/>
      <c r="Q49" s="18">
        <v>3</v>
      </c>
      <c r="R49" s="18"/>
      <c r="S49" s="18"/>
      <c r="T49" s="23"/>
      <c r="U49" s="23">
        <v>1</v>
      </c>
      <c r="V49" s="26"/>
      <c r="W49" s="23"/>
      <c r="X49" s="28"/>
      <c r="Y49" s="18"/>
      <c r="Z49" s="13"/>
      <c r="AA49" s="13"/>
      <c r="AB49" s="23"/>
      <c r="AC49" s="23"/>
      <c r="AD49" s="23"/>
      <c r="AE49" s="23"/>
      <c r="AF49" s="26"/>
      <c r="AG49" s="26"/>
      <c r="AH49" s="26"/>
      <c r="AI49" s="13"/>
      <c r="AJ49" s="13"/>
      <c r="AK49" s="13"/>
      <c r="AL49" s="13"/>
      <c r="AM49" s="28"/>
      <c r="AN49" s="28"/>
      <c r="AO49" s="28"/>
      <c r="AP49" s="13"/>
      <c r="AQ49" s="13"/>
      <c r="AR49" s="86">
        <f t="shared" si="0"/>
        <v>4</v>
      </c>
    </row>
    <row r="50" spans="1:44" ht="16.149999999999999" customHeight="1">
      <c r="A50" s="18">
        <v>48</v>
      </c>
      <c r="B50" s="13">
        <v>90024269</v>
      </c>
      <c r="C50" s="10" t="s">
        <v>216</v>
      </c>
      <c r="D50" s="10" t="s">
        <v>217</v>
      </c>
      <c r="E50" s="10" t="s">
        <v>87</v>
      </c>
      <c r="F50" s="10" t="s">
        <v>188</v>
      </c>
      <c r="G50" s="11" t="s">
        <v>218</v>
      </c>
      <c r="H50" s="12" t="s">
        <v>219</v>
      </c>
      <c r="I50" s="23"/>
      <c r="J50" s="23"/>
      <c r="K50" s="23"/>
      <c r="L50" s="23"/>
      <c r="M50" s="23"/>
      <c r="N50" s="23">
        <v>2</v>
      </c>
      <c r="O50" s="23">
        <v>4</v>
      </c>
      <c r="P50" s="16"/>
      <c r="Q50" s="18">
        <v>3</v>
      </c>
      <c r="R50" s="18"/>
      <c r="S50" s="18"/>
      <c r="T50" s="23">
        <v>4</v>
      </c>
      <c r="U50" s="23">
        <v>1</v>
      </c>
      <c r="V50" s="23">
        <v>1</v>
      </c>
      <c r="W50" s="23"/>
      <c r="X50" s="28"/>
      <c r="Y50" s="18"/>
      <c r="Z50" s="13"/>
      <c r="AA50" s="13"/>
      <c r="AB50" s="23"/>
      <c r="AC50" s="23"/>
      <c r="AD50" s="23"/>
      <c r="AE50" s="23"/>
      <c r="AF50" s="23"/>
      <c r="AG50" s="23"/>
      <c r="AH50" s="23"/>
      <c r="AI50" s="13"/>
      <c r="AJ50" s="13"/>
      <c r="AK50" s="13"/>
      <c r="AL50" s="13"/>
      <c r="AM50" s="28"/>
      <c r="AN50" s="28"/>
      <c r="AO50" s="28"/>
      <c r="AP50" s="13"/>
      <c r="AQ50" s="13"/>
      <c r="AR50" s="86">
        <f t="shared" si="0"/>
        <v>15</v>
      </c>
    </row>
    <row r="51" spans="1:44" ht="16.149999999999999" customHeight="1">
      <c r="A51" s="18">
        <v>49</v>
      </c>
      <c r="B51" s="13">
        <v>90025855</v>
      </c>
      <c r="C51" s="10" t="s">
        <v>220</v>
      </c>
      <c r="D51" s="10" t="s">
        <v>221</v>
      </c>
      <c r="E51" s="10" t="s">
        <v>87</v>
      </c>
      <c r="F51" s="10" t="s">
        <v>188</v>
      </c>
      <c r="G51" s="11" t="s">
        <v>222</v>
      </c>
      <c r="H51" s="12" t="s">
        <v>223</v>
      </c>
      <c r="I51" s="23"/>
      <c r="J51" s="23"/>
      <c r="K51" s="23"/>
      <c r="L51" s="23"/>
      <c r="M51" s="23"/>
      <c r="N51" s="23"/>
      <c r="O51" s="23"/>
      <c r="P51" s="16"/>
      <c r="Q51" s="18">
        <v>3</v>
      </c>
      <c r="R51" s="18"/>
      <c r="S51" s="18"/>
      <c r="T51" s="23"/>
      <c r="U51" s="23"/>
      <c r="V51" s="23">
        <v>1</v>
      </c>
      <c r="W51" s="23"/>
      <c r="X51" s="28"/>
      <c r="Y51" s="18"/>
      <c r="Z51" s="13"/>
      <c r="AA51" s="13"/>
      <c r="AB51" s="23"/>
      <c r="AC51" s="23"/>
      <c r="AD51" s="23"/>
      <c r="AE51" s="23"/>
      <c r="AF51" s="23"/>
      <c r="AG51" s="23"/>
      <c r="AH51" s="23"/>
      <c r="AI51" s="13"/>
      <c r="AJ51" s="13"/>
      <c r="AK51" s="13"/>
      <c r="AL51" s="13"/>
      <c r="AM51" s="28"/>
      <c r="AN51" s="28"/>
      <c r="AO51" s="28"/>
      <c r="AP51" s="13"/>
      <c r="AQ51" s="13"/>
      <c r="AR51" s="86">
        <f t="shared" si="0"/>
        <v>4</v>
      </c>
    </row>
    <row r="52" spans="1:44" ht="16.149999999999999" customHeight="1">
      <c r="A52" s="18">
        <v>50</v>
      </c>
      <c r="B52" s="13">
        <v>90026060</v>
      </c>
      <c r="C52" s="10" t="s">
        <v>224</v>
      </c>
      <c r="D52" s="10" t="s">
        <v>225</v>
      </c>
      <c r="E52" s="10" t="s">
        <v>87</v>
      </c>
      <c r="F52" s="10" t="s">
        <v>188</v>
      </c>
      <c r="G52" s="11" t="s">
        <v>226</v>
      </c>
      <c r="H52" s="12" t="s">
        <v>227</v>
      </c>
      <c r="I52" s="23"/>
      <c r="J52" s="23"/>
      <c r="K52" s="23"/>
      <c r="L52" s="23"/>
      <c r="M52" s="23">
        <v>3</v>
      </c>
      <c r="N52" s="23"/>
      <c r="O52" s="23"/>
      <c r="P52" s="16"/>
      <c r="Q52" s="18">
        <v>3</v>
      </c>
      <c r="R52" s="18"/>
      <c r="S52" s="18"/>
      <c r="T52" s="23"/>
      <c r="U52" s="23"/>
      <c r="V52" s="26"/>
      <c r="W52" s="23"/>
      <c r="X52" s="28"/>
      <c r="Y52" s="18"/>
      <c r="Z52" s="13"/>
      <c r="AA52" s="13"/>
      <c r="AB52" s="23"/>
      <c r="AC52" s="23"/>
      <c r="AD52" s="23"/>
      <c r="AE52" s="23"/>
      <c r="AF52" s="26"/>
      <c r="AG52" s="26"/>
      <c r="AH52" s="26"/>
      <c r="AI52" s="13"/>
      <c r="AJ52" s="13"/>
      <c r="AK52" s="13"/>
      <c r="AL52" s="13"/>
      <c r="AM52" s="28"/>
      <c r="AN52" s="28"/>
      <c r="AO52" s="28"/>
      <c r="AP52" s="13"/>
      <c r="AQ52" s="13"/>
      <c r="AR52" s="86">
        <f t="shared" si="0"/>
        <v>6</v>
      </c>
    </row>
    <row r="53" spans="1:44" ht="16.149999999999999" customHeight="1">
      <c r="A53" s="18">
        <v>51</v>
      </c>
      <c r="B53" s="13">
        <v>90026072</v>
      </c>
      <c r="C53" s="10" t="s">
        <v>228</v>
      </c>
      <c r="D53" s="10" t="s">
        <v>229</v>
      </c>
      <c r="E53" s="10" t="s">
        <v>87</v>
      </c>
      <c r="F53" s="10" t="s">
        <v>188</v>
      </c>
      <c r="G53" s="11" t="s">
        <v>230</v>
      </c>
      <c r="H53" s="12" t="s">
        <v>231</v>
      </c>
      <c r="I53" s="23"/>
      <c r="J53" s="23"/>
      <c r="K53" s="23"/>
      <c r="L53" s="23"/>
      <c r="M53" s="23"/>
      <c r="N53" s="23">
        <v>2</v>
      </c>
      <c r="O53" s="23"/>
      <c r="P53" s="16"/>
      <c r="Q53" s="18">
        <v>3</v>
      </c>
      <c r="R53" s="18"/>
      <c r="S53" s="18"/>
      <c r="T53" s="23">
        <v>4</v>
      </c>
      <c r="U53" s="23"/>
      <c r="V53" s="23">
        <v>1</v>
      </c>
      <c r="W53" s="23"/>
      <c r="X53" s="28"/>
      <c r="Y53" s="18"/>
      <c r="Z53" s="13"/>
      <c r="AA53" s="13"/>
      <c r="AB53" s="23"/>
      <c r="AC53" s="23"/>
      <c r="AD53" s="23"/>
      <c r="AE53" s="23"/>
      <c r="AF53" s="23"/>
      <c r="AG53" s="23"/>
      <c r="AH53" s="23"/>
      <c r="AI53" s="13"/>
      <c r="AJ53" s="13"/>
      <c r="AK53" s="13"/>
      <c r="AL53" s="13"/>
      <c r="AM53" s="28"/>
      <c r="AN53" s="28"/>
      <c r="AO53" s="28"/>
      <c r="AP53" s="13"/>
      <c r="AQ53" s="13"/>
      <c r="AR53" s="86">
        <f t="shared" si="0"/>
        <v>10</v>
      </c>
    </row>
    <row r="54" spans="1:44" s="22" customFormat="1" ht="16.149999999999999" customHeight="1">
      <c r="A54" s="18">
        <v>52</v>
      </c>
      <c r="B54" s="21">
        <v>90026237</v>
      </c>
      <c r="C54" s="41" t="s">
        <v>232</v>
      </c>
      <c r="D54" s="41" t="s">
        <v>233</v>
      </c>
      <c r="E54" s="41" t="s">
        <v>46</v>
      </c>
      <c r="F54" s="41" t="s">
        <v>188</v>
      </c>
      <c r="G54" s="42" t="s">
        <v>234</v>
      </c>
      <c r="H54" s="43" t="s">
        <v>235</v>
      </c>
      <c r="I54" s="24"/>
      <c r="J54" s="24"/>
      <c r="K54" s="24"/>
      <c r="L54" s="24"/>
      <c r="M54" s="24"/>
      <c r="N54" s="24">
        <v>2</v>
      </c>
      <c r="O54" s="24"/>
      <c r="P54" s="40"/>
      <c r="Q54" s="20">
        <v>3</v>
      </c>
      <c r="R54" s="20"/>
      <c r="S54" s="20"/>
      <c r="T54" s="24">
        <v>4</v>
      </c>
      <c r="U54" s="24">
        <v>1</v>
      </c>
      <c r="V54" s="24">
        <v>1</v>
      </c>
      <c r="W54" s="24"/>
      <c r="X54" s="29"/>
      <c r="Y54" s="20"/>
      <c r="Z54" s="21"/>
      <c r="AA54" s="21"/>
      <c r="AB54" s="24"/>
      <c r="AC54" s="24"/>
      <c r="AD54" s="24"/>
      <c r="AE54" s="24"/>
      <c r="AF54" s="24"/>
      <c r="AG54" s="24"/>
      <c r="AH54" s="24"/>
      <c r="AI54" s="21"/>
      <c r="AJ54" s="21"/>
      <c r="AK54" s="21"/>
      <c r="AL54" s="21"/>
      <c r="AM54" s="28"/>
      <c r="AN54" s="28"/>
      <c r="AO54" s="28"/>
      <c r="AP54" s="21"/>
      <c r="AQ54" s="21"/>
      <c r="AR54" s="86">
        <f t="shared" si="0"/>
        <v>11</v>
      </c>
    </row>
    <row r="55" spans="1:44" ht="16.149999999999999" customHeight="1">
      <c r="A55" s="18">
        <v>53</v>
      </c>
      <c r="B55" s="13">
        <v>90026943</v>
      </c>
      <c r="C55" s="10" t="s">
        <v>236</v>
      </c>
      <c r="D55" s="10" t="s">
        <v>199</v>
      </c>
      <c r="E55" s="10" t="s">
        <v>87</v>
      </c>
      <c r="F55" s="10" t="s">
        <v>188</v>
      </c>
      <c r="G55" s="11" t="s">
        <v>237</v>
      </c>
      <c r="H55" s="12" t="s">
        <v>238</v>
      </c>
      <c r="I55" s="23"/>
      <c r="J55" s="23"/>
      <c r="K55" s="23"/>
      <c r="L55" s="23"/>
      <c r="M55" s="23">
        <v>3</v>
      </c>
      <c r="N55" s="23"/>
      <c r="O55" s="23"/>
      <c r="P55" s="16"/>
      <c r="Q55" s="18">
        <v>2</v>
      </c>
      <c r="R55" s="18"/>
      <c r="S55" s="18"/>
      <c r="T55" s="23"/>
      <c r="U55" s="23">
        <v>1</v>
      </c>
      <c r="V55" s="23">
        <v>1</v>
      </c>
      <c r="W55" s="23"/>
      <c r="X55" s="28"/>
      <c r="Y55" s="18"/>
      <c r="Z55" s="13"/>
      <c r="AA55" s="13"/>
      <c r="AB55" s="23"/>
      <c r="AC55" s="23"/>
      <c r="AD55" s="23"/>
      <c r="AE55" s="23"/>
      <c r="AF55" s="23"/>
      <c r="AG55" s="23"/>
      <c r="AH55" s="23"/>
      <c r="AI55" s="13"/>
      <c r="AJ55" s="13"/>
      <c r="AK55" s="13"/>
      <c r="AL55" s="13"/>
      <c r="AM55" s="28"/>
      <c r="AN55" s="28"/>
      <c r="AO55" s="28"/>
      <c r="AP55" s="13">
        <v>1.5</v>
      </c>
      <c r="AQ55" s="13"/>
      <c r="AR55" s="86">
        <f t="shared" si="0"/>
        <v>8.5</v>
      </c>
    </row>
    <row r="56" spans="1:44" ht="16.149999999999999" customHeight="1">
      <c r="A56" s="18">
        <v>54</v>
      </c>
      <c r="B56" s="13">
        <v>90027197</v>
      </c>
      <c r="C56" s="10" t="s">
        <v>239</v>
      </c>
      <c r="D56" s="10" t="s">
        <v>191</v>
      </c>
      <c r="E56" s="10" t="s">
        <v>87</v>
      </c>
      <c r="F56" s="10" t="s">
        <v>188</v>
      </c>
      <c r="G56" s="11" t="s">
        <v>240</v>
      </c>
      <c r="H56" s="12" t="s">
        <v>241</v>
      </c>
      <c r="I56" s="23">
        <v>1</v>
      </c>
      <c r="J56" s="23"/>
      <c r="K56" s="23"/>
      <c r="L56" s="23"/>
      <c r="M56" s="23">
        <v>3</v>
      </c>
      <c r="N56" s="23">
        <v>2</v>
      </c>
      <c r="O56" s="23"/>
      <c r="P56" s="16"/>
      <c r="Q56" s="18">
        <v>2</v>
      </c>
      <c r="R56" s="18"/>
      <c r="S56" s="18"/>
      <c r="T56" s="23">
        <v>4</v>
      </c>
      <c r="U56" s="23"/>
      <c r="V56" s="23">
        <v>1</v>
      </c>
      <c r="W56" s="23"/>
      <c r="X56" s="28"/>
      <c r="Y56" s="18"/>
      <c r="Z56" s="13"/>
      <c r="AA56" s="13"/>
      <c r="AB56" s="23">
        <v>1</v>
      </c>
      <c r="AC56" s="23"/>
      <c r="AD56" s="23">
        <v>1</v>
      </c>
      <c r="AE56" s="23"/>
      <c r="AF56" s="23"/>
      <c r="AG56" s="23"/>
      <c r="AH56" s="23"/>
      <c r="AI56" s="13"/>
      <c r="AJ56" s="13"/>
      <c r="AK56" s="13"/>
      <c r="AL56" s="13"/>
      <c r="AM56" s="28"/>
      <c r="AN56" s="28"/>
      <c r="AO56" s="28"/>
      <c r="AP56" s="13"/>
      <c r="AQ56" s="13"/>
      <c r="AR56" s="86">
        <f t="shared" si="0"/>
        <v>15</v>
      </c>
    </row>
    <row r="57" spans="1:44" ht="16.149999999999999" customHeight="1">
      <c r="A57" s="18">
        <v>55</v>
      </c>
      <c r="B57" s="13">
        <v>90024387</v>
      </c>
      <c r="C57" s="10" t="s">
        <v>242</v>
      </c>
      <c r="D57" s="10" t="s">
        <v>243</v>
      </c>
      <c r="E57" s="10" t="s">
        <v>87</v>
      </c>
      <c r="F57" s="10" t="s">
        <v>244</v>
      </c>
      <c r="G57" s="11" t="s">
        <v>245</v>
      </c>
      <c r="H57" s="12" t="s">
        <v>246</v>
      </c>
      <c r="I57" s="23"/>
      <c r="J57" s="23">
        <v>14</v>
      </c>
      <c r="K57" s="23"/>
      <c r="L57" s="23"/>
      <c r="M57" s="23"/>
      <c r="N57" s="23">
        <v>2</v>
      </c>
      <c r="O57" s="23">
        <v>4</v>
      </c>
      <c r="P57" s="16"/>
      <c r="Q57" s="18">
        <v>3</v>
      </c>
      <c r="R57" s="18"/>
      <c r="S57" s="18"/>
      <c r="T57" s="23"/>
      <c r="U57" s="23"/>
      <c r="V57" s="23">
        <v>1</v>
      </c>
      <c r="W57" s="23"/>
      <c r="X57" s="28"/>
      <c r="Y57" s="18"/>
      <c r="Z57" s="13"/>
      <c r="AA57" s="13"/>
      <c r="AB57" s="23"/>
      <c r="AC57" s="23"/>
      <c r="AD57" s="23"/>
      <c r="AE57" s="23"/>
      <c r="AF57" s="23"/>
      <c r="AG57" s="23"/>
      <c r="AH57" s="23"/>
      <c r="AI57" s="13"/>
      <c r="AJ57" s="13"/>
      <c r="AK57" s="13"/>
      <c r="AL57" s="13"/>
      <c r="AM57" s="28"/>
      <c r="AN57" s="28"/>
      <c r="AO57" s="28"/>
      <c r="AP57" s="13"/>
      <c r="AQ57" s="13"/>
      <c r="AR57" s="86">
        <f t="shared" si="0"/>
        <v>24</v>
      </c>
    </row>
    <row r="58" spans="1:44" ht="16.149999999999999" customHeight="1">
      <c r="A58" s="18">
        <v>56</v>
      </c>
      <c r="B58" s="13">
        <v>90024937</v>
      </c>
      <c r="C58" s="10" t="s">
        <v>247</v>
      </c>
      <c r="D58" s="10" t="s">
        <v>248</v>
      </c>
      <c r="E58" s="10" t="s">
        <v>46</v>
      </c>
      <c r="F58" s="10" t="s">
        <v>244</v>
      </c>
      <c r="G58" s="11" t="s">
        <v>249</v>
      </c>
      <c r="H58" s="12" t="s">
        <v>250</v>
      </c>
      <c r="I58" s="23"/>
      <c r="J58" s="23"/>
      <c r="K58" s="23"/>
      <c r="L58" s="23"/>
      <c r="M58" s="23"/>
      <c r="N58" s="23"/>
      <c r="O58" s="23"/>
      <c r="P58" s="16"/>
      <c r="Q58" s="18">
        <v>3</v>
      </c>
      <c r="R58" s="18"/>
      <c r="S58" s="18"/>
      <c r="T58" s="23"/>
      <c r="U58" s="23">
        <v>1</v>
      </c>
      <c r="V58" s="26"/>
      <c r="W58" s="23"/>
      <c r="X58" s="28"/>
      <c r="Y58" s="18">
        <v>8</v>
      </c>
      <c r="Z58" s="18"/>
      <c r="AA58" s="18"/>
      <c r="AB58" s="23"/>
      <c r="AC58" s="23"/>
      <c r="AD58" s="23"/>
      <c r="AE58" s="23"/>
      <c r="AF58" s="26"/>
      <c r="AG58" s="26"/>
      <c r="AH58" s="26"/>
      <c r="AI58" s="18"/>
      <c r="AJ58" s="18"/>
      <c r="AK58" s="18"/>
      <c r="AL58" s="18">
        <v>24</v>
      </c>
      <c r="AM58" s="28"/>
      <c r="AN58" s="28"/>
      <c r="AO58" s="28"/>
      <c r="AP58" s="13"/>
      <c r="AQ58" s="13"/>
      <c r="AR58" s="86">
        <f t="shared" si="0"/>
        <v>36</v>
      </c>
    </row>
    <row r="59" spans="1:44" ht="16.149999999999999" customHeight="1">
      <c r="A59" s="18">
        <v>57</v>
      </c>
      <c r="B59" s="13">
        <v>90026279</v>
      </c>
      <c r="C59" s="10" t="s">
        <v>251</v>
      </c>
      <c r="D59" s="10" t="s">
        <v>229</v>
      </c>
      <c r="E59" s="10" t="s">
        <v>87</v>
      </c>
      <c r="F59" s="10" t="s">
        <v>244</v>
      </c>
      <c r="G59" s="11" t="s">
        <v>252</v>
      </c>
      <c r="H59" s="12" t="s">
        <v>253</v>
      </c>
      <c r="I59" s="23"/>
      <c r="J59" s="23"/>
      <c r="K59" s="23"/>
      <c r="L59" s="23"/>
      <c r="M59" s="23"/>
      <c r="N59" s="23">
        <v>2</v>
      </c>
      <c r="O59" s="23">
        <v>4</v>
      </c>
      <c r="P59" s="16"/>
      <c r="Q59" s="18">
        <v>3</v>
      </c>
      <c r="R59" s="18"/>
      <c r="S59" s="18"/>
      <c r="T59" s="23"/>
      <c r="U59" s="23"/>
      <c r="V59" s="23">
        <v>1</v>
      </c>
      <c r="W59" s="23"/>
      <c r="X59" s="28"/>
      <c r="Y59" s="18"/>
      <c r="Z59" s="13"/>
      <c r="AA59" s="13"/>
      <c r="AB59" s="23"/>
      <c r="AC59" s="23"/>
      <c r="AD59" s="23">
        <v>1</v>
      </c>
      <c r="AE59" s="23"/>
      <c r="AF59" s="23"/>
      <c r="AG59" s="23"/>
      <c r="AH59" s="23"/>
      <c r="AI59" s="13"/>
      <c r="AJ59" s="13"/>
      <c r="AK59" s="13"/>
      <c r="AL59" s="13"/>
      <c r="AM59" s="28"/>
      <c r="AN59" s="28"/>
      <c r="AO59" s="28"/>
      <c r="AP59" s="13"/>
      <c r="AQ59" s="13"/>
      <c r="AR59" s="86">
        <f t="shared" si="0"/>
        <v>11</v>
      </c>
    </row>
    <row r="60" spans="1:44" ht="16.149999999999999" customHeight="1">
      <c r="A60" s="18">
        <v>58</v>
      </c>
      <c r="B60" s="13">
        <v>90026869</v>
      </c>
      <c r="C60" s="10" t="s">
        <v>254</v>
      </c>
      <c r="D60" s="10" t="s">
        <v>255</v>
      </c>
      <c r="E60" s="10" t="s">
        <v>87</v>
      </c>
      <c r="F60" s="10" t="s">
        <v>244</v>
      </c>
      <c r="G60" s="11" t="s">
        <v>256</v>
      </c>
      <c r="H60" s="12" t="s">
        <v>257</v>
      </c>
      <c r="I60" s="23"/>
      <c r="J60" s="23"/>
      <c r="K60" s="23"/>
      <c r="L60" s="23"/>
      <c r="M60" s="23"/>
      <c r="N60" s="23"/>
      <c r="O60" s="23"/>
      <c r="P60" s="16"/>
      <c r="Q60" s="18">
        <v>2</v>
      </c>
      <c r="R60" s="18"/>
      <c r="S60" s="18"/>
      <c r="T60" s="23"/>
      <c r="U60" s="23"/>
      <c r="V60" s="26"/>
      <c r="W60" s="23"/>
      <c r="X60" s="28"/>
      <c r="Y60" s="18"/>
      <c r="Z60" s="13"/>
      <c r="AA60" s="13"/>
      <c r="AB60" s="23"/>
      <c r="AC60" s="23"/>
      <c r="AD60" s="23"/>
      <c r="AE60" s="23"/>
      <c r="AF60" s="26"/>
      <c r="AG60" s="26"/>
      <c r="AH60" s="26"/>
      <c r="AI60" s="13"/>
      <c r="AJ60" s="13"/>
      <c r="AK60" s="13"/>
      <c r="AL60" s="13"/>
      <c r="AM60" s="28"/>
      <c r="AN60" s="28"/>
      <c r="AO60" s="28"/>
      <c r="AP60" s="13"/>
      <c r="AQ60" s="13"/>
      <c r="AR60" s="86">
        <f t="shared" si="0"/>
        <v>2</v>
      </c>
    </row>
    <row r="61" spans="1:44" ht="16.149999999999999" customHeight="1">
      <c r="A61" s="18">
        <v>59</v>
      </c>
      <c r="B61" s="13">
        <v>90026902</v>
      </c>
      <c r="C61" s="10" t="s">
        <v>258</v>
      </c>
      <c r="D61" s="10" t="s">
        <v>229</v>
      </c>
      <c r="E61" s="10" t="s">
        <v>87</v>
      </c>
      <c r="F61" s="10" t="s">
        <v>244</v>
      </c>
      <c r="G61" s="11" t="s">
        <v>259</v>
      </c>
      <c r="H61" s="12" t="s">
        <v>260</v>
      </c>
      <c r="I61" s="23"/>
      <c r="J61" s="23"/>
      <c r="K61" s="23"/>
      <c r="L61" s="23"/>
      <c r="M61" s="23"/>
      <c r="N61" s="23"/>
      <c r="O61" s="23">
        <v>4</v>
      </c>
      <c r="P61" s="16"/>
      <c r="Q61" s="18">
        <v>2</v>
      </c>
      <c r="R61" s="18"/>
      <c r="S61" s="18"/>
      <c r="T61" s="23"/>
      <c r="U61" s="23"/>
      <c r="V61" s="23">
        <v>1</v>
      </c>
      <c r="W61" s="23"/>
      <c r="X61" s="28"/>
      <c r="Y61" s="18"/>
      <c r="Z61" s="13"/>
      <c r="AA61" s="13"/>
      <c r="AB61" s="23"/>
      <c r="AC61" s="23"/>
      <c r="AD61" s="23">
        <v>1</v>
      </c>
      <c r="AE61" s="23"/>
      <c r="AF61" s="23"/>
      <c r="AG61" s="23"/>
      <c r="AH61" s="23"/>
      <c r="AI61" s="13"/>
      <c r="AJ61" s="13"/>
      <c r="AK61" s="13"/>
      <c r="AL61" s="13"/>
      <c r="AM61" s="28"/>
      <c r="AN61" s="28"/>
      <c r="AO61" s="28"/>
      <c r="AP61" s="13"/>
      <c r="AQ61" s="13"/>
      <c r="AR61" s="86">
        <f t="shared" si="0"/>
        <v>8</v>
      </c>
    </row>
    <row r="62" spans="1:44" ht="16.149999999999999" customHeight="1">
      <c r="A62" s="18">
        <v>60</v>
      </c>
      <c r="B62" s="13">
        <v>90027007</v>
      </c>
      <c r="C62" s="10" t="s">
        <v>261</v>
      </c>
      <c r="D62" s="10" t="s">
        <v>229</v>
      </c>
      <c r="E62" s="10" t="s">
        <v>87</v>
      </c>
      <c r="F62" s="10" t="s">
        <v>244</v>
      </c>
      <c r="G62" s="11" t="s">
        <v>262</v>
      </c>
      <c r="H62" s="12" t="s">
        <v>263</v>
      </c>
      <c r="I62" s="23"/>
      <c r="J62" s="23">
        <v>14</v>
      </c>
      <c r="K62" s="23"/>
      <c r="L62" s="23"/>
      <c r="M62" s="23"/>
      <c r="N62" s="23">
        <v>2</v>
      </c>
      <c r="O62" s="23">
        <v>4</v>
      </c>
      <c r="P62" s="16"/>
      <c r="Q62" s="18">
        <v>2</v>
      </c>
      <c r="R62" s="18"/>
      <c r="S62" s="18"/>
      <c r="T62" s="23"/>
      <c r="U62" s="23">
        <v>1</v>
      </c>
      <c r="V62" s="23">
        <v>1</v>
      </c>
      <c r="W62" s="23"/>
      <c r="X62" s="28"/>
      <c r="Y62" s="18"/>
      <c r="Z62" s="13"/>
      <c r="AA62" s="13"/>
      <c r="AB62" s="23"/>
      <c r="AC62" s="23"/>
      <c r="AD62" s="23">
        <v>1</v>
      </c>
      <c r="AE62" s="23"/>
      <c r="AF62" s="23"/>
      <c r="AG62" s="23"/>
      <c r="AH62" s="23"/>
      <c r="AI62" s="13"/>
      <c r="AJ62" s="13"/>
      <c r="AK62" s="13"/>
      <c r="AL62" s="13"/>
      <c r="AM62" s="28"/>
      <c r="AN62" s="28"/>
      <c r="AO62" s="28"/>
      <c r="AP62" s="13"/>
      <c r="AQ62" s="13"/>
      <c r="AR62" s="86">
        <f t="shared" si="0"/>
        <v>25</v>
      </c>
    </row>
    <row r="63" spans="1:44" ht="16.149999999999999" customHeight="1">
      <c r="A63" s="18">
        <v>61</v>
      </c>
      <c r="B63" s="13">
        <v>80000061</v>
      </c>
      <c r="C63" s="10" t="s">
        <v>264</v>
      </c>
      <c r="D63" s="10" t="s">
        <v>265</v>
      </c>
      <c r="E63" s="10" t="s">
        <v>46</v>
      </c>
      <c r="F63" s="10" t="s">
        <v>266</v>
      </c>
      <c r="G63" s="11" t="s">
        <v>267</v>
      </c>
      <c r="H63" s="12" t="s">
        <v>268</v>
      </c>
      <c r="I63" s="23"/>
      <c r="J63" s="23"/>
      <c r="K63" s="23"/>
      <c r="L63" s="23"/>
      <c r="M63" s="23"/>
      <c r="N63" s="23">
        <v>2</v>
      </c>
      <c r="O63" s="23">
        <v>4</v>
      </c>
      <c r="P63" s="16"/>
      <c r="Q63" s="26"/>
      <c r="R63" s="28">
        <v>1.5</v>
      </c>
      <c r="S63" s="26"/>
      <c r="T63" s="23"/>
      <c r="U63" s="23">
        <v>1</v>
      </c>
      <c r="V63" s="23">
        <v>1</v>
      </c>
      <c r="W63" s="23"/>
      <c r="X63" s="28">
        <v>1.5</v>
      </c>
      <c r="Y63" s="18"/>
      <c r="Z63" s="13"/>
      <c r="AA63" s="13"/>
      <c r="AB63" s="23"/>
      <c r="AC63" s="23"/>
      <c r="AD63" s="23"/>
      <c r="AE63" s="23"/>
      <c r="AF63" s="23"/>
      <c r="AG63" s="23"/>
      <c r="AH63" s="23"/>
      <c r="AI63" s="13"/>
      <c r="AJ63" s="13"/>
      <c r="AK63" s="13"/>
      <c r="AL63" s="13"/>
      <c r="AM63" s="28"/>
      <c r="AN63" s="28"/>
      <c r="AO63" s="28"/>
      <c r="AP63" s="13"/>
      <c r="AQ63" s="13"/>
      <c r="AR63" s="86">
        <f t="shared" si="0"/>
        <v>11</v>
      </c>
    </row>
    <row r="64" spans="1:44" s="22" customFormat="1" ht="16.149999999999999" customHeight="1">
      <c r="A64" s="18">
        <v>62</v>
      </c>
      <c r="B64" s="21">
        <v>80021053</v>
      </c>
      <c r="C64" s="41" t="s">
        <v>269</v>
      </c>
      <c r="D64" s="41" t="s">
        <v>270</v>
      </c>
      <c r="E64" s="41" t="s">
        <v>46</v>
      </c>
      <c r="F64" s="41" t="s">
        <v>266</v>
      </c>
      <c r="G64" s="42" t="s">
        <v>52</v>
      </c>
      <c r="H64" s="43" t="s">
        <v>271</v>
      </c>
      <c r="I64" s="24"/>
      <c r="J64" s="24"/>
      <c r="K64" s="24"/>
      <c r="L64" s="24"/>
      <c r="M64" s="24"/>
      <c r="N64" s="24">
        <v>2</v>
      </c>
      <c r="O64" s="24"/>
      <c r="P64" s="40"/>
      <c r="Q64" s="20">
        <v>3</v>
      </c>
      <c r="R64" s="20"/>
      <c r="S64" s="20"/>
      <c r="T64" s="24"/>
      <c r="U64" s="24">
        <v>1</v>
      </c>
      <c r="V64" s="24">
        <v>1</v>
      </c>
      <c r="W64" s="24">
        <v>8</v>
      </c>
      <c r="X64" s="29"/>
      <c r="Y64" s="20"/>
      <c r="Z64" s="21"/>
      <c r="AA64" s="21"/>
      <c r="AB64" s="24"/>
      <c r="AC64" s="24"/>
      <c r="AD64" s="24"/>
      <c r="AE64" s="24"/>
      <c r="AF64" s="24"/>
      <c r="AG64" s="24"/>
      <c r="AH64" s="24"/>
      <c r="AI64" s="21"/>
      <c r="AJ64" s="21"/>
      <c r="AK64" s="21"/>
      <c r="AL64" s="21"/>
      <c r="AM64" s="28"/>
      <c r="AN64" s="28"/>
      <c r="AO64" s="28"/>
      <c r="AP64" s="21"/>
      <c r="AQ64" s="21"/>
      <c r="AR64" s="86">
        <f t="shared" si="0"/>
        <v>15</v>
      </c>
    </row>
    <row r="65" spans="1:44" ht="16.149999999999999" customHeight="1">
      <c r="A65" s="18">
        <v>63</v>
      </c>
      <c r="B65" s="13">
        <v>80021340</v>
      </c>
      <c r="C65" s="10" t="s">
        <v>272</v>
      </c>
      <c r="D65" s="10" t="s">
        <v>273</v>
      </c>
      <c r="E65" s="10" t="s">
        <v>46</v>
      </c>
      <c r="F65" s="10" t="s">
        <v>266</v>
      </c>
      <c r="G65" s="11" t="s">
        <v>274</v>
      </c>
      <c r="H65" s="12" t="s">
        <v>275</v>
      </c>
      <c r="I65" s="23"/>
      <c r="J65" s="23"/>
      <c r="K65" s="23"/>
      <c r="L65" s="23"/>
      <c r="M65" s="23"/>
      <c r="N65" s="23"/>
      <c r="O65" s="23"/>
      <c r="P65" s="16"/>
      <c r="Q65" s="18">
        <v>3</v>
      </c>
      <c r="R65" s="18"/>
      <c r="S65" s="18"/>
      <c r="T65" s="23"/>
      <c r="U65" s="23">
        <v>1</v>
      </c>
      <c r="V65" s="23">
        <v>1</v>
      </c>
      <c r="W65" s="23"/>
      <c r="X65" s="28"/>
      <c r="Y65" s="18"/>
      <c r="Z65" s="18"/>
      <c r="AA65" s="18"/>
      <c r="AB65" s="23"/>
      <c r="AC65" s="23"/>
      <c r="AD65" s="23"/>
      <c r="AE65" s="23"/>
      <c r="AF65" s="23"/>
      <c r="AG65" s="23"/>
      <c r="AH65" s="23"/>
      <c r="AI65" s="18"/>
      <c r="AJ65" s="18"/>
      <c r="AK65" s="18"/>
      <c r="AL65" s="18"/>
      <c r="AM65" s="28"/>
      <c r="AN65" s="28"/>
      <c r="AO65" s="28"/>
      <c r="AP65" s="13"/>
      <c r="AQ65" s="13"/>
      <c r="AR65" s="86">
        <f t="shared" si="0"/>
        <v>5</v>
      </c>
    </row>
    <row r="66" spans="1:44" ht="16.149999999999999" customHeight="1">
      <c r="A66" s="18">
        <v>64</v>
      </c>
      <c r="B66" s="13">
        <v>90024000</v>
      </c>
      <c r="C66" s="10" t="s">
        <v>276</v>
      </c>
      <c r="D66" s="10" t="s">
        <v>277</v>
      </c>
      <c r="E66" s="10" t="s">
        <v>46</v>
      </c>
      <c r="F66" s="10" t="s">
        <v>278</v>
      </c>
      <c r="G66" s="11" t="s">
        <v>79</v>
      </c>
      <c r="H66" s="12" t="s">
        <v>279</v>
      </c>
      <c r="I66" s="23"/>
      <c r="J66" s="23"/>
      <c r="K66" s="23"/>
      <c r="L66" s="23"/>
      <c r="M66" s="23"/>
      <c r="N66" s="23"/>
      <c r="O66" s="23">
        <v>4</v>
      </c>
      <c r="P66" s="16"/>
      <c r="Q66" s="18">
        <v>3</v>
      </c>
      <c r="R66" s="18"/>
      <c r="S66" s="18"/>
      <c r="T66" s="23"/>
      <c r="U66" s="23">
        <v>1</v>
      </c>
      <c r="V66" s="23">
        <v>1</v>
      </c>
      <c r="W66" s="23">
        <v>8</v>
      </c>
      <c r="X66" s="28"/>
      <c r="Y66" s="18"/>
      <c r="Z66" s="13"/>
      <c r="AA66" s="13"/>
      <c r="AB66" s="23"/>
      <c r="AC66" s="23"/>
      <c r="AD66" s="23"/>
      <c r="AE66" s="23"/>
      <c r="AF66" s="23"/>
      <c r="AG66" s="23"/>
      <c r="AH66" s="23"/>
      <c r="AI66" s="13"/>
      <c r="AJ66" s="13"/>
      <c r="AK66" s="13"/>
      <c r="AL66" s="13"/>
      <c r="AM66" s="28"/>
      <c r="AN66" s="28"/>
      <c r="AO66" s="28"/>
      <c r="AP66" s="13"/>
      <c r="AQ66" s="13"/>
      <c r="AR66" s="86">
        <f t="shared" si="0"/>
        <v>17</v>
      </c>
    </row>
    <row r="67" spans="1:44" ht="16.149999999999999" customHeight="1">
      <c r="A67" s="18">
        <v>65</v>
      </c>
      <c r="B67" s="13">
        <v>90024119</v>
      </c>
      <c r="C67" s="10" t="s">
        <v>280</v>
      </c>
      <c r="D67" s="10" t="s">
        <v>281</v>
      </c>
      <c r="E67" s="10" t="s">
        <v>87</v>
      </c>
      <c r="F67" s="10" t="s">
        <v>278</v>
      </c>
      <c r="G67" s="11" t="s">
        <v>282</v>
      </c>
      <c r="H67" s="12" t="s">
        <v>283</v>
      </c>
      <c r="I67" s="23"/>
      <c r="J67" s="23"/>
      <c r="K67" s="23"/>
      <c r="L67" s="23"/>
      <c r="M67" s="23"/>
      <c r="N67" s="23"/>
      <c r="O67" s="23"/>
      <c r="P67" s="16"/>
      <c r="Q67" s="18"/>
      <c r="R67" s="18"/>
      <c r="S67" s="18"/>
      <c r="T67" s="23"/>
      <c r="U67" s="23"/>
      <c r="V67" s="26"/>
      <c r="W67" s="23"/>
      <c r="X67" s="28"/>
      <c r="Y67" s="18"/>
      <c r="Z67" s="13"/>
      <c r="AA67" s="13"/>
      <c r="AB67" s="23"/>
      <c r="AC67" s="23"/>
      <c r="AD67" s="23"/>
      <c r="AE67" s="23"/>
      <c r="AF67" s="26"/>
      <c r="AG67" s="26"/>
      <c r="AH67" s="26"/>
      <c r="AI67" s="13"/>
      <c r="AJ67" s="13"/>
      <c r="AK67" s="13"/>
      <c r="AL67" s="13"/>
      <c r="AM67" s="28"/>
      <c r="AN67" s="28"/>
      <c r="AO67" s="28"/>
      <c r="AP67" s="13"/>
      <c r="AQ67" s="13"/>
      <c r="AR67" s="86">
        <f t="shared" si="0"/>
        <v>0</v>
      </c>
    </row>
    <row r="68" spans="1:44" ht="16.149999999999999" customHeight="1">
      <c r="A68" s="18">
        <v>66</v>
      </c>
      <c r="B68" s="13">
        <v>90024826</v>
      </c>
      <c r="C68" s="10" t="s">
        <v>284</v>
      </c>
      <c r="D68" s="10" t="s">
        <v>285</v>
      </c>
      <c r="E68" s="10" t="s">
        <v>87</v>
      </c>
      <c r="F68" s="10" t="s">
        <v>278</v>
      </c>
      <c r="G68" s="11" t="s">
        <v>286</v>
      </c>
      <c r="H68" s="12" t="s">
        <v>287</v>
      </c>
      <c r="I68" s="23"/>
      <c r="J68" s="23">
        <v>14</v>
      </c>
      <c r="K68" s="23"/>
      <c r="L68" s="23"/>
      <c r="M68" s="23"/>
      <c r="N68" s="23"/>
      <c r="O68" s="23">
        <v>4</v>
      </c>
      <c r="P68" s="16"/>
      <c r="Q68" s="18">
        <v>3</v>
      </c>
      <c r="R68" s="18"/>
      <c r="S68" s="18"/>
      <c r="T68" s="23"/>
      <c r="U68" s="23">
        <v>1</v>
      </c>
      <c r="V68" s="23">
        <v>1</v>
      </c>
      <c r="W68" s="23">
        <v>8</v>
      </c>
      <c r="X68" s="28"/>
      <c r="Y68" s="18"/>
      <c r="Z68" s="13"/>
      <c r="AA68" s="13"/>
      <c r="AB68" s="23"/>
      <c r="AC68" s="23"/>
      <c r="AD68" s="23"/>
      <c r="AE68" s="23"/>
      <c r="AF68" s="23"/>
      <c r="AG68" s="23"/>
      <c r="AH68" s="23"/>
      <c r="AI68" s="13"/>
      <c r="AJ68" s="13"/>
      <c r="AK68" s="13"/>
      <c r="AL68" s="13"/>
      <c r="AM68" s="28"/>
      <c r="AN68" s="28"/>
      <c r="AO68" s="28">
        <v>4</v>
      </c>
      <c r="AP68" s="13"/>
      <c r="AQ68" s="13"/>
      <c r="AR68" s="86">
        <f t="shared" ref="AR68:AR107" si="1">SUM(I68:AQ68)</f>
        <v>35</v>
      </c>
    </row>
    <row r="69" spans="1:44" ht="16.149999999999999" customHeight="1">
      <c r="A69" s="18">
        <v>67</v>
      </c>
      <c r="B69" s="13">
        <v>90023982</v>
      </c>
      <c r="C69" s="10" t="s">
        <v>288</v>
      </c>
      <c r="D69" s="10" t="s">
        <v>281</v>
      </c>
      <c r="E69" s="10" t="s">
        <v>87</v>
      </c>
      <c r="F69" s="10" t="s">
        <v>278</v>
      </c>
      <c r="G69" s="11" t="s">
        <v>79</v>
      </c>
      <c r="H69" s="12"/>
      <c r="I69" s="23"/>
      <c r="J69" s="23"/>
      <c r="K69" s="23"/>
      <c r="L69" s="23"/>
      <c r="M69" s="23"/>
      <c r="N69" s="23"/>
      <c r="O69" s="23"/>
      <c r="P69" s="16"/>
      <c r="Q69" s="18"/>
      <c r="R69" s="18"/>
      <c r="S69" s="18"/>
      <c r="T69" s="23"/>
      <c r="U69" s="23"/>
      <c r="V69" s="26"/>
      <c r="W69" s="23"/>
      <c r="X69" s="28"/>
      <c r="Y69" s="18"/>
      <c r="Z69" s="13"/>
      <c r="AA69" s="13"/>
      <c r="AB69" s="23"/>
      <c r="AC69" s="23"/>
      <c r="AD69" s="23"/>
      <c r="AE69" s="23"/>
      <c r="AF69" s="26"/>
      <c r="AG69" s="26"/>
      <c r="AH69" s="26"/>
      <c r="AI69" s="13"/>
      <c r="AJ69" s="13"/>
      <c r="AK69" s="13"/>
      <c r="AL69" s="13"/>
      <c r="AM69" s="28"/>
      <c r="AN69" s="28"/>
      <c r="AO69" s="28"/>
      <c r="AP69" s="13"/>
      <c r="AQ69" s="13"/>
      <c r="AR69" s="86">
        <f t="shared" si="1"/>
        <v>0</v>
      </c>
    </row>
    <row r="70" spans="1:44" ht="16.149999999999999" customHeight="1">
      <c r="A70" s="18">
        <v>68</v>
      </c>
      <c r="B70" s="69">
        <v>90027885</v>
      </c>
      <c r="C70" s="10" t="s">
        <v>289</v>
      </c>
      <c r="D70" s="10" t="s">
        <v>290</v>
      </c>
      <c r="E70" s="10" t="s">
        <v>87</v>
      </c>
      <c r="F70" s="10" t="s">
        <v>278</v>
      </c>
      <c r="G70" s="11" t="s">
        <v>79</v>
      </c>
      <c r="H70" s="12" t="s">
        <v>291</v>
      </c>
      <c r="I70" s="23"/>
      <c r="J70" s="23"/>
      <c r="K70" s="23"/>
      <c r="L70" s="23"/>
      <c r="M70" s="23">
        <v>3</v>
      </c>
      <c r="N70" s="23">
        <v>2</v>
      </c>
      <c r="O70" s="23">
        <v>4</v>
      </c>
      <c r="P70" s="16"/>
      <c r="Q70" s="18">
        <v>3</v>
      </c>
      <c r="R70" s="18"/>
      <c r="S70" s="18"/>
      <c r="T70" s="23"/>
      <c r="U70" s="23"/>
      <c r="V70" s="26"/>
      <c r="W70" s="23"/>
      <c r="X70" s="28"/>
      <c r="Y70" s="18"/>
      <c r="Z70" s="13"/>
      <c r="AA70" s="13"/>
      <c r="AB70" s="23"/>
      <c r="AC70" s="23"/>
      <c r="AD70" s="23"/>
      <c r="AE70" s="23"/>
      <c r="AF70" s="26"/>
      <c r="AG70" s="26"/>
      <c r="AH70" s="26"/>
      <c r="AI70" s="13"/>
      <c r="AJ70" s="13"/>
      <c r="AK70" s="13"/>
      <c r="AL70" s="13"/>
      <c r="AM70" s="28"/>
      <c r="AN70" s="28"/>
      <c r="AO70" s="28"/>
      <c r="AP70" s="13"/>
      <c r="AQ70" s="13"/>
      <c r="AR70" s="86">
        <f t="shared" si="1"/>
        <v>12</v>
      </c>
    </row>
    <row r="71" spans="1:44" ht="16.149999999999999" customHeight="1">
      <c r="A71" s="18">
        <v>69</v>
      </c>
      <c r="B71" s="13">
        <v>90024150</v>
      </c>
      <c r="C71" s="10" t="s">
        <v>292</v>
      </c>
      <c r="D71" s="10" t="s">
        <v>293</v>
      </c>
      <c r="E71" s="10" t="s">
        <v>87</v>
      </c>
      <c r="F71" s="10" t="s">
        <v>278</v>
      </c>
      <c r="G71" s="11" t="s">
        <v>294</v>
      </c>
      <c r="H71" s="12" t="s">
        <v>295</v>
      </c>
      <c r="I71" s="23"/>
      <c r="J71" s="23"/>
      <c r="K71" s="23"/>
      <c r="L71" s="23"/>
      <c r="M71" s="23"/>
      <c r="N71" s="23">
        <v>2</v>
      </c>
      <c r="O71" s="23"/>
      <c r="P71" s="16"/>
      <c r="Q71" s="18">
        <v>3</v>
      </c>
      <c r="R71" s="18">
        <v>1.5</v>
      </c>
      <c r="S71" s="18"/>
      <c r="T71" s="23"/>
      <c r="U71" s="23">
        <v>1</v>
      </c>
      <c r="V71" s="23">
        <v>1</v>
      </c>
      <c r="W71" s="23"/>
      <c r="X71" s="28">
        <v>1.5</v>
      </c>
      <c r="Y71" s="18"/>
      <c r="Z71" s="13"/>
      <c r="AA71" s="13"/>
      <c r="AB71" s="23"/>
      <c r="AC71" s="23"/>
      <c r="AD71" s="23"/>
      <c r="AE71" s="23"/>
      <c r="AF71" s="23"/>
      <c r="AG71" s="23"/>
      <c r="AH71" s="23"/>
      <c r="AI71" s="13"/>
      <c r="AJ71" s="13"/>
      <c r="AK71" s="13"/>
      <c r="AL71" s="13"/>
      <c r="AM71" s="28"/>
      <c r="AN71" s="28"/>
      <c r="AO71" s="28"/>
      <c r="AP71" s="13">
        <v>1.5</v>
      </c>
      <c r="AQ71" s="13"/>
      <c r="AR71" s="86">
        <f t="shared" si="1"/>
        <v>11.5</v>
      </c>
    </row>
    <row r="72" spans="1:44" ht="16.149999999999999" customHeight="1">
      <c r="A72" s="18">
        <v>70</v>
      </c>
      <c r="B72" s="13">
        <v>90024253</v>
      </c>
      <c r="C72" s="10" t="s">
        <v>296</v>
      </c>
      <c r="D72" s="10" t="s">
        <v>281</v>
      </c>
      <c r="E72" s="10" t="s">
        <v>87</v>
      </c>
      <c r="F72" s="10" t="s">
        <v>278</v>
      </c>
      <c r="G72" s="11" t="s">
        <v>297</v>
      </c>
      <c r="H72" s="12"/>
      <c r="I72" s="23"/>
      <c r="J72" s="23"/>
      <c r="K72" s="23"/>
      <c r="L72" s="23"/>
      <c r="M72" s="23"/>
      <c r="N72" s="23"/>
      <c r="O72" s="23"/>
      <c r="P72" s="16"/>
      <c r="Q72" s="18"/>
      <c r="R72" s="18"/>
      <c r="S72" s="18"/>
      <c r="T72" s="23"/>
      <c r="U72" s="23"/>
      <c r="V72" s="26"/>
      <c r="W72" s="23"/>
      <c r="X72" s="28"/>
      <c r="Y72" s="18"/>
      <c r="Z72" s="13"/>
      <c r="AA72" s="13"/>
      <c r="AB72" s="23"/>
      <c r="AC72" s="23"/>
      <c r="AD72" s="23"/>
      <c r="AE72" s="23"/>
      <c r="AF72" s="26"/>
      <c r="AG72" s="26"/>
      <c r="AH72" s="26"/>
      <c r="AI72" s="13"/>
      <c r="AJ72" s="13"/>
      <c r="AK72" s="13"/>
      <c r="AL72" s="13"/>
      <c r="AM72" s="28"/>
      <c r="AN72" s="28"/>
      <c r="AO72" s="28"/>
      <c r="AP72" s="13"/>
      <c r="AQ72" s="13"/>
      <c r="AR72" s="86">
        <f t="shared" si="1"/>
        <v>0</v>
      </c>
    </row>
    <row r="73" spans="1:44" s="22" customFormat="1" ht="16.149999999999999" customHeight="1">
      <c r="A73" s="18">
        <v>71</v>
      </c>
      <c r="B73" s="21">
        <v>90024385</v>
      </c>
      <c r="C73" s="41" t="s">
        <v>298</v>
      </c>
      <c r="D73" s="41" t="s">
        <v>299</v>
      </c>
      <c r="E73" s="41" t="s">
        <v>87</v>
      </c>
      <c r="F73" s="41" t="s">
        <v>278</v>
      </c>
      <c r="G73" s="42" t="s">
        <v>147</v>
      </c>
      <c r="H73" s="43" t="s">
        <v>300</v>
      </c>
      <c r="I73" s="24"/>
      <c r="J73" s="24"/>
      <c r="K73" s="24"/>
      <c r="L73" s="24"/>
      <c r="M73" s="24"/>
      <c r="N73" s="24"/>
      <c r="O73" s="24">
        <v>4</v>
      </c>
      <c r="P73" s="40"/>
      <c r="Q73" s="20">
        <v>3</v>
      </c>
      <c r="R73" s="20"/>
      <c r="S73" s="20"/>
      <c r="T73" s="24"/>
      <c r="U73" s="24">
        <v>1</v>
      </c>
      <c r="V73" s="24">
        <v>1</v>
      </c>
      <c r="W73" s="24">
        <v>8</v>
      </c>
      <c r="X73" s="29"/>
      <c r="Y73" s="20"/>
      <c r="Z73" s="21"/>
      <c r="AA73" s="21"/>
      <c r="AB73" s="24"/>
      <c r="AC73" s="24"/>
      <c r="AD73" s="24"/>
      <c r="AE73" s="24"/>
      <c r="AF73" s="24"/>
      <c r="AG73" s="23">
        <v>2</v>
      </c>
      <c r="AH73" s="24"/>
      <c r="AI73" s="21"/>
      <c r="AJ73" s="21"/>
      <c r="AK73" s="21"/>
      <c r="AL73" s="21"/>
      <c r="AM73" s="28"/>
      <c r="AN73" s="28"/>
      <c r="AO73" s="28"/>
      <c r="AP73" s="21"/>
      <c r="AQ73" s="21"/>
      <c r="AR73" s="86">
        <f t="shared" si="1"/>
        <v>19</v>
      </c>
    </row>
    <row r="74" spans="1:44" ht="16.149999999999999" customHeight="1">
      <c r="A74" s="18">
        <v>72</v>
      </c>
      <c r="B74" s="13">
        <v>90024844</v>
      </c>
      <c r="C74" s="10" t="s">
        <v>301</v>
      </c>
      <c r="D74" s="10" t="s">
        <v>299</v>
      </c>
      <c r="E74" s="10" t="s">
        <v>87</v>
      </c>
      <c r="F74" s="10" t="s">
        <v>278</v>
      </c>
      <c r="G74" s="11" t="s">
        <v>302</v>
      </c>
      <c r="H74" s="12" t="s">
        <v>303</v>
      </c>
      <c r="I74" s="23"/>
      <c r="J74" s="23"/>
      <c r="K74" s="23"/>
      <c r="L74" s="23"/>
      <c r="M74" s="23"/>
      <c r="N74" s="23"/>
      <c r="O74" s="23">
        <v>4</v>
      </c>
      <c r="P74" s="16"/>
      <c r="Q74" s="18">
        <v>3</v>
      </c>
      <c r="R74" s="18"/>
      <c r="S74" s="18"/>
      <c r="T74" s="23"/>
      <c r="U74" s="23">
        <v>1</v>
      </c>
      <c r="V74" s="23">
        <v>1</v>
      </c>
      <c r="W74" s="23"/>
      <c r="X74" s="28"/>
      <c r="Y74" s="18"/>
      <c r="Z74" s="13"/>
      <c r="AA74" s="13"/>
      <c r="AB74" s="23"/>
      <c r="AC74" s="23"/>
      <c r="AD74" s="23"/>
      <c r="AE74" s="23"/>
      <c r="AF74" s="23"/>
      <c r="AG74" s="23"/>
      <c r="AH74" s="23"/>
      <c r="AI74" s="13"/>
      <c r="AJ74" s="13"/>
      <c r="AK74" s="13"/>
      <c r="AL74" s="13"/>
      <c r="AM74" s="28"/>
      <c r="AN74" s="28"/>
      <c r="AO74" s="28"/>
      <c r="AP74" s="13"/>
      <c r="AQ74" s="13"/>
      <c r="AR74" s="86">
        <f t="shared" si="1"/>
        <v>9</v>
      </c>
    </row>
    <row r="75" spans="1:44" ht="16.149999999999999" customHeight="1">
      <c r="A75" s="18">
        <v>73</v>
      </c>
      <c r="B75" s="13">
        <v>90026409</v>
      </c>
      <c r="C75" s="10" t="s">
        <v>304</v>
      </c>
      <c r="D75" s="10" t="s">
        <v>305</v>
      </c>
      <c r="E75" s="10" t="s">
        <v>87</v>
      </c>
      <c r="F75" s="10" t="s">
        <v>278</v>
      </c>
      <c r="G75" s="11" t="s">
        <v>306</v>
      </c>
      <c r="H75" s="12" t="s">
        <v>307</v>
      </c>
      <c r="I75" s="23"/>
      <c r="J75" s="23"/>
      <c r="K75" s="23"/>
      <c r="L75" s="23"/>
      <c r="M75" s="23"/>
      <c r="N75" s="23">
        <v>2</v>
      </c>
      <c r="O75" s="23"/>
      <c r="P75" s="16"/>
      <c r="Q75" s="18">
        <v>3</v>
      </c>
      <c r="R75" s="18">
        <v>1.5</v>
      </c>
      <c r="S75" s="18">
        <v>2</v>
      </c>
      <c r="T75" s="23"/>
      <c r="U75" s="23">
        <v>1</v>
      </c>
      <c r="V75" s="23">
        <v>1</v>
      </c>
      <c r="W75" s="23"/>
      <c r="X75" s="28">
        <v>1.5</v>
      </c>
      <c r="Y75" s="18"/>
      <c r="Z75" s="13"/>
      <c r="AA75" s="13"/>
      <c r="AB75" s="23"/>
      <c r="AC75" s="23"/>
      <c r="AD75" s="23"/>
      <c r="AE75" s="23"/>
      <c r="AF75" s="23"/>
      <c r="AG75" s="23">
        <v>2</v>
      </c>
      <c r="AH75" s="23"/>
      <c r="AI75" s="13"/>
      <c r="AJ75" s="13"/>
      <c r="AK75" s="13"/>
      <c r="AL75" s="13"/>
      <c r="AM75" s="28"/>
      <c r="AN75" s="28"/>
      <c r="AO75" s="28"/>
      <c r="AP75" s="13"/>
      <c r="AQ75" s="13"/>
      <c r="AR75" s="86">
        <f t="shared" si="1"/>
        <v>14</v>
      </c>
    </row>
    <row r="76" spans="1:44" ht="16.149999999999999" customHeight="1">
      <c r="A76" s="18">
        <v>74</v>
      </c>
      <c r="B76" s="13">
        <v>90026481</v>
      </c>
      <c r="C76" s="10" t="s">
        <v>308</v>
      </c>
      <c r="D76" s="10" t="s">
        <v>309</v>
      </c>
      <c r="E76" s="10" t="s">
        <v>46</v>
      </c>
      <c r="F76" s="10" t="s">
        <v>278</v>
      </c>
      <c r="G76" s="11" t="s">
        <v>310</v>
      </c>
      <c r="H76" s="12" t="s">
        <v>311</v>
      </c>
      <c r="I76" s="23"/>
      <c r="J76" s="23"/>
      <c r="K76" s="23"/>
      <c r="L76" s="23"/>
      <c r="M76" s="23"/>
      <c r="N76" s="23"/>
      <c r="O76" s="23"/>
      <c r="P76" s="16"/>
      <c r="Q76" s="18">
        <v>2</v>
      </c>
      <c r="R76" s="18"/>
      <c r="S76" s="18"/>
      <c r="T76" s="23"/>
      <c r="U76" s="23">
        <v>1</v>
      </c>
      <c r="V76" s="23">
        <v>1</v>
      </c>
      <c r="W76" s="23"/>
      <c r="X76" s="28"/>
      <c r="Y76" s="18">
        <v>8</v>
      </c>
      <c r="Z76" s="18"/>
      <c r="AA76" s="18"/>
      <c r="AB76" s="23"/>
      <c r="AC76" s="23"/>
      <c r="AD76" s="23"/>
      <c r="AE76" s="23"/>
      <c r="AF76" s="23"/>
      <c r="AG76" s="23"/>
      <c r="AH76" s="23"/>
      <c r="AI76" s="18"/>
      <c r="AJ76" s="18"/>
      <c r="AK76" s="18"/>
      <c r="AL76" s="18"/>
      <c r="AM76" s="28"/>
      <c r="AN76" s="28"/>
      <c r="AO76" s="28"/>
      <c r="AP76" s="13"/>
      <c r="AQ76" s="13"/>
      <c r="AR76" s="86">
        <f t="shared" si="1"/>
        <v>12</v>
      </c>
    </row>
    <row r="77" spans="1:44" ht="16.149999999999999" customHeight="1">
      <c r="A77" s="18">
        <v>75</v>
      </c>
      <c r="B77" s="13">
        <v>90027017</v>
      </c>
      <c r="C77" s="10" t="s">
        <v>312</v>
      </c>
      <c r="D77" s="10" t="s">
        <v>313</v>
      </c>
      <c r="E77" s="10" t="s">
        <v>87</v>
      </c>
      <c r="F77" s="10" t="s">
        <v>74</v>
      </c>
      <c r="G77" s="11" t="s">
        <v>314</v>
      </c>
      <c r="H77" s="12" t="s">
        <v>315</v>
      </c>
      <c r="I77" s="23">
        <v>1</v>
      </c>
      <c r="J77" s="23"/>
      <c r="K77" s="23"/>
      <c r="L77" s="23"/>
      <c r="M77" s="23"/>
      <c r="N77" s="23">
        <v>2</v>
      </c>
      <c r="O77" s="23">
        <v>4</v>
      </c>
      <c r="P77" s="16"/>
      <c r="Q77" s="18">
        <v>2</v>
      </c>
      <c r="R77" s="18"/>
      <c r="S77" s="18"/>
      <c r="T77" s="23"/>
      <c r="U77" s="23">
        <v>1</v>
      </c>
      <c r="V77" s="23">
        <v>1</v>
      </c>
      <c r="W77" s="23"/>
      <c r="X77" s="28"/>
      <c r="Y77" s="18"/>
      <c r="Z77" s="13"/>
      <c r="AA77" s="13"/>
      <c r="AB77" s="23"/>
      <c r="AC77" s="23"/>
      <c r="AD77" s="23">
        <v>1</v>
      </c>
      <c r="AE77" s="23"/>
      <c r="AF77" s="23"/>
      <c r="AG77" s="23">
        <v>2</v>
      </c>
      <c r="AH77" s="23"/>
      <c r="AI77" s="13"/>
      <c r="AJ77" s="13"/>
      <c r="AK77" s="13"/>
      <c r="AL77" s="13"/>
      <c r="AM77" s="28"/>
      <c r="AN77" s="28"/>
      <c r="AO77" s="28"/>
      <c r="AP77" s="13"/>
      <c r="AQ77" s="13"/>
      <c r="AR77" s="86">
        <f t="shared" si="1"/>
        <v>14</v>
      </c>
    </row>
    <row r="78" spans="1:44" s="22" customFormat="1" ht="16.149999999999999" customHeight="1">
      <c r="A78" s="18">
        <v>76</v>
      </c>
      <c r="B78" s="21">
        <v>90027045</v>
      </c>
      <c r="C78" s="41" t="s">
        <v>316</v>
      </c>
      <c r="D78" s="41" t="s">
        <v>317</v>
      </c>
      <c r="E78" s="41" t="s">
        <v>46</v>
      </c>
      <c r="F78" s="41" t="s">
        <v>278</v>
      </c>
      <c r="G78" s="42" t="s">
        <v>318</v>
      </c>
      <c r="H78" s="43" t="s">
        <v>319</v>
      </c>
      <c r="I78" s="24">
        <v>1</v>
      </c>
      <c r="J78" s="24"/>
      <c r="K78" s="24"/>
      <c r="L78" s="24"/>
      <c r="M78" s="24"/>
      <c r="N78" s="24">
        <v>2</v>
      </c>
      <c r="O78" s="24">
        <v>4</v>
      </c>
      <c r="P78" s="40"/>
      <c r="Q78" s="20">
        <v>2</v>
      </c>
      <c r="R78" s="20"/>
      <c r="S78" s="20"/>
      <c r="T78" s="24"/>
      <c r="U78" s="24">
        <v>1</v>
      </c>
      <c r="V78" s="24">
        <v>1</v>
      </c>
      <c r="W78" s="24">
        <v>8</v>
      </c>
      <c r="X78" s="29"/>
      <c r="Y78" s="20">
        <v>8</v>
      </c>
      <c r="Z78" s="20"/>
      <c r="AA78" s="20"/>
      <c r="AB78" s="24"/>
      <c r="AC78" s="24"/>
      <c r="AD78" s="24">
        <v>1</v>
      </c>
      <c r="AE78" s="24"/>
      <c r="AF78" s="24"/>
      <c r="AG78" s="24"/>
      <c r="AH78" s="24"/>
      <c r="AI78" s="20">
        <v>24</v>
      </c>
      <c r="AJ78" s="20"/>
      <c r="AK78" s="20"/>
      <c r="AL78" s="20"/>
      <c r="AM78" s="28"/>
      <c r="AN78" s="28"/>
      <c r="AO78" s="28"/>
      <c r="AP78" s="21"/>
      <c r="AQ78" s="21"/>
      <c r="AR78" s="86">
        <f t="shared" si="1"/>
        <v>52</v>
      </c>
    </row>
    <row r="79" spans="1:44" ht="16.149999999999999" customHeight="1">
      <c r="A79" s="18">
        <v>77</v>
      </c>
      <c r="B79" s="13">
        <v>90024694</v>
      </c>
      <c r="C79" s="10" t="s">
        <v>320</v>
      </c>
      <c r="D79" s="10" t="s">
        <v>321</v>
      </c>
      <c r="E79" s="10" t="s">
        <v>46</v>
      </c>
      <c r="F79" s="10" t="s">
        <v>322</v>
      </c>
      <c r="G79" s="11" t="s">
        <v>323</v>
      </c>
      <c r="H79" s="12" t="s">
        <v>324</v>
      </c>
      <c r="I79" s="23"/>
      <c r="J79" s="23"/>
      <c r="K79" s="23"/>
      <c r="L79" s="23"/>
      <c r="M79" s="23"/>
      <c r="N79" s="23">
        <v>2</v>
      </c>
      <c r="O79" s="23"/>
      <c r="P79" s="16"/>
      <c r="Q79" s="18">
        <v>3</v>
      </c>
      <c r="R79" s="18"/>
      <c r="S79" s="18"/>
      <c r="T79" s="23"/>
      <c r="U79" s="23">
        <v>1</v>
      </c>
      <c r="V79" s="23">
        <v>1</v>
      </c>
      <c r="W79" s="23"/>
      <c r="X79" s="28"/>
      <c r="Y79" s="18"/>
      <c r="Z79" s="13"/>
      <c r="AA79" s="13"/>
      <c r="AB79" s="23"/>
      <c r="AC79" s="23"/>
      <c r="AD79" s="23"/>
      <c r="AE79" s="23"/>
      <c r="AF79" s="23"/>
      <c r="AG79" s="23"/>
      <c r="AH79" s="23"/>
      <c r="AI79" s="13"/>
      <c r="AJ79" s="13"/>
      <c r="AK79" s="13"/>
      <c r="AL79" s="13"/>
      <c r="AM79" s="28"/>
      <c r="AN79" s="28"/>
      <c r="AO79" s="28"/>
      <c r="AP79" s="13"/>
      <c r="AQ79" s="13"/>
      <c r="AR79" s="86">
        <f t="shared" si="1"/>
        <v>7</v>
      </c>
    </row>
    <row r="80" spans="1:44" ht="16.149999999999999" customHeight="1">
      <c r="A80" s="18">
        <v>78</v>
      </c>
      <c r="B80" s="13">
        <v>90026766</v>
      </c>
      <c r="C80" s="10" t="s">
        <v>325</v>
      </c>
      <c r="D80" s="10" t="s">
        <v>326</v>
      </c>
      <c r="E80" s="10" t="s">
        <v>46</v>
      </c>
      <c r="F80" s="10" t="s">
        <v>322</v>
      </c>
      <c r="G80" s="11" t="s">
        <v>327</v>
      </c>
      <c r="H80" s="12" t="s">
        <v>328</v>
      </c>
      <c r="I80" s="23"/>
      <c r="J80" s="23"/>
      <c r="K80" s="23"/>
      <c r="L80" s="23"/>
      <c r="M80" s="23"/>
      <c r="N80" s="23"/>
      <c r="O80" s="23"/>
      <c r="P80" s="16"/>
      <c r="Q80" s="18">
        <v>2</v>
      </c>
      <c r="R80" s="18"/>
      <c r="S80" s="18"/>
      <c r="T80" s="23"/>
      <c r="U80" s="23"/>
      <c r="V80" s="26"/>
      <c r="W80" s="23"/>
      <c r="X80" s="28"/>
      <c r="Y80" s="18"/>
      <c r="Z80" s="13"/>
      <c r="AA80" s="13"/>
      <c r="AB80" s="23"/>
      <c r="AC80" s="23"/>
      <c r="AD80" s="23"/>
      <c r="AE80" s="23"/>
      <c r="AF80" s="26"/>
      <c r="AG80" s="26"/>
      <c r="AH80" s="26"/>
      <c r="AI80" s="13"/>
      <c r="AJ80" s="13"/>
      <c r="AK80" s="13"/>
      <c r="AL80" s="13"/>
      <c r="AM80" s="28"/>
      <c r="AN80" s="28"/>
      <c r="AO80" s="28"/>
      <c r="AP80" s="13"/>
      <c r="AQ80" s="13"/>
      <c r="AR80" s="86">
        <f t="shared" si="1"/>
        <v>2</v>
      </c>
    </row>
    <row r="81" spans="1:44" ht="16.149999999999999" customHeight="1">
      <c r="A81" s="18">
        <v>79</v>
      </c>
      <c r="B81" s="13">
        <v>90026806</v>
      </c>
      <c r="C81" s="10" t="s">
        <v>329</v>
      </c>
      <c r="D81" s="10" t="s">
        <v>330</v>
      </c>
      <c r="E81" s="10" t="s">
        <v>87</v>
      </c>
      <c r="F81" s="10" t="s">
        <v>322</v>
      </c>
      <c r="G81" s="11" t="s">
        <v>331</v>
      </c>
      <c r="H81" s="12" t="s">
        <v>332</v>
      </c>
      <c r="I81" s="23"/>
      <c r="J81" s="23"/>
      <c r="K81" s="23"/>
      <c r="L81" s="23"/>
      <c r="M81" s="23"/>
      <c r="N81" s="23"/>
      <c r="O81" s="23"/>
      <c r="P81" s="16"/>
      <c r="Q81" s="18">
        <v>2</v>
      </c>
      <c r="R81" s="18"/>
      <c r="S81" s="18"/>
      <c r="T81" s="23"/>
      <c r="U81" s="23"/>
      <c r="V81" s="26"/>
      <c r="W81" s="23"/>
      <c r="X81" s="28"/>
      <c r="Y81" s="18"/>
      <c r="Z81" s="13"/>
      <c r="AA81" s="13"/>
      <c r="AB81" s="23"/>
      <c r="AC81" s="23"/>
      <c r="AD81" s="23"/>
      <c r="AE81" s="23"/>
      <c r="AF81" s="26"/>
      <c r="AG81" s="26"/>
      <c r="AH81" s="26"/>
      <c r="AI81" s="13"/>
      <c r="AJ81" s="13"/>
      <c r="AK81" s="13"/>
      <c r="AL81" s="13"/>
      <c r="AM81" s="28"/>
      <c r="AN81" s="28"/>
      <c r="AO81" s="28"/>
      <c r="AP81" s="13"/>
      <c r="AQ81" s="13"/>
      <c r="AR81" s="86">
        <f t="shared" si="1"/>
        <v>2</v>
      </c>
    </row>
    <row r="82" spans="1:44" ht="16.149999999999999" customHeight="1">
      <c r="A82" s="18">
        <v>80</v>
      </c>
      <c r="B82" s="13">
        <v>80021503</v>
      </c>
      <c r="C82" s="10" t="s">
        <v>333</v>
      </c>
      <c r="D82" s="10" t="s">
        <v>330</v>
      </c>
      <c r="E82" s="10" t="s">
        <v>87</v>
      </c>
      <c r="F82" s="10" t="s">
        <v>322</v>
      </c>
      <c r="G82" s="11" t="s">
        <v>334</v>
      </c>
      <c r="H82" s="12" t="s">
        <v>335</v>
      </c>
      <c r="I82" s="23"/>
      <c r="J82" s="23"/>
      <c r="K82" s="23"/>
      <c r="L82" s="23"/>
      <c r="M82" s="23"/>
      <c r="N82" s="23"/>
      <c r="O82" s="23"/>
      <c r="P82" s="16"/>
      <c r="Q82" s="18">
        <v>3</v>
      </c>
      <c r="R82" s="18"/>
      <c r="S82" s="18"/>
      <c r="T82" s="23"/>
      <c r="U82" s="23"/>
      <c r="V82" s="26"/>
      <c r="W82" s="23"/>
      <c r="X82" s="28"/>
      <c r="Y82" s="18"/>
      <c r="Z82" s="13"/>
      <c r="AA82" s="13"/>
      <c r="AB82" s="23"/>
      <c r="AC82" s="23"/>
      <c r="AD82" s="23"/>
      <c r="AE82" s="23"/>
      <c r="AF82" s="26"/>
      <c r="AG82" s="26"/>
      <c r="AH82" s="26"/>
      <c r="AI82" s="13"/>
      <c r="AJ82" s="13"/>
      <c r="AK82" s="13"/>
      <c r="AL82" s="13"/>
      <c r="AM82" s="28"/>
      <c r="AN82" s="28"/>
      <c r="AO82" s="28"/>
      <c r="AP82" s="13"/>
      <c r="AQ82" s="13"/>
      <c r="AR82" s="86">
        <f t="shared" si="1"/>
        <v>3</v>
      </c>
    </row>
    <row r="83" spans="1:44" ht="16.149999999999999" customHeight="1">
      <c r="A83" s="18">
        <v>81</v>
      </c>
      <c r="B83" s="13">
        <v>80021504</v>
      </c>
      <c r="C83" s="10" t="s">
        <v>336</v>
      </c>
      <c r="D83" s="10" t="s">
        <v>330</v>
      </c>
      <c r="E83" s="10" t="s">
        <v>87</v>
      </c>
      <c r="F83" s="10" t="s">
        <v>322</v>
      </c>
      <c r="G83" s="11" t="s">
        <v>334</v>
      </c>
      <c r="H83" s="12" t="s">
        <v>337</v>
      </c>
      <c r="I83" s="23"/>
      <c r="J83" s="23"/>
      <c r="K83" s="23"/>
      <c r="L83" s="23"/>
      <c r="M83" s="23"/>
      <c r="N83" s="23"/>
      <c r="O83" s="23"/>
      <c r="P83" s="16"/>
      <c r="Q83" s="18">
        <v>3</v>
      </c>
      <c r="R83" s="18">
        <v>1.5</v>
      </c>
      <c r="S83" s="18"/>
      <c r="T83" s="23"/>
      <c r="U83" s="23">
        <v>1</v>
      </c>
      <c r="V83" s="23">
        <v>1</v>
      </c>
      <c r="W83" s="23"/>
      <c r="X83" s="28">
        <v>1.5</v>
      </c>
      <c r="Y83" s="18"/>
      <c r="Z83" s="13"/>
      <c r="AA83" s="13"/>
      <c r="AB83" s="23"/>
      <c r="AC83" s="23"/>
      <c r="AD83" s="23"/>
      <c r="AE83" s="23"/>
      <c r="AF83" s="23"/>
      <c r="AG83" s="23"/>
      <c r="AH83" s="23"/>
      <c r="AI83" s="13"/>
      <c r="AJ83" s="13"/>
      <c r="AK83" s="13"/>
      <c r="AL83" s="13"/>
      <c r="AM83" s="28"/>
      <c r="AN83" s="28"/>
      <c r="AO83" s="28"/>
      <c r="AP83" s="13"/>
      <c r="AQ83" s="13"/>
      <c r="AR83" s="86">
        <f t="shared" si="1"/>
        <v>8</v>
      </c>
    </row>
    <row r="84" spans="1:44" ht="16.149999999999999" customHeight="1">
      <c r="A84" s="18">
        <v>82</v>
      </c>
      <c r="B84" s="13">
        <v>80022354</v>
      </c>
      <c r="C84" s="10" t="s">
        <v>338</v>
      </c>
      <c r="D84" s="10" t="s">
        <v>339</v>
      </c>
      <c r="E84" s="10" t="s">
        <v>46</v>
      </c>
      <c r="F84" s="10" t="s">
        <v>322</v>
      </c>
      <c r="G84" s="11" t="s">
        <v>107</v>
      </c>
      <c r="H84" s="12" t="s">
        <v>340</v>
      </c>
      <c r="I84" s="23"/>
      <c r="J84" s="23"/>
      <c r="K84" s="23"/>
      <c r="L84" s="23"/>
      <c r="M84" s="23"/>
      <c r="N84" s="23"/>
      <c r="O84" s="23"/>
      <c r="P84" s="16"/>
      <c r="Q84" s="18">
        <v>3</v>
      </c>
      <c r="R84" s="18"/>
      <c r="S84" s="18"/>
      <c r="T84" s="23"/>
      <c r="U84" s="23">
        <v>1</v>
      </c>
      <c r="V84" s="26"/>
      <c r="W84" s="23"/>
      <c r="X84" s="28"/>
      <c r="Y84" s="18"/>
      <c r="Z84" s="13"/>
      <c r="AA84" s="13"/>
      <c r="AB84" s="23"/>
      <c r="AC84" s="23"/>
      <c r="AD84" s="23"/>
      <c r="AE84" s="23"/>
      <c r="AF84" s="26"/>
      <c r="AG84" s="26"/>
      <c r="AH84" s="26"/>
      <c r="AI84" s="13"/>
      <c r="AJ84" s="13"/>
      <c r="AK84" s="13"/>
      <c r="AL84" s="13"/>
      <c r="AM84" s="28"/>
      <c r="AN84" s="28"/>
      <c r="AO84" s="28"/>
      <c r="AP84" s="13">
        <v>1.5</v>
      </c>
      <c r="AQ84" s="13"/>
      <c r="AR84" s="86">
        <f t="shared" si="1"/>
        <v>5.5</v>
      </c>
    </row>
    <row r="85" spans="1:44" s="22" customFormat="1" ht="16.149999999999999" customHeight="1">
      <c r="A85" s="18">
        <v>83</v>
      </c>
      <c r="B85" s="21">
        <v>80022427</v>
      </c>
      <c r="C85" s="41" t="s">
        <v>341</v>
      </c>
      <c r="D85" s="41" t="s">
        <v>342</v>
      </c>
      <c r="E85" s="41" t="s">
        <v>87</v>
      </c>
      <c r="F85" s="41" t="s">
        <v>322</v>
      </c>
      <c r="G85" s="42" t="s">
        <v>343</v>
      </c>
      <c r="H85" s="43" t="s">
        <v>344</v>
      </c>
      <c r="I85" s="24"/>
      <c r="J85" s="24"/>
      <c r="K85" s="24"/>
      <c r="L85" s="24"/>
      <c r="M85" s="24"/>
      <c r="N85" s="24">
        <v>2</v>
      </c>
      <c r="O85" s="24"/>
      <c r="P85" s="40"/>
      <c r="Q85" s="20">
        <v>3</v>
      </c>
      <c r="R85" s="20"/>
      <c r="S85" s="20"/>
      <c r="T85" s="24"/>
      <c r="U85" s="24">
        <v>1</v>
      </c>
      <c r="V85" s="24">
        <v>1</v>
      </c>
      <c r="W85" s="24"/>
      <c r="X85" s="29">
        <v>1.5</v>
      </c>
      <c r="Y85" s="20"/>
      <c r="Z85" s="21"/>
      <c r="AA85" s="21"/>
      <c r="AB85" s="24"/>
      <c r="AC85" s="24"/>
      <c r="AD85" s="24"/>
      <c r="AE85" s="24"/>
      <c r="AF85" s="24"/>
      <c r="AG85" s="24"/>
      <c r="AH85" s="24"/>
      <c r="AI85" s="21"/>
      <c r="AJ85" s="21"/>
      <c r="AK85" s="21"/>
      <c r="AL85" s="21"/>
      <c r="AM85" s="28"/>
      <c r="AN85" s="28"/>
      <c r="AO85" s="28"/>
      <c r="AP85" s="21"/>
      <c r="AQ85" s="21"/>
      <c r="AR85" s="86">
        <f t="shared" si="1"/>
        <v>8.5</v>
      </c>
    </row>
    <row r="86" spans="1:44" ht="16.149999999999999" customHeight="1">
      <c r="A86" s="18">
        <v>84</v>
      </c>
      <c r="B86" s="13">
        <v>80023384</v>
      </c>
      <c r="C86" s="10" t="s">
        <v>345</v>
      </c>
      <c r="D86" s="10" t="s">
        <v>346</v>
      </c>
      <c r="E86" s="10" t="s">
        <v>46</v>
      </c>
      <c r="F86" s="10" t="s">
        <v>322</v>
      </c>
      <c r="G86" s="11" t="s">
        <v>347</v>
      </c>
      <c r="H86" s="12" t="s">
        <v>348</v>
      </c>
      <c r="I86" s="23"/>
      <c r="J86" s="23"/>
      <c r="K86" s="23"/>
      <c r="L86" s="23"/>
      <c r="M86" s="23"/>
      <c r="N86" s="23">
        <v>2</v>
      </c>
      <c r="O86" s="23"/>
      <c r="P86" s="16"/>
      <c r="Q86" s="18">
        <v>3</v>
      </c>
      <c r="R86" s="18"/>
      <c r="S86" s="18"/>
      <c r="T86" s="23"/>
      <c r="U86" s="23"/>
      <c r="V86" s="26"/>
      <c r="W86" s="23"/>
      <c r="X86" s="28"/>
      <c r="Y86" s="18"/>
      <c r="Z86" s="13"/>
      <c r="AA86" s="13"/>
      <c r="AB86" s="23"/>
      <c r="AC86" s="23"/>
      <c r="AD86" s="23"/>
      <c r="AE86" s="23"/>
      <c r="AF86" s="26"/>
      <c r="AG86" s="26"/>
      <c r="AH86" s="26"/>
      <c r="AI86" s="13"/>
      <c r="AJ86" s="13"/>
      <c r="AK86" s="13"/>
      <c r="AL86" s="13"/>
      <c r="AM86" s="28"/>
      <c r="AN86" s="28"/>
      <c r="AO86" s="28"/>
      <c r="AP86" s="13"/>
      <c r="AQ86" s="13"/>
      <c r="AR86" s="86">
        <f t="shared" si="1"/>
        <v>5</v>
      </c>
    </row>
    <row r="87" spans="1:44" ht="16.149999999999999" customHeight="1">
      <c r="A87" s="18">
        <v>85</v>
      </c>
      <c r="B87" s="13">
        <v>90026056</v>
      </c>
      <c r="C87" s="10" t="s">
        <v>349</v>
      </c>
      <c r="D87" s="10" t="s">
        <v>350</v>
      </c>
      <c r="E87" s="10" t="s">
        <v>87</v>
      </c>
      <c r="F87" s="10" t="s">
        <v>351</v>
      </c>
      <c r="G87" s="11" t="s">
        <v>352</v>
      </c>
      <c r="H87" s="12" t="s">
        <v>353</v>
      </c>
      <c r="I87" s="23"/>
      <c r="J87" s="23"/>
      <c r="K87" s="23"/>
      <c r="L87" s="23"/>
      <c r="M87" s="23"/>
      <c r="N87" s="23">
        <v>2</v>
      </c>
      <c r="O87" s="23">
        <v>4</v>
      </c>
      <c r="P87" s="16"/>
      <c r="Q87" s="18">
        <v>3</v>
      </c>
      <c r="R87" s="18"/>
      <c r="S87" s="18"/>
      <c r="T87" s="23"/>
      <c r="U87" s="23">
        <v>1</v>
      </c>
      <c r="V87" s="23">
        <v>1</v>
      </c>
      <c r="W87" s="23"/>
      <c r="X87" s="28"/>
      <c r="Y87" s="18"/>
      <c r="Z87" s="13"/>
      <c r="AA87" s="13"/>
      <c r="AB87" s="23"/>
      <c r="AC87" s="23"/>
      <c r="AD87" s="23"/>
      <c r="AE87" s="23"/>
      <c r="AF87" s="23"/>
      <c r="AG87" s="23">
        <v>2</v>
      </c>
      <c r="AH87" s="23"/>
      <c r="AI87" s="13"/>
      <c r="AJ87" s="13"/>
      <c r="AK87" s="13"/>
      <c r="AL87" s="13"/>
      <c r="AM87" s="28"/>
      <c r="AN87" s="28"/>
      <c r="AO87" s="28"/>
      <c r="AP87" s="13">
        <v>1.5</v>
      </c>
      <c r="AQ87" s="13"/>
      <c r="AR87" s="86">
        <f t="shared" si="1"/>
        <v>14.5</v>
      </c>
    </row>
    <row r="88" spans="1:44" ht="16.149999999999999" customHeight="1">
      <c r="A88" s="18">
        <v>86</v>
      </c>
      <c r="B88" s="13">
        <v>90026120</v>
      </c>
      <c r="C88" s="10" t="s">
        <v>354</v>
      </c>
      <c r="D88" s="10" t="s">
        <v>355</v>
      </c>
      <c r="E88" s="10" t="s">
        <v>46</v>
      </c>
      <c r="F88" s="10" t="s">
        <v>351</v>
      </c>
      <c r="G88" s="11" t="s">
        <v>127</v>
      </c>
      <c r="H88" s="12" t="s">
        <v>356</v>
      </c>
      <c r="I88" s="23"/>
      <c r="J88" s="23"/>
      <c r="K88" s="23"/>
      <c r="L88" s="23"/>
      <c r="M88" s="23"/>
      <c r="N88" s="23">
        <v>2</v>
      </c>
      <c r="O88" s="23">
        <v>4</v>
      </c>
      <c r="P88" s="16"/>
      <c r="Q88" s="18">
        <v>3</v>
      </c>
      <c r="R88" s="18"/>
      <c r="S88" s="18"/>
      <c r="T88" s="23"/>
      <c r="U88" s="23">
        <v>1</v>
      </c>
      <c r="V88" s="23">
        <v>1</v>
      </c>
      <c r="W88" s="23"/>
      <c r="X88" s="28"/>
      <c r="Y88" s="18"/>
      <c r="Z88" s="13"/>
      <c r="AA88" s="13"/>
      <c r="AB88" s="23"/>
      <c r="AC88" s="23"/>
      <c r="AD88" s="23"/>
      <c r="AE88" s="23"/>
      <c r="AF88" s="23"/>
      <c r="AG88" s="23">
        <v>2</v>
      </c>
      <c r="AH88" s="23"/>
      <c r="AI88" s="13"/>
      <c r="AJ88" s="13"/>
      <c r="AK88" s="13"/>
      <c r="AL88" s="13"/>
      <c r="AM88" s="28"/>
      <c r="AN88" s="28"/>
      <c r="AO88" s="28"/>
      <c r="AP88" s="13"/>
      <c r="AQ88" s="13"/>
      <c r="AR88" s="86">
        <f t="shared" si="1"/>
        <v>13</v>
      </c>
    </row>
    <row r="89" spans="1:44" ht="16.149999999999999" customHeight="1">
      <c r="A89" s="18">
        <v>87</v>
      </c>
      <c r="B89" s="13">
        <v>90027000</v>
      </c>
      <c r="C89" s="10" t="s">
        <v>357</v>
      </c>
      <c r="D89" s="10" t="s">
        <v>358</v>
      </c>
      <c r="E89" s="10" t="s">
        <v>46</v>
      </c>
      <c r="F89" s="10" t="s">
        <v>351</v>
      </c>
      <c r="G89" s="11" t="s">
        <v>359</v>
      </c>
      <c r="H89" s="12" t="s">
        <v>360</v>
      </c>
      <c r="I89" s="23"/>
      <c r="J89" s="23"/>
      <c r="K89" s="23"/>
      <c r="L89" s="23"/>
      <c r="M89" s="23"/>
      <c r="N89" s="23"/>
      <c r="O89" s="23"/>
      <c r="P89" s="16"/>
      <c r="Q89" s="18">
        <v>2</v>
      </c>
      <c r="R89" s="18"/>
      <c r="S89" s="18"/>
      <c r="T89" s="23"/>
      <c r="U89" s="23">
        <v>1</v>
      </c>
      <c r="V89" s="23">
        <v>1</v>
      </c>
      <c r="W89" s="23"/>
      <c r="X89" s="28"/>
      <c r="Y89" s="18">
        <v>8</v>
      </c>
      <c r="Z89" s="13"/>
      <c r="AA89" s="13"/>
      <c r="AB89" s="23"/>
      <c r="AC89" s="23"/>
      <c r="AD89" s="23"/>
      <c r="AE89" s="23"/>
      <c r="AF89" s="23"/>
      <c r="AG89" s="23"/>
      <c r="AH89" s="23"/>
      <c r="AI89" s="13"/>
      <c r="AJ89" s="13"/>
      <c r="AK89" s="13"/>
      <c r="AL89" s="13"/>
      <c r="AM89" s="28"/>
      <c r="AN89" s="28"/>
      <c r="AO89" s="28"/>
      <c r="AP89" s="13"/>
      <c r="AQ89" s="13"/>
      <c r="AR89" s="86">
        <f t="shared" si="1"/>
        <v>12</v>
      </c>
    </row>
    <row r="90" spans="1:44" ht="16.149999999999999" customHeight="1">
      <c r="A90" s="18">
        <v>88</v>
      </c>
      <c r="B90" s="13">
        <v>90027341</v>
      </c>
      <c r="C90" s="10" t="s">
        <v>361</v>
      </c>
      <c r="D90" s="10" t="s">
        <v>362</v>
      </c>
      <c r="E90" s="10" t="s">
        <v>87</v>
      </c>
      <c r="F90" s="10" t="s">
        <v>351</v>
      </c>
      <c r="G90" s="11">
        <v>45751</v>
      </c>
      <c r="H90" s="38"/>
      <c r="I90" s="23"/>
      <c r="J90" s="23"/>
      <c r="K90" s="23"/>
      <c r="L90" s="23"/>
      <c r="M90" s="23"/>
      <c r="N90" s="23"/>
      <c r="O90" s="23"/>
      <c r="P90" s="23">
        <v>1</v>
      </c>
      <c r="Q90" s="18"/>
      <c r="R90" s="18"/>
      <c r="S90" s="18"/>
      <c r="T90" s="23"/>
      <c r="U90" s="23">
        <v>1</v>
      </c>
      <c r="V90" s="23">
        <v>1</v>
      </c>
      <c r="W90" s="23"/>
      <c r="X90" s="28"/>
      <c r="Y90" s="18"/>
      <c r="Z90" s="13"/>
      <c r="AA90" s="13"/>
      <c r="AB90" s="23"/>
      <c r="AC90" s="23"/>
      <c r="AD90" s="23">
        <v>1</v>
      </c>
      <c r="AE90" s="23"/>
      <c r="AF90" s="23"/>
      <c r="AG90" s="23">
        <v>2</v>
      </c>
      <c r="AH90" s="23"/>
      <c r="AI90" s="13"/>
      <c r="AJ90" s="13"/>
      <c r="AK90" s="13"/>
      <c r="AL90" s="13"/>
      <c r="AM90" s="28"/>
      <c r="AN90" s="28"/>
      <c r="AO90" s="28"/>
      <c r="AP90" s="13">
        <v>1.5</v>
      </c>
      <c r="AQ90" s="13"/>
      <c r="AR90" s="86">
        <f t="shared" si="1"/>
        <v>7.5</v>
      </c>
    </row>
    <row r="91" spans="1:44" s="22" customFormat="1" ht="16.149999999999999" customHeight="1">
      <c r="A91" s="18">
        <v>89</v>
      </c>
      <c r="B91" s="21">
        <v>90027342</v>
      </c>
      <c r="C91" s="41" t="s">
        <v>363</v>
      </c>
      <c r="D91" s="41" t="s">
        <v>364</v>
      </c>
      <c r="E91" s="41" t="s">
        <v>87</v>
      </c>
      <c r="F91" s="41" t="s">
        <v>351</v>
      </c>
      <c r="G91" s="42">
        <v>45751</v>
      </c>
      <c r="H91" s="43"/>
      <c r="I91" s="24"/>
      <c r="J91" s="24"/>
      <c r="K91" s="24"/>
      <c r="L91" s="24"/>
      <c r="M91" s="24"/>
      <c r="N91" s="24"/>
      <c r="O91" s="24"/>
      <c r="P91" s="24">
        <v>1</v>
      </c>
      <c r="Q91" s="20"/>
      <c r="R91" s="20"/>
      <c r="S91" s="20"/>
      <c r="T91" s="24"/>
      <c r="U91" s="24">
        <v>1</v>
      </c>
      <c r="V91" s="24">
        <v>1</v>
      </c>
      <c r="W91" s="24"/>
      <c r="X91" s="29"/>
      <c r="Y91" s="20"/>
      <c r="Z91" s="21"/>
      <c r="AA91" s="21"/>
      <c r="AB91" s="24"/>
      <c r="AC91" s="24">
        <v>8</v>
      </c>
      <c r="AD91" s="24">
        <v>1</v>
      </c>
      <c r="AE91" s="24"/>
      <c r="AF91" s="24"/>
      <c r="AG91" s="24"/>
      <c r="AH91" s="24"/>
      <c r="AI91" s="21"/>
      <c r="AJ91" s="21"/>
      <c r="AK91" s="21"/>
      <c r="AL91" s="21"/>
      <c r="AM91" s="28"/>
      <c r="AN91" s="28"/>
      <c r="AO91" s="28"/>
      <c r="AP91" s="21"/>
      <c r="AQ91" s="21"/>
      <c r="AR91" s="86">
        <f t="shared" si="1"/>
        <v>12</v>
      </c>
    </row>
    <row r="92" spans="1:44" ht="16.149999999999999" customHeight="1">
      <c r="A92" s="18">
        <v>90</v>
      </c>
      <c r="B92" s="13">
        <v>90027465</v>
      </c>
      <c r="C92" s="10" t="s">
        <v>365</v>
      </c>
      <c r="D92" s="10" t="s">
        <v>366</v>
      </c>
      <c r="E92" s="10" t="s">
        <v>87</v>
      </c>
      <c r="F92" s="10" t="s">
        <v>367</v>
      </c>
      <c r="G92" s="11">
        <v>45796</v>
      </c>
      <c r="H92" s="12"/>
      <c r="I92" s="23"/>
      <c r="J92" s="23"/>
      <c r="K92" s="23"/>
      <c r="L92" s="23"/>
      <c r="M92" s="23"/>
      <c r="N92" s="23"/>
      <c r="O92" s="23"/>
      <c r="P92" s="23">
        <v>1</v>
      </c>
      <c r="Q92" s="18"/>
      <c r="R92" s="18"/>
      <c r="S92" s="18"/>
      <c r="T92" s="23"/>
      <c r="U92" s="23"/>
      <c r="V92" s="26"/>
      <c r="W92" s="23"/>
      <c r="X92" s="28"/>
      <c r="Y92" s="18"/>
      <c r="Z92" s="13"/>
      <c r="AA92" s="13"/>
      <c r="AB92" s="23"/>
      <c r="AC92" s="23"/>
      <c r="AD92" s="23"/>
      <c r="AE92" s="23"/>
      <c r="AF92" s="26"/>
      <c r="AG92" s="26">
        <v>2</v>
      </c>
      <c r="AH92" s="26"/>
      <c r="AI92" s="13"/>
      <c r="AJ92" s="13"/>
      <c r="AK92" s="13"/>
      <c r="AL92" s="13"/>
      <c r="AM92" s="28"/>
      <c r="AN92" s="28"/>
      <c r="AO92" s="28"/>
      <c r="AP92" s="13"/>
      <c r="AQ92" s="13"/>
      <c r="AR92" s="86">
        <f t="shared" si="1"/>
        <v>3</v>
      </c>
    </row>
    <row r="93" spans="1:44" ht="16.149999999999999" customHeight="1">
      <c r="A93" s="18">
        <v>91</v>
      </c>
      <c r="B93" s="13">
        <v>90027413</v>
      </c>
      <c r="C93" s="10" t="s">
        <v>368</v>
      </c>
      <c r="D93" s="10" t="s">
        <v>229</v>
      </c>
      <c r="E93" s="10" t="s">
        <v>87</v>
      </c>
      <c r="F93" s="10" t="s">
        <v>369</v>
      </c>
      <c r="G93" s="11">
        <v>45770</v>
      </c>
      <c r="H93" s="12"/>
      <c r="I93" s="23"/>
      <c r="J93" s="23"/>
      <c r="K93" s="23"/>
      <c r="L93" s="23"/>
      <c r="M93" s="23"/>
      <c r="N93" s="23"/>
      <c r="O93" s="23"/>
      <c r="P93" s="23">
        <v>1</v>
      </c>
      <c r="Q93" s="18"/>
      <c r="R93" s="18"/>
      <c r="S93" s="18"/>
      <c r="T93" s="23"/>
      <c r="U93" s="23"/>
      <c r="V93" s="23">
        <v>1</v>
      </c>
      <c r="W93" s="23"/>
      <c r="X93" s="28"/>
      <c r="Y93" s="18"/>
      <c r="Z93" s="13"/>
      <c r="AA93" s="13"/>
      <c r="AB93" s="23"/>
      <c r="AC93" s="23"/>
      <c r="AD93" s="23">
        <v>1</v>
      </c>
      <c r="AE93" s="23"/>
      <c r="AF93" s="23"/>
      <c r="AG93" s="23"/>
      <c r="AH93" s="23"/>
      <c r="AI93" s="13"/>
      <c r="AJ93" s="13"/>
      <c r="AK93" s="13"/>
      <c r="AL93" s="13"/>
      <c r="AM93" s="28"/>
      <c r="AN93" s="28"/>
      <c r="AO93" s="28"/>
      <c r="AP93" s="13"/>
      <c r="AQ93" s="13"/>
      <c r="AR93" s="86">
        <f t="shared" si="1"/>
        <v>3</v>
      </c>
    </row>
    <row r="94" spans="1:44" ht="16.149999999999999" customHeight="1">
      <c r="A94" s="18">
        <v>92</v>
      </c>
      <c r="B94" s="13">
        <v>90027344</v>
      </c>
      <c r="C94" s="10" t="s">
        <v>370</v>
      </c>
      <c r="D94" s="10" t="s">
        <v>229</v>
      </c>
      <c r="E94" s="10" t="s">
        <v>87</v>
      </c>
      <c r="F94" s="10" t="s">
        <v>369</v>
      </c>
      <c r="G94" s="11">
        <v>45750</v>
      </c>
      <c r="H94" s="12"/>
      <c r="I94" s="23"/>
      <c r="J94" s="23"/>
      <c r="K94" s="23"/>
      <c r="L94" s="23"/>
      <c r="M94" s="23"/>
      <c r="N94" s="23"/>
      <c r="O94" s="23"/>
      <c r="P94" s="23">
        <v>1</v>
      </c>
      <c r="Q94" s="18"/>
      <c r="R94" s="18"/>
      <c r="S94" s="18"/>
      <c r="T94" s="23"/>
      <c r="U94" s="23">
        <v>1</v>
      </c>
      <c r="V94" s="23">
        <v>1</v>
      </c>
      <c r="W94" s="23">
        <v>8</v>
      </c>
      <c r="X94" s="28"/>
      <c r="Y94" s="18"/>
      <c r="Z94" s="13"/>
      <c r="AA94" s="13"/>
      <c r="AB94" s="23"/>
      <c r="AC94" s="23"/>
      <c r="AD94" s="23">
        <v>1</v>
      </c>
      <c r="AE94" s="23"/>
      <c r="AF94" s="23"/>
      <c r="AG94" s="23"/>
      <c r="AH94" s="23"/>
      <c r="AI94" s="13"/>
      <c r="AJ94" s="13"/>
      <c r="AK94" s="13"/>
      <c r="AL94" s="13"/>
      <c r="AM94" s="28"/>
      <c r="AN94" s="28"/>
      <c r="AO94" s="28"/>
      <c r="AP94" s="13"/>
      <c r="AQ94" s="13"/>
      <c r="AR94" s="86">
        <f t="shared" si="1"/>
        <v>12</v>
      </c>
    </row>
    <row r="95" spans="1:44" ht="16.149999999999999" customHeight="1">
      <c r="A95" s="18">
        <v>93</v>
      </c>
      <c r="B95" s="14">
        <v>90024919</v>
      </c>
      <c r="C95" s="37" t="s">
        <v>371</v>
      </c>
      <c r="D95" s="37" t="s">
        <v>372</v>
      </c>
      <c r="E95" s="10" t="s">
        <v>46</v>
      </c>
      <c r="F95" s="15" t="s">
        <v>373</v>
      </c>
      <c r="G95" s="13"/>
      <c r="H95" s="13"/>
      <c r="I95" s="23"/>
      <c r="J95" s="23"/>
      <c r="K95" s="23"/>
      <c r="L95" s="23"/>
      <c r="M95" s="23"/>
      <c r="N95" s="23"/>
      <c r="O95" s="23"/>
      <c r="P95" s="16"/>
      <c r="Q95" s="18">
        <v>3</v>
      </c>
      <c r="R95" s="18"/>
      <c r="S95" s="18"/>
      <c r="T95" s="23"/>
      <c r="U95" s="23"/>
      <c r="V95" s="23">
        <v>1</v>
      </c>
      <c r="W95" s="23"/>
      <c r="X95" s="28"/>
      <c r="Y95" s="18">
        <v>8</v>
      </c>
      <c r="Z95" s="18"/>
      <c r="AA95" s="18"/>
      <c r="AB95" s="23"/>
      <c r="AC95" s="23"/>
      <c r="AD95" s="23"/>
      <c r="AE95" s="23"/>
      <c r="AF95" s="23"/>
      <c r="AG95" s="23"/>
      <c r="AH95" s="23"/>
      <c r="AI95" s="18"/>
      <c r="AJ95" s="18"/>
      <c r="AK95" s="18"/>
      <c r="AL95" s="18"/>
      <c r="AM95" s="28"/>
      <c r="AN95" s="28"/>
      <c r="AO95" s="28"/>
      <c r="AP95" s="13"/>
      <c r="AQ95" s="13"/>
      <c r="AR95" s="86">
        <f t="shared" si="1"/>
        <v>12</v>
      </c>
    </row>
    <row r="96" spans="1:44" ht="16.149999999999999" customHeight="1">
      <c r="A96" s="18">
        <v>94</v>
      </c>
      <c r="B96" s="14">
        <v>90024920</v>
      </c>
      <c r="C96" s="37" t="s">
        <v>374</v>
      </c>
      <c r="D96" s="37" t="s">
        <v>375</v>
      </c>
      <c r="E96" s="10" t="s">
        <v>87</v>
      </c>
      <c r="F96" s="15" t="s">
        <v>373</v>
      </c>
      <c r="G96" s="13"/>
      <c r="H96" s="13"/>
      <c r="I96" s="23"/>
      <c r="J96" s="23"/>
      <c r="K96" s="23"/>
      <c r="L96" s="23"/>
      <c r="M96" s="23"/>
      <c r="N96" s="23"/>
      <c r="O96" s="23">
        <v>4</v>
      </c>
      <c r="P96" s="16"/>
      <c r="Q96" s="18">
        <v>3</v>
      </c>
      <c r="R96" s="18">
        <v>1.5</v>
      </c>
      <c r="S96" s="18"/>
      <c r="T96" s="23"/>
      <c r="U96" s="23">
        <v>1</v>
      </c>
      <c r="V96" s="23">
        <v>1</v>
      </c>
      <c r="W96" s="23"/>
      <c r="X96" s="28">
        <v>1.5</v>
      </c>
      <c r="Y96" s="18"/>
      <c r="Z96" s="13"/>
      <c r="AA96" s="13"/>
      <c r="AB96" s="23"/>
      <c r="AC96" s="23">
        <v>8</v>
      </c>
      <c r="AD96" s="23"/>
      <c r="AE96" s="23"/>
      <c r="AF96" s="23"/>
      <c r="AG96" s="23"/>
      <c r="AH96" s="23"/>
      <c r="AI96" s="13"/>
      <c r="AJ96" s="13"/>
      <c r="AK96" s="13"/>
      <c r="AL96" s="13"/>
      <c r="AM96" s="28"/>
      <c r="AN96" s="28"/>
      <c r="AO96" s="28"/>
      <c r="AP96" s="13"/>
      <c r="AQ96" s="13"/>
      <c r="AR96" s="86">
        <f t="shared" si="1"/>
        <v>20</v>
      </c>
    </row>
    <row r="97" spans="1:46" ht="16.149999999999999" customHeight="1">
      <c r="A97" s="18">
        <v>95</v>
      </c>
      <c r="B97" s="14">
        <v>90024921</v>
      </c>
      <c r="C97" s="37" t="s">
        <v>376</v>
      </c>
      <c r="D97" s="37" t="s">
        <v>377</v>
      </c>
      <c r="E97" s="10" t="s">
        <v>87</v>
      </c>
      <c r="F97" s="15" t="s">
        <v>373</v>
      </c>
      <c r="G97" s="18"/>
      <c r="H97" s="13"/>
      <c r="I97" s="23"/>
      <c r="J97" s="23"/>
      <c r="K97" s="23"/>
      <c r="L97" s="23"/>
      <c r="M97" s="23"/>
      <c r="N97" s="23"/>
      <c r="O97" s="23"/>
      <c r="P97" s="16"/>
      <c r="Q97" s="18">
        <v>3</v>
      </c>
      <c r="R97" s="18"/>
      <c r="S97" s="18"/>
      <c r="T97" s="23"/>
      <c r="U97" s="23">
        <v>1</v>
      </c>
      <c r="V97" s="23">
        <v>1</v>
      </c>
      <c r="W97" s="23"/>
      <c r="X97" s="28"/>
      <c r="Y97" s="18"/>
      <c r="Z97" s="13"/>
      <c r="AA97" s="13"/>
      <c r="AB97" s="23"/>
      <c r="AC97" s="23"/>
      <c r="AD97" s="23"/>
      <c r="AE97" s="23"/>
      <c r="AF97" s="23"/>
      <c r="AG97" s="23"/>
      <c r="AH97" s="23"/>
      <c r="AI97" s="13"/>
      <c r="AJ97" s="13"/>
      <c r="AK97" s="13"/>
      <c r="AL97" s="13"/>
      <c r="AM97" s="28"/>
      <c r="AN97" s="28"/>
      <c r="AO97" s="28"/>
      <c r="AP97" s="13"/>
      <c r="AQ97" s="13"/>
      <c r="AR97" s="86">
        <f t="shared" si="1"/>
        <v>5</v>
      </c>
    </row>
    <row r="98" spans="1:46" ht="16.149999999999999" customHeight="1">
      <c r="A98" s="18">
        <v>96</v>
      </c>
      <c r="B98" s="14">
        <v>90024922</v>
      </c>
      <c r="C98" s="37" t="s">
        <v>378</v>
      </c>
      <c r="D98" s="37" t="s">
        <v>379</v>
      </c>
      <c r="E98" s="10" t="s">
        <v>87</v>
      </c>
      <c r="F98" s="15" t="s">
        <v>373</v>
      </c>
      <c r="G98" s="18"/>
      <c r="H98" s="13"/>
      <c r="I98" s="23"/>
      <c r="J98" s="23"/>
      <c r="K98" s="23"/>
      <c r="L98" s="23"/>
      <c r="M98" s="23"/>
      <c r="N98" s="23">
        <v>2</v>
      </c>
      <c r="O98" s="23">
        <v>4</v>
      </c>
      <c r="P98" s="16"/>
      <c r="Q98" s="18">
        <v>3</v>
      </c>
      <c r="R98" s="18"/>
      <c r="S98" s="18"/>
      <c r="T98" s="23"/>
      <c r="U98" s="23"/>
      <c r="V98" s="23">
        <v>1</v>
      </c>
      <c r="W98" s="23"/>
      <c r="X98" s="28">
        <v>1.5</v>
      </c>
      <c r="Y98" s="18"/>
      <c r="Z98" s="13"/>
      <c r="AA98" s="13"/>
      <c r="AB98" s="23"/>
      <c r="AC98" s="23">
        <v>8</v>
      </c>
      <c r="AD98" s="23"/>
      <c r="AE98" s="23"/>
      <c r="AF98" s="23"/>
      <c r="AG98" s="23">
        <v>2</v>
      </c>
      <c r="AH98" s="23">
        <v>1</v>
      </c>
      <c r="AI98" s="13"/>
      <c r="AJ98" s="13"/>
      <c r="AK98" s="13"/>
      <c r="AL98" s="13"/>
      <c r="AM98" s="28"/>
      <c r="AN98" s="28"/>
      <c r="AO98" s="28"/>
      <c r="AP98" s="13"/>
      <c r="AQ98" s="13"/>
      <c r="AR98" s="86">
        <f t="shared" si="1"/>
        <v>22.5</v>
      </c>
    </row>
    <row r="99" spans="1:46" ht="16.149999999999999" customHeight="1">
      <c r="A99" s="18">
        <v>97</v>
      </c>
      <c r="B99" s="14">
        <v>90027639</v>
      </c>
      <c r="C99" s="37" t="s">
        <v>380</v>
      </c>
      <c r="D99" s="37" t="s">
        <v>381</v>
      </c>
      <c r="E99" s="10" t="s">
        <v>87</v>
      </c>
      <c r="F99" s="10" t="s">
        <v>351</v>
      </c>
      <c r="G99" s="47">
        <v>45834</v>
      </c>
      <c r="H99" s="46" t="s">
        <v>382</v>
      </c>
      <c r="I99" s="23"/>
      <c r="J99" s="23"/>
      <c r="K99" s="23"/>
      <c r="L99" s="23"/>
      <c r="M99" s="23"/>
      <c r="N99" s="23"/>
      <c r="O99" s="23"/>
      <c r="P99" s="45">
        <v>1</v>
      </c>
      <c r="Q99" s="18"/>
      <c r="R99" s="18"/>
      <c r="S99" s="18"/>
      <c r="T99" s="23"/>
      <c r="U99" s="23">
        <v>1</v>
      </c>
      <c r="V99" s="23">
        <v>1</v>
      </c>
      <c r="W99" s="23"/>
      <c r="X99" s="28"/>
      <c r="Y99" s="18"/>
      <c r="Z99" s="13"/>
      <c r="AA99" s="13"/>
      <c r="AB99" s="23"/>
      <c r="AC99" s="23"/>
      <c r="AD99" s="23"/>
      <c r="AE99" s="23"/>
      <c r="AF99" s="23"/>
      <c r="AG99" s="23"/>
      <c r="AH99" s="23"/>
      <c r="AI99" s="13"/>
      <c r="AJ99" s="13"/>
      <c r="AK99" s="13"/>
      <c r="AL99" s="13"/>
      <c r="AM99" s="28"/>
      <c r="AN99" s="28"/>
      <c r="AO99" s="28"/>
      <c r="AP99" s="13"/>
      <c r="AQ99" s="13"/>
      <c r="AR99" s="86">
        <f t="shared" si="1"/>
        <v>3</v>
      </c>
    </row>
    <row r="100" spans="1:46" ht="16.149999999999999" customHeight="1">
      <c r="A100" s="18">
        <v>98</v>
      </c>
      <c r="B100" s="14">
        <v>90027723</v>
      </c>
      <c r="C100" s="37" t="s">
        <v>383</v>
      </c>
      <c r="D100" s="37" t="s">
        <v>384</v>
      </c>
      <c r="E100" s="10" t="s">
        <v>46</v>
      </c>
      <c r="F100" s="10" t="s">
        <v>266</v>
      </c>
      <c r="G100" s="47">
        <v>45866</v>
      </c>
      <c r="H100" s="46" t="s">
        <v>385</v>
      </c>
      <c r="I100" s="23"/>
      <c r="J100" s="23"/>
      <c r="K100" s="23"/>
      <c r="L100" s="23"/>
      <c r="M100" s="23"/>
      <c r="N100" s="23"/>
      <c r="O100" s="23"/>
      <c r="P100" s="16"/>
      <c r="Q100" s="18"/>
      <c r="R100" s="18"/>
      <c r="S100" s="18"/>
      <c r="T100" s="23"/>
      <c r="U100" s="23"/>
      <c r="V100" s="23"/>
      <c r="W100" s="23"/>
      <c r="X100" s="28"/>
      <c r="Y100" s="18"/>
      <c r="Z100" s="13"/>
      <c r="AA100" s="13"/>
      <c r="AB100" s="23">
        <v>2</v>
      </c>
      <c r="AC100" s="23"/>
      <c r="AD100" s="23"/>
      <c r="AE100" s="23">
        <v>1</v>
      </c>
      <c r="AF100" s="23">
        <v>1</v>
      </c>
      <c r="AG100" s="23"/>
      <c r="AH100" s="23"/>
      <c r="AI100" s="13"/>
      <c r="AJ100" s="13"/>
      <c r="AK100" s="13"/>
      <c r="AL100" s="13">
        <v>24</v>
      </c>
      <c r="AM100" s="28"/>
      <c r="AN100" s="28"/>
      <c r="AO100" s="28"/>
      <c r="AP100" s="13"/>
      <c r="AQ100" s="13"/>
      <c r="AR100" s="86">
        <f t="shared" si="1"/>
        <v>28</v>
      </c>
    </row>
    <row r="101" spans="1:46" ht="16.149999999999999" customHeight="1">
      <c r="A101" s="18">
        <v>99</v>
      </c>
      <c r="B101" s="58">
        <v>90027733</v>
      </c>
      <c r="C101" s="59" t="s">
        <v>386</v>
      </c>
      <c r="D101" s="60" t="s">
        <v>290</v>
      </c>
      <c r="E101" s="60" t="s">
        <v>87</v>
      </c>
      <c r="F101" s="60" t="s">
        <v>278</v>
      </c>
      <c r="G101" s="61">
        <v>45852</v>
      </c>
      <c r="H101" s="62" t="s">
        <v>387</v>
      </c>
      <c r="I101" s="63"/>
      <c r="J101" s="63"/>
      <c r="K101" s="63"/>
      <c r="L101" s="63"/>
      <c r="M101" s="63"/>
      <c r="N101" s="63"/>
      <c r="O101" s="63"/>
      <c r="P101" s="64"/>
      <c r="Q101" s="65"/>
      <c r="R101" s="65"/>
      <c r="S101" s="65"/>
      <c r="T101" s="63"/>
      <c r="U101" s="63"/>
      <c r="V101" s="63"/>
      <c r="W101" s="63"/>
      <c r="X101" s="66"/>
      <c r="Y101" s="65"/>
      <c r="Z101" s="65"/>
      <c r="AA101" s="65"/>
      <c r="AB101" s="63">
        <v>2</v>
      </c>
      <c r="AC101" s="63"/>
      <c r="AD101" s="63">
        <v>1</v>
      </c>
      <c r="AE101" s="23">
        <v>1</v>
      </c>
      <c r="AF101" s="23">
        <v>1</v>
      </c>
      <c r="AG101" s="67">
        <v>2</v>
      </c>
      <c r="AH101" s="67">
        <v>1</v>
      </c>
      <c r="AI101" s="65"/>
      <c r="AJ101" s="65"/>
      <c r="AK101" s="65"/>
      <c r="AL101" s="65"/>
      <c r="AM101" s="68"/>
      <c r="AN101" s="68"/>
      <c r="AO101" s="68"/>
      <c r="AP101" s="58">
        <v>1.5</v>
      </c>
      <c r="AQ101" s="58"/>
      <c r="AR101" s="86">
        <f t="shared" si="1"/>
        <v>9.5</v>
      </c>
      <c r="AS101" s="22"/>
      <c r="AT101" s="22"/>
    </row>
    <row r="102" spans="1:46" ht="16.149999999999999" customHeight="1">
      <c r="A102" s="18">
        <v>100</v>
      </c>
      <c r="B102" s="70">
        <v>90027835</v>
      </c>
      <c r="C102" s="49" t="s">
        <v>388</v>
      </c>
      <c r="D102" s="49" t="s">
        <v>229</v>
      </c>
      <c r="E102" s="49" t="s">
        <v>87</v>
      </c>
      <c r="F102" s="49" t="s">
        <v>244</v>
      </c>
      <c r="G102" s="50">
        <v>45873</v>
      </c>
      <c r="H102" s="51" t="s">
        <v>389</v>
      </c>
      <c r="I102" s="52"/>
      <c r="J102" s="52"/>
      <c r="K102" s="52"/>
      <c r="L102" s="52"/>
      <c r="M102" s="52"/>
      <c r="N102" s="52"/>
      <c r="O102" s="52"/>
      <c r="P102" s="53"/>
      <c r="Q102" s="48"/>
      <c r="R102" s="48"/>
      <c r="S102" s="48"/>
      <c r="T102" s="52"/>
      <c r="U102" s="52"/>
      <c r="V102" s="52"/>
      <c r="W102" s="52"/>
      <c r="X102" s="54"/>
      <c r="Y102" s="48"/>
      <c r="Z102" s="55"/>
      <c r="AA102" s="55"/>
      <c r="AB102" s="52">
        <v>2</v>
      </c>
      <c r="AC102" s="52"/>
      <c r="AD102" s="52">
        <v>1</v>
      </c>
      <c r="AE102" s="23">
        <v>1</v>
      </c>
      <c r="AF102" s="23">
        <v>1</v>
      </c>
      <c r="AG102" s="52"/>
      <c r="AH102" s="52"/>
      <c r="AI102" s="55"/>
      <c r="AJ102" s="55"/>
      <c r="AK102" s="55"/>
      <c r="AL102" s="55"/>
      <c r="AM102" s="54"/>
      <c r="AN102" s="54"/>
      <c r="AO102" s="54"/>
      <c r="AP102" s="55"/>
      <c r="AQ102" s="55"/>
      <c r="AR102" s="86">
        <f t="shared" si="1"/>
        <v>5</v>
      </c>
    </row>
    <row r="103" spans="1:46" ht="16.149999999999999" customHeight="1">
      <c r="A103" s="18">
        <v>101</v>
      </c>
      <c r="B103" s="70">
        <v>90027980</v>
      </c>
      <c r="C103" s="55" t="s">
        <v>390</v>
      </c>
      <c r="D103" s="49" t="s">
        <v>203</v>
      </c>
      <c r="E103" s="49" t="s">
        <v>87</v>
      </c>
      <c r="F103" s="49" t="s">
        <v>188</v>
      </c>
      <c r="G103" s="56">
        <v>45903</v>
      </c>
      <c r="H103" s="51" t="s">
        <v>391</v>
      </c>
      <c r="I103" s="52"/>
      <c r="J103" s="52"/>
      <c r="K103" s="52"/>
      <c r="L103" s="52"/>
      <c r="M103" s="52"/>
      <c r="N103" s="52"/>
      <c r="O103" s="52"/>
      <c r="P103" s="53"/>
      <c r="Q103" s="57"/>
      <c r="R103" s="57"/>
      <c r="S103" s="57"/>
      <c r="T103" s="52"/>
      <c r="U103" s="57"/>
      <c r="V103" s="57"/>
      <c r="W103" s="52"/>
      <c r="X103" s="54"/>
      <c r="Y103" s="48"/>
      <c r="Z103" s="48"/>
      <c r="AA103" s="48"/>
      <c r="AB103" s="52">
        <v>2</v>
      </c>
      <c r="AC103" s="52"/>
      <c r="AD103" s="52"/>
      <c r="AE103" s="23">
        <v>1</v>
      </c>
      <c r="AF103" s="23">
        <v>1</v>
      </c>
      <c r="AG103" s="57">
        <v>2</v>
      </c>
      <c r="AH103" s="57"/>
      <c r="AI103" s="48"/>
      <c r="AJ103" s="48"/>
      <c r="AK103" s="48"/>
      <c r="AL103" s="48"/>
      <c r="AM103" s="54"/>
      <c r="AN103" s="54"/>
      <c r="AO103" s="54"/>
      <c r="AP103" s="55"/>
      <c r="AQ103" s="55"/>
      <c r="AR103" s="86">
        <f t="shared" si="1"/>
        <v>6</v>
      </c>
    </row>
    <row r="104" spans="1:46" ht="16.149999999999999" customHeight="1">
      <c r="A104" s="18">
        <v>102</v>
      </c>
      <c r="B104" s="70">
        <v>90027981</v>
      </c>
      <c r="C104" s="55" t="s">
        <v>392</v>
      </c>
      <c r="D104" s="49" t="s">
        <v>393</v>
      </c>
      <c r="E104" s="49" t="s">
        <v>46</v>
      </c>
      <c r="F104" s="49" t="s">
        <v>266</v>
      </c>
      <c r="G104" s="56">
        <v>45915</v>
      </c>
      <c r="H104" s="51" t="s">
        <v>394</v>
      </c>
      <c r="I104" s="52"/>
      <c r="J104" s="52"/>
      <c r="K104" s="52"/>
      <c r="L104" s="52"/>
      <c r="M104" s="52"/>
      <c r="N104" s="52"/>
      <c r="O104" s="52"/>
      <c r="P104" s="53"/>
      <c r="Q104" s="57"/>
      <c r="R104" s="57"/>
      <c r="S104" s="57"/>
      <c r="T104" s="52"/>
      <c r="U104" s="57"/>
      <c r="V104" s="57"/>
      <c r="W104" s="52"/>
      <c r="X104" s="54"/>
      <c r="Y104" s="48"/>
      <c r="Z104" s="48"/>
      <c r="AA104" s="48"/>
      <c r="AB104" s="52">
        <v>2</v>
      </c>
      <c r="AC104" s="52"/>
      <c r="AD104" s="52"/>
      <c r="AE104" s="23">
        <v>1</v>
      </c>
      <c r="AF104" s="23">
        <v>1</v>
      </c>
      <c r="AG104" s="57"/>
      <c r="AH104" s="57"/>
      <c r="AI104" s="48"/>
      <c r="AJ104" s="48"/>
      <c r="AK104" s="48"/>
      <c r="AL104" s="48"/>
      <c r="AM104" s="54"/>
      <c r="AN104" s="54"/>
      <c r="AO104" s="54">
        <v>4</v>
      </c>
      <c r="AP104" s="55"/>
      <c r="AQ104" s="55"/>
      <c r="AR104" s="86">
        <f t="shared" si="1"/>
        <v>8</v>
      </c>
    </row>
    <row r="105" spans="1:46" ht="16.149999999999999" customHeight="1">
      <c r="A105" s="18">
        <v>103</v>
      </c>
      <c r="B105" s="71">
        <v>90028023</v>
      </c>
      <c r="C105" s="72" t="s">
        <v>395</v>
      </c>
      <c r="D105" s="73" t="s">
        <v>396</v>
      </c>
      <c r="E105" s="73" t="s">
        <v>87</v>
      </c>
      <c r="F105" s="73" t="s">
        <v>397</v>
      </c>
      <c r="G105" s="74">
        <v>45915</v>
      </c>
      <c r="H105" s="75" t="s">
        <v>398</v>
      </c>
      <c r="I105" s="76"/>
      <c r="J105" s="76"/>
      <c r="K105" s="76"/>
      <c r="L105" s="76"/>
      <c r="M105" s="76"/>
      <c r="N105" s="76"/>
      <c r="O105" s="76"/>
      <c r="P105" s="77"/>
      <c r="Q105" s="78"/>
      <c r="R105" s="78"/>
      <c r="S105" s="78"/>
      <c r="T105" s="76"/>
      <c r="U105" s="78"/>
      <c r="V105" s="78"/>
      <c r="W105" s="76"/>
      <c r="X105" s="79"/>
      <c r="Y105" s="80"/>
      <c r="Z105" s="80"/>
      <c r="AA105" s="80"/>
      <c r="AB105" s="76">
        <v>2</v>
      </c>
      <c r="AC105" s="76"/>
      <c r="AD105" s="76"/>
      <c r="AE105" s="67">
        <v>1</v>
      </c>
      <c r="AF105" s="67">
        <v>1</v>
      </c>
      <c r="AG105" s="78">
        <v>2</v>
      </c>
      <c r="AH105" s="78"/>
      <c r="AI105" s="80"/>
      <c r="AJ105" s="80"/>
      <c r="AK105" s="80"/>
      <c r="AL105" s="80"/>
      <c r="AM105" s="79"/>
      <c r="AN105" s="79"/>
      <c r="AO105" s="79">
        <v>4</v>
      </c>
      <c r="AP105" s="72"/>
      <c r="AQ105" s="72"/>
      <c r="AR105" s="86">
        <f t="shared" si="1"/>
        <v>10</v>
      </c>
    </row>
    <row r="106" spans="1:46" ht="16.149999999999999" customHeight="1">
      <c r="A106" s="18">
        <v>104</v>
      </c>
      <c r="B106" s="81">
        <v>9002805</v>
      </c>
      <c r="C106" s="13" t="s">
        <v>399</v>
      </c>
      <c r="D106" s="13" t="s">
        <v>400</v>
      </c>
      <c r="E106" s="10" t="s">
        <v>87</v>
      </c>
      <c r="F106" s="13" t="s">
        <v>74</v>
      </c>
      <c r="G106" s="82" t="s">
        <v>401</v>
      </c>
      <c r="H106" s="83" t="s">
        <v>402</v>
      </c>
      <c r="I106" s="23"/>
      <c r="J106" s="23"/>
      <c r="K106" s="23"/>
      <c r="L106" s="23"/>
      <c r="M106" s="23"/>
      <c r="N106" s="23"/>
      <c r="O106" s="23"/>
      <c r="P106" s="16"/>
      <c r="Q106" s="26"/>
      <c r="R106" s="26"/>
      <c r="S106" s="26"/>
      <c r="T106" s="23"/>
      <c r="U106" s="26"/>
      <c r="V106" s="26"/>
      <c r="W106" s="23"/>
      <c r="X106" s="28"/>
      <c r="Y106" s="18"/>
      <c r="Z106" s="18"/>
      <c r="AA106" s="18"/>
      <c r="AB106" s="23">
        <v>2</v>
      </c>
      <c r="AC106" s="23"/>
      <c r="AD106" s="23"/>
      <c r="AE106" s="23">
        <v>1</v>
      </c>
      <c r="AF106" s="23">
        <v>1</v>
      </c>
      <c r="AG106" s="26"/>
      <c r="AH106" s="26"/>
      <c r="AI106" s="18"/>
      <c r="AJ106" s="18"/>
      <c r="AK106" s="18"/>
      <c r="AL106" s="18"/>
      <c r="AM106" s="28"/>
      <c r="AN106" s="28"/>
      <c r="AO106" s="28"/>
      <c r="AP106" s="13"/>
      <c r="AQ106" s="13"/>
      <c r="AR106" s="86">
        <f t="shared" si="1"/>
        <v>4</v>
      </c>
    </row>
    <row r="107" spans="1:46" ht="16.149999999999999" customHeight="1">
      <c r="A107" s="18">
        <v>105</v>
      </c>
      <c r="B107" s="13">
        <v>90028058</v>
      </c>
      <c r="C107" s="13" t="s">
        <v>403</v>
      </c>
      <c r="D107" s="13" t="s">
        <v>309</v>
      </c>
      <c r="E107" s="10" t="s">
        <v>46</v>
      </c>
      <c r="F107" s="13" t="s">
        <v>278</v>
      </c>
      <c r="G107" s="84">
        <v>45937</v>
      </c>
      <c r="H107" s="13" t="s">
        <v>404</v>
      </c>
      <c r="I107" s="23"/>
      <c r="J107" s="23"/>
      <c r="K107" s="23"/>
      <c r="L107" s="23"/>
      <c r="M107" s="23"/>
      <c r="N107" s="23"/>
      <c r="O107" s="23"/>
      <c r="P107" s="16"/>
      <c r="Q107" s="26"/>
      <c r="R107" s="26"/>
      <c r="S107" s="26"/>
      <c r="T107" s="23"/>
      <c r="U107" s="26"/>
      <c r="V107" s="26"/>
      <c r="W107" s="23"/>
      <c r="X107" s="28"/>
      <c r="Y107" s="18"/>
      <c r="Z107" s="18"/>
      <c r="AA107" s="18"/>
      <c r="AB107" s="23"/>
      <c r="AC107" s="23"/>
      <c r="AD107" s="23"/>
      <c r="AE107" s="26"/>
      <c r="AF107" s="26"/>
      <c r="AG107" s="26"/>
      <c r="AH107" s="26"/>
      <c r="AI107" s="18"/>
      <c r="AJ107" s="18"/>
      <c r="AK107" s="18"/>
      <c r="AL107" s="18"/>
      <c r="AM107" s="23">
        <v>2</v>
      </c>
      <c r="AN107" s="23">
        <v>2</v>
      </c>
      <c r="AO107" s="23"/>
      <c r="AP107" s="13"/>
      <c r="AQ107" s="13"/>
      <c r="AR107" s="86">
        <f t="shared" si="1"/>
        <v>4</v>
      </c>
    </row>
    <row r="108" spans="1:46" ht="15" customHeight="1">
      <c r="AR108" s="86"/>
    </row>
    <row r="109" spans="1:46" ht="15" customHeight="1">
      <c r="AR109" s="86"/>
    </row>
    <row r="110" spans="1:46" ht="15" customHeight="1">
      <c r="AR110" s="86"/>
    </row>
    <row r="111" spans="1:46" ht="15" customHeight="1">
      <c r="AE111" s="27">
        <f>192/102</f>
        <v>1.8823529411764706</v>
      </c>
      <c r="AR111" s="86"/>
    </row>
    <row r="112" spans="1:46" ht="15" customHeight="1">
      <c r="AR112" s="86"/>
    </row>
    <row r="113" spans="44:44" ht="15" customHeight="1">
      <c r="AR113" s="86"/>
    </row>
    <row r="114" spans="44:44" ht="15" customHeight="1">
      <c r="AR114" s="86"/>
    </row>
    <row r="115" spans="44:44" ht="15" customHeight="1">
      <c r="AR115" s="86"/>
    </row>
    <row r="116" spans="44:44" ht="15" customHeight="1">
      <c r="AR116" s="86"/>
    </row>
    <row r="117" spans="44:44" ht="15" customHeight="1">
      <c r="AR117" s="86"/>
    </row>
    <row r="118" spans="44:44" ht="15" customHeight="1">
      <c r="AR118" s="86"/>
    </row>
    <row r="119" spans="44:44" ht="15" customHeight="1">
      <c r="AR119" s="86"/>
    </row>
    <row r="120" spans="44:44" ht="15" customHeight="1">
      <c r="AR120" s="86"/>
    </row>
    <row r="121" spans="44:44" ht="15" customHeight="1">
      <c r="AR121" s="86"/>
    </row>
    <row r="122" spans="44:44" ht="15" customHeight="1">
      <c r="AR122" s="86"/>
    </row>
    <row r="123" spans="44:44" ht="15" customHeight="1">
      <c r="AR123" s="86"/>
    </row>
    <row r="124" spans="44:44" ht="15" customHeight="1">
      <c r="AR124" s="86"/>
    </row>
    <row r="125" spans="44:44" ht="15" customHeight="1">
      <c r="AR125" s="86"/>
    </row>
    <row r="126" spans="44:44" ht="15" customHeight="1">
      <c r="AR126" s="86"/>
    </row>
    <row r="127" spans="44:44" ht="15" customHeight="1">
      <c r="AR127" s="86"/>
    </row>
    <row r="128" spans="44:44" ht="15" customHeight="1">
      <c r="AR128" s="86"/>
    </row>
    <row r="129" spans="44:44" ht="15" customHeight="1">
      <c r="AR129" s="86"/>
    </row>
    <row r="130" spans="44:44" ht="15" customHeight="1">
      <c r="AR130" s="86"/>
    </row>
    <row r="131" spans="44:44" ht="15" customHeight="1">
      <c r="AR131" s="86"/>
    </row>
    <row r="132" spans="44:44" ht="15" customHeight="1">
      <c r="AR132" s="86"/>
    </row>
    <row r="133" spans="44:44" ht="15" customHeight="1">
      <c r="AR133" s="86"/>
    </row>
    <row r="134" spans="44:44" ht="15" customHeight="1">
      <c r="AR134" s="86"/>
    </row>
    <row r="135" spans="44:44" ht="15" customHeight="1">
      <c r="AR135" s="86"/>
    </row>
    <row r="136" spans="44:44" ht="15" customHeight="1">
      <c r="AR136" s="86"/>
    </row>
    <row r="137" spans="44:44" ht="15" customHeight="1">
      <c r="AR137" s="86"/>
    </row>
    <row r="138" spans="44:44" ht="15" customHeight="1">
      <c r="AR138" s="86"/>
    </row>
    <row r="139" spans="44:44" ht="15" customHeight="1">
      <c r="AR139" s="86"/>
    </row>
    <row r="140" spans="44:44" ht="15" customHeight="1">
      <c r="AR140" s="86"/>
    </row>
    <row r="141" spans="44:44" ht="15" customHeight="1">
      <c r="AR141" s="86"/>
    </row>
    <row r="142" spans="44:44" ht="15" customHeight="1">
      <c r="AR142" s="86"/>
    </row>
    <row r="143" spans="44:44" ht="15" customHeight="1">
      <c r="AR143" s="86"/>
    </row>
    <row r="157" spans="31:31" ht="15" customHeight="1">
      <c r="AE157" s="27">
        <f>174/96</f>
        <v>1.8125</v>
      </c>
    </row>
  </sheetData>
  <autoFilter ref="A2:AQ107" xr:uid="{7273DDE9-E09B-484C-872D-BE2630DF8B97}"/>
  <mergeCells count="4">
    <mergeCell ref="K1:O1"/>
    <mergeCell ref="P1:AA1"/>
    <mergeCell ref="AB1:AL1"/>
    <mergeCell ref="AM1:AQ1"/>
  </mergeCells>
  <conditionalFormatting sqref="B2">
    <cfRule type="duplicateValues" dxfId="5" priority="4"/>
  </conditionalFormatting>
  <conditionalFormatting sqref="B2:B106">
    <cfRule type="duplicateValues" dxfId="4" priority="20"/>
  </conditionalFormatting>
  <conditionalFormatting sqref="B95:B100">
    <cfRule type="duplicateValues" dxfId="3" priority="2"/>
    <cfRule type="duplicateValues" dxfId="2" priority="3"/>
  </conditionalFormatting>
  <conditionalFormatting sqref="C95:C100">
    <cfRule type="duplicateValues" dxfId="1" priority="1"/>
  </conditionalFormatting>
  <conditionalFormatting sqref="G2 C2">
    <cfRule type="duplicateValues" dxfId="0" priority="5"/>
  </conditionalFormatting>
  <hyperlinks>
    <hyperlink ref="H102" r:id="rId1" xr:uid="{BCAAA478-5AC1-4A9A-A96F-9738F2DD61F5}"/>
    <hyperlink ref="H101" r:id="rId2" xr:uid="{72D3F61B-F8E1-4B2E-A8AF-7BD41D1CF6E7}"/>
    <hyperlink ref="H99" r:id="rId3" xr:uid="{7971FAE0-ADC4-4C4A-B21D-465A51571F28}"/>
    <hyperlink ref="H100" r:id="rId4" xr:uid="{4EA7E215-136E-4ADC-B4D4-0965BCF1D93A}"/>
    <hyperlink ref="H103" r:id="rId5" xr:uid="{489DC70C-24CC-44AF-8746-0CD1E8E358C6}"/>
    <hyperlink ref="H106" r:id="rId6" xr:uid="{3C297C89-3DAD-47A3-8C7D-E21CDF70FA53}"/>
    <hyperlink ref="H105" r:id="rId7" xr:uid="{D0CFEB31-EF13-47B8-8F23-45167D715345}"/>
    <hyperlink ref="H104" r:id="rId8" xr:uid="{0C999262-2F74-47D9-A68B-2EA71B3517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A94E-4094-44DA-966C-56F33B2702FB}">
  <dimension ref="A1:T110"/>
  <sheetViews>
    <sheetView workbookViewId="0">
      <selection activeCell="P9" sqref="P9"/>
    </sheetView>
  </sheetViews>
  <sheetFormatPr defaultRowHeight="14.45"/>
  <cols>
    <col min="4" max="4" width="19.140625" customWidth="1"/>
    <col min="5" max="5" width="17.7109375" customWidth="1"/>
  </cols>
  <sheetData>
    <row r="1" spans="1:20" s="7" customFormat="1" ht="74.25" customHeight="1">
      <c r="A1" s="1" t="s">
        <v>4</v>
      </c>
      <c r="B1" s="1" t="s">
        <v>405</v>
      </c>
      <c r="C1" s="2" t="s">
        <v>406</v>
      </c>
      <c r="D1" s="2" t="s">
        <v>407</v>
      </c>
      <c r="E1" s="3" t="s">
        <v>408</v>
      </c>
      <c r="F1" s="2" t="s">
        <v>409</v>
      </c>
      <c r="G1" s="2" t="s">
        <v>410</v>
      </c>
      <c r="H1" s="1" t="s">
        <v>411</v>
      </c>
      <c r="I1" s="1" t="s">
        <v>412</v>
      </c>
      <c r="J1" s="1" t="s">
        <v>413</v>
      </c>
      <c r="K1" s="4" t="s">
        <v>414</v>
      </c>
      <c r="L1" s="1" t="s">
        <v>415</v>
      </c>
      <c r="M1" s="1" t="s">
        <v>416</v>
      </c>
      <c r="N1" s="5" t="s">
        <v>417</v>
      </c>
      <c r="O1" s="6" t="s">
        <v>418</v>
      </c>
      <c r="P1" s="6" t="s">
        <v>419</v>
      </c>
      <c r="Q1" s="6" t="s">
        <v>420</v>
      </c>
      <c r="R1" s="6" t="s">
        <v>421</v>
      </c>
      <c r="S1" s="1" t="s">
        <v>422</v>
      </c>
      <c r="T1" s="1" t="s">
        <v>423</v>
      </c>
    </row>
    <row r="110" spans="3:3">
      <c r="C110">
        <v>108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08A5461D5136488EFED6F0716767A1" ma:contentTypeVersion="" ma:contentTypeDescription="Create a new document." ma:contentTypeScope="" ma:versionID="2dbc3778270c1ff7dfb6315f63e90fc2">
  <xsd:schema xmlns:xsd="http://www.w3.org/2001/XMLSchema" xmlns:xs="http://www.w3.org/2001/XMLSchema" xmlns:p="http://schemas.microsoft.com/office/2006/metadata/properties" xmlns:ns2="F04B59C5-9CBF-40FA-8244-689DA476070E" xmlns:ns3="be0067ac-558b-40e7-9138-0b9aee47b278" xmlns:ns4="f04b59c5-9cbf-40fa-8244-689da476070e" targetNamespace="http://schemas.microsoft.com/office/2006/metadata/properties" ma:root="true" ma:fieldsID="03519d00a16ec9200a6cf5151e6ff43f" ns2:_="" ns3:_="" ns4:_="">
    <xsd:import namespace="F04B59C5-9CBF-40FA-8244-689DA476070E"/>
    <xsd:import namespace="be0067ac-558b-40e7-9138-0b9aee47b278"/>
    <xsd:import namespace="f04b59c5-9cbf-40fa-8244-689da4760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3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B59C5-9CBF-40FA-8244-689DA4760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067ac-558b-40e7-9138-0b9aee47b27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2C9A0A-5D06-4385-AAC4-8FBE5A21DD63}" ma:internalName="TaxCatchAll" ma:showField="CatchAllData" ma:web="{ac963a9c-3b1b-4dfd-b0d2-aeb8a08bf505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b59c5-9cbf-40fa-8244-689da47607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067ac-558b-40e7-9138-0b9aee47b278" xsi:nil="true"/>
    <lcf76f155ced4ddcb4097134ff3c332f xmlns="f04b59c5-9cbf-40fa-8244-689da47607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20D764-44D6-4415-BF64-68247232F4FE}"/>
</file>

<file path=customXml/itemProps2.xml><?xml version="1.0" encoding="utf-8"?>
<ds:datastoreItem xmlns:ds="http://schemas.openxmlformats.org/officeDocument/2006/customXml" ds:itemID="{BC23CABC-5AC9-4505-A2A9-BB300660B607}"/>
</file>

<file path=customXml/itemProps3.xml><?xml version="1.0" encoding="utf-8"?>
<ds:datastoreItem xmlns:ds="http://schemas.openxmlformats.org/officeDocument/2006/customXml" ds:itemID="{248B4A0C-EC77-46FF-8BED-10E2CC2AE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Thanh Quyen</dc:creator>
  <cp:keywords/>
  <dc:description/>
  <cp:lastModifiedBy>Trãi, Nguyễn Văn</cp:lastModifiedBy>
  <cp:revision/>
  <dcterms:created xsi:type="dcterms:W3CDTF">2015-06-05T18:17:20Z</dcterms:created>
  <dcterms:modified xsi:type="dcterms:W3CDTF">2025-11-24T02:40:08Z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0x0101008A08A5461D5136488EFED6F0716767A1</vt:lpwstr>
  </property>
  <property fmtid="{D5CDD505-2E9C-101B-9397-08002B2CF9AE}" pid="3" name="MediaServiceImageTags">
    <vt:lpwstr/>
  </property>
</Properties>
</file>