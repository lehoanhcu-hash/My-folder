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cnt_duytanrecycling_com/Documents/Desktop/"/>
    </mc:Choice>
  </mc:AlternateContent>
  <xr:revisionPtr revIDLastSave="691" documentId="8_{16DAAE0B-1319-41BE-B9A9-7E50A685240C}" xr6:coauthVersionLast="47" xr6:coauthVersionMax="47" xr10:uidLastSave="{FA8002F4-012B-41B2-A21F-58471BEB3648}"/>
  <bookViews>
    <workbookView xWindow="-110" yWindow="-110" windowWidth="19420" windowHeight="10300" xr2:uid="{9A470E0D-71C3-4AC6-8FF6-18E8ECE79633}"/>
  </bookViews>
  <sheets>
    <sheet name="Tổng hợp" sheetId="1" r:id="rId1"/>
    <sheet name="Chi tiết đầu tư 2026" sheetId="2" r:id="rId2"/>
    <sheet name="TH 2026" sheetId="7" state="hidden" r:id="rId3"/>
    <sheet name="TH 2025" sheetId="8" state="hidden" r:id="rId4"/>
    <sheet name="2026" sheetId="5" state="hidden" r:id="rId5"/>
    <sheet name="2025" sheetId="6" state="hidden" r:id="rId6"/>
  </sheets>
  <definedNames>
    <definedName name="_xlnm._FilterDatabase" localSheetId="5" hidden="1">'2025'!$A$1:$W$1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F39" i="2"/>
  <c r="G39" i="2"/>
  <c r="G31" i="2"/>
  <c r="C5" i="2"/>
  <c r="G5" i="2"/>
  <c r="F5" i="2"/>
  <c r="D19" i="2"/>
  <c r="E19" i="2"/>
  <c r="D20" i="2"/>
  <c r="E20" i="2"/>
  <c r="D7" i="2"/>
  <c r="E7" i="2"/>
  <c r="D15" i="2"/>
  <c r="E15" i="2"/>
  <c r="D21" i="2"/>
  <c r="E21" i="2"/>
  <c r="D17" i="2"/>
  <c r="E17" i="2"/>
  <c r="D9" i="2"/>
  <c r="E9" i="2"/>
  <c r="D47" i="2"/>
  <c r="E47" i="2"/>
  <c r="D53" i="2"/>
  <c r="E53" i="2"/>
  <c r="D40" i="2"/>
  <c r="E40" i="2"/>
  <c r="D48" i="2"/>
  <c r="E48" i="2"/>
  <c r="D51" i="2"/>
  <c r="E51" i="2"/>
  <c r="D33" i="2"/>
  <c r="E33" i="2"/>
  <c r="D34" i="2"/>
  <c r="E34" i="2"/>
  <c r="D35" i="2"/>
  <c r="E35" i="2"/>
  <c r="D36" i="2"/>
  <c r="E36" i="2"/>
  <c r="E32" i="2"/>
  <c r="D32" i="2"/>
  <c r="E5" i="1"/>
  <c r="E7" i="1"/>
  <c r="E3" i="1"/>
  <c r="E11" i="1"/>
  <c r="E12" i="1"/>
  <c r="C13" i="1"/>
  <c r="H11" i="1"/>
  <c r="H12" i="1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S4" i="6"/>
  <c r="S2" i="6" s="1"/>
  <c r="A4" i="6"/>
  <c r="S3" i="6"/>
  <c r="R2" i="6"/>
  <c r="Q2" i="6"/>
  <c r="P2" i="6"/>
  <c r="O2" i="6"/>
  <c r="N2" i="6"/>
  <c r="M2" i="6"/>
  <c r="L2" i="6"/>
  <c r="K2" i="6"/>
  <c r="I39" i="5"/>
  <c r="H39" i="5"/>
  <c r="G39" i="5"/>
  <c r="F39" i="5"/>
  <c r="F2" i="5" s="1"/>
  <c r="I3" i="5"/>
  <c r="I2" i="5" s="1"/>
  <c r="H3" i="5"/>
  <c r="H2" i="5" s="1"/>
  <c r="G3" i="5"/>
  <c r="G2" i="5" s="1"/>
  <c r="F3" i="5"/>
  <c r="XFD13" i="1"/>
  <c r="C37" i="2"/>
  <c r="G37" i="2"/>
  <c r="F37" i="2"/>
  <c r="C31" i="2"/>
  <c r="F26" i="2"/>
  <c r="C22" i="2"/>
  <c r="G26" i="2"/>
  <c r="C26" i="2"/>
  <c r="E28" i="2"/>
  <c r="D28" i="2"/>
  <c r="E27" i="2"/>
  <c r="D27" i="2"/>
  <c r="G29" i="2"/>
  <c r="F29" i="2"/>
  <c r="C29" i="2"/>
  <c r="E30" i="2"/>
  <c r="D30" i="2"/>
  <c r="D8" i="2"/>
  <c r="E8" i="2"/>
  <c r="D11" i="2"/>
  <c r="E11" i="2"/>
  <c r="D10" i="2"/>
  <c r="E10" i="2"/>
  <c r="D12" i="2"/>
  <c r="E12" i="2"/>
  <c r="D13" i="2"/>
  <c r="E13" i="2"/>
  <c r="D14" i="2"/>
  <c r="E14" i="2"/>
  <c r="D16" i="2"/>
  <c r="E16" i="2"/>
  <c r="D18" i="2"/>
  <c r="E18" i="2"/>
  <c r="E6" i="2"/>
  <c r="D6" i="2"/>
  <c r="D42" i="2"/>
  <c r="E42" i="2"/>
  <c r="D44" i="2"/>
  <c r="E44" i="2"/>
  <c r="D45" i="2"/>
  <c r="E45" i="2"/>
  <c r="D46" i="2"/>
  <c r="E46" i="2"/>
  <c r="D50" i="2"/>
  <c r="E50" i="2"/>
  <c r="D49" i="2"/>
  <c r="E49" i="2"/>
  <c r="D52" i="2"/>
  <c r="E52" i="2"/>
  <c r="D54" i="2"/>
  <c r="E54" i="2"/>
  <c r="D43" i="2"/>
  <c r="E43" i="2"/>
  <c r="E41" i="2"/>
  <c r="D41" i="2"/>
  <c r="F31" i="2"/>
  <c r="F57" i="2" l="1"/>
  <c r="F13" i="1"/>
  <c r="G13" i="1"/>
  <c r="E10" i="1"/>
  <c r="E9" i="1"/>
  <c r="E8" i="1"/>
  <c r="E6" i="1"/>
  <c r="E4" i="1"/>
  <c r="D13" i="1"/>
  <c r="H10" i="1"/>
  <c r="H7" i="1"/>
  <c r="I7" i="1" s="1"/>
  <c r="H5" i="1"/>
  <c r="H9" i="1"/>
  <c r="H8" i="1"/>
  <c r="H6" i="1"/>
  <c r="H4" i="1"/>
  <c r="H3" i="1"/>
  <c r="H13" i="1"/>
  <c r="H14" i="1" s="1"/>
  <c r="G57" i="2"/>
  <c r="C57" i="2"/>
  <c r="I12" i="1" l="1"/>
  <c r="I10" i="1"/>
  <c r="E13" i="1"/>
  <c r="E14" i="1" s="1"/>
  <c r="I11" i="1"/>
  <c r="I6" i="1"/>
  <c r="I8" i="1"/>
  <c r="I9" i="1"/>
  <c r="I5" i="1"/>
  <c r="I3" i="1"/>
  <c r="I4" i="1"/>
  <c r="I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Trúc, Nguyễn Thị Thanh</author>
  </authors>
  <commentList>
    <comment ref="L1" authorId="0" shapeId="0" xr:uid="{9A37076B-7A0E-42D3-87BE-151E508BC2E5}">
      <text>
        <r>
          <rPr>
            <b/>
            <sz val="9"/>
            <color indexed="81"/>
            <rFont val="Tahoma"/>
            <family val="2"/>
          </rPr>
          <t>Trúc, Nguyễn Thị Thanh:</t>
        </r>
        <r>
          <rPr>
            <sz val="9"/>
            <color indexed="81"/>
            <rFont val="Tahoma"/>
            <family val="2"/>
          </rPr>
          <t xml:space="preserve">
Chuyển từ OPEX sang CAPEX
</t>
        </r>
      </text>
    </comment>
    <comment ref="M1" authorId="0" shapeId="0" xr:uid="{A46C6D8D-247A-4641-8468-59537D21E635}">
      <text>
        <r>
          <rPr>
            <b/>
            <sz val="9"/>
            <color indexed="81"/>
            <rFont val="Tahoma"/>
            <family val="2"/>
          </rPr>
          <t>Dương màu đỏ
âm màu xanh</t>
        </r>
      </text>
    </comment>
  </commentList>
</comments>
</file>

<file path=xl/sharedStrings.xml><?xml version="1.0" encoding="utf-8"?>
<sst xmlns="http://schemas.openxmlformats.org/spreadsheetml/2006/main" count="1035" uniqueCount="377">
  <si>
    <t>STT</t>
  </si>
  <si>
    <t>Phân loại đầu tư</t>
  </si>
  <si>
    <t>Năm n</t>
  </si>
  <si>
    <t>Năm n+1</t>
  </si>
  <si>
    <t>Tỷ trọng (%)</t>
  </si>
  <si>
    <t>Đầu tư mới</t>
  </si>
  <si>
    <t>Thay thế</t>
  </si>
  <si>
    <t>Tổng cộng</t>
  </si>
  <si>
    <t xml:space="preserve">Đáp ứng sản lượng </t>
  </si>
  <si>
    <t>Cải tiến, tiết kiệm</t>
  </si>
  <si>
    <t>Tự động hoá</t>
  </si>
  <si>
    <t>Công nghệ, ngành nghề mới</t>
  </si>
  <si>
    <t xml:space="preserve">IT (phần cứng, phần mềm) </t>
  </si>
  <si>
    <t>Nghiên cứu phát triển (sản phẩm mới)</t>
  </si>
  <si>
    <t>Cải thiện nơi làm việc</t>
  </si>
  <si>
    <t>An toàn, môi trường</t>
  </si>
  <si>
    <t>Cải tiến chất lượng</t>
  </si>
  <si>
    <t>Khác</t>
  </si>
  <si>
    <t>% Đầu tư / Doanh thu</t>
  </si>
  <si>
    <t xml:space="preserve">Tên tài sản </t>
  </si>
  <si>
    <t>Số lượng</t>
  </si>
  <si>
    <t>Đơn giá</t>
  </si>
  <si>
    <t>Thành tiền</t>
  </si>
  <si>
    <t>Xuất xứ</t>
  </si>
  <si>
    <t>Bộ phận</t>
  </si>
  <si>
    <t>USD</t>
  </si>
  <si>
    <t>VND</t>
  </si>
  <si>
    <t>I</t>
  </si>
  <si>
    <t>Đáp ứng sản lượng</t>
  </si>
  <si>
    <t>II</t>
  </si>
  <si>
    <t>Cải tiết, tiết kiệm</t>
  </si>
  <si>
    <t>III</t>
  </si>
  <si>
    <t>IV</t>
  </si>
  <si>
    <t>V</t>
  </si>
  <si>
    <t xml:space="preserve">IT (cơ sở hạ tầng, phần mềm) </t>
  </si>
  <si>
    <t>VI</t>
  </si>
  <si>
    <t xml:space="preserve">Nghiên cứu phát triển </t>
  </si>
  <si>
    <t>VII</t>
  </si>
  <si>
    <t>VIII</t>
  </si>
  <si>
    <t>IX</t>
  </si>
  <si>
    <t>X</t>
  </si>
  <si>
    <t>Máy băm nhựa rPET chuyền CHWO-B01</t>
  </si>
  <si>
    <t>Máy phát hiện kim loại cho chuyền băm Changwoen01, 02</t>
  </si>
  <si>
    <t>Mua mới lắp đặt vít lấy liệu cho bồn mix-02</t>
  </si>
  <si>
    <t>Pallang nâng hạ bao jumbo cho chuyền chai PET (chuyền kiểm tra)</t>
  </si>
  <si>
    <t>Máy mài dao băm cho các chuyền băm tại DTR</t>
  </si>
  <si>
    <t>Trung Quốc</t>
  </si>
  <si>
    <t>Đức</t>
  </si>
  <si>
    <t>Việt nam</t>
  </si>
  <si>
    <t>Việt  Nam</t>
  </si>
  <si>
    <t>Việt Nam</t>
  </si>
  <si>
    <t>Kỹ thuật</t>
  </si>
  <si>
    <t>Sản xuất &amp; Kho</t>
  </si>
  <si>
    <t>Kiểm soát chất lượng</t>
  </si>
  <si>
    <t>Sửa chữa nền nhà xưởng F01,02,03,04,05.</t>
  </si>
  <si>
    <t>Hệ thống thông gió cho xưởng F01, F04 và F05</t>
  </si>
  <si>
    <t>Sửa nền xưởng, sửa cửa/cổng, máng xối, chống dột, cải tạo nhà vệ sinh TĐH</t>
  </si>
  <si>
    <t>Máy chà sàn kho thành phẩm</t>
  </si>
  <si>
    <t>Di dời và xây dựng VP Kho F6 ra cổng bảo vệ số 3</t>
  </si>
  <si>
    <t>Làm phòng cho giám sát, tổ trưởng</t>
  </si>
  <si>
    <t>Phần mềm quản lý bảo trì máy móc thiết bị CMMS (Computerized Maintenance Management System)</t>
  </si>
  <si>
    <t>Hệ thu bụi, sợi cho chuyền tạo hạt rPET</t>
  </si>
  <si>
    <t>Máy tách kim loại cho máy Mix09</t>
  </si>
  <si>
    <t>Sàn rung hạt nhựa cho máy Mix-03, Meyer tách hạt</t>
  </si>
  <si>
    <t>Cửa cuốn tự động tại F2, F3, F4, F5</t>
  </si>
  <si>
    <t>Máy đo IV Tester, tủ sấy chân không, máy đo mùi hạt nhựa</t>
  </si>
  <si>
    <t>Máy Quang phổ kế định danh vật liệu FT-IR</t>
  </si>
  <si>
    <t>Cải tiến bể tuyển nổi chuyển băm rửa Changwoen 01, 02, Bore-02</t>
  </si>
  <si>
    <t>Máy tách kim loại cho máy Mix03</t>
  </si>
  <si>
    <t>Sàn rung hạt nhựa cho máy Mix-03</t>
  </si>
  <si>
    <t>Nghiên cứu phát triển</t>
  </si>
  <si>
    <t>Máy sort chai tự động cho chuyền băm 2</t>
  </si>
  <si>
    <t>Phương án Pallang lấy hàng thành phẩm cho Kho F1</t>
  </si>
  <si>
    <t>Lắp đặt pallang giảm nhân sự cho các chuyền máy DTR</t>
  </si>
  <si>
    <t>Đổ bê tông, làm mái che F7</t>
  </si>
  <si>
    <t>Máy hút hạt nhựa, bột nhựa</t>
  </si>
  <si>
    <t>Càng kẹp xe càng dao xuống hàng chai kho NVL - F6</t>
  </si>
  <si>
    <t>Xe nâng tay điện Noblelift</t>
  </si>
  <si>
    <t>Rải thảm 1 lớp nhựa nóng cho toàn bộ đường công ty</t>
  </si>
  <si>
    <t>Sửa đường nội bộ (trường hợp rải thảm nhựa - sẽ không phát sinh mục này)</t>
  </si>
  <si>
    <t>Italia</t>
  </si>
  <si>
    <t>HCNS</t>
  </si>
  <si>
    <t>Hệ thống SMS, VMS giai đoạn 2, AI copilot</t>
  </si>
  <si>
    <t>Lắp đặt 26 camera mới DTR</t>
  </si>
  <si>
    <t>HIKVISION</t>
  </si>
  <si>
    <t>Nới rộng nhà sạc xe nâng</t>
  </si>
  <si>
    <t>Khuôn thẻ chữ nhật để ép PET</t>
  </si>
  <si>
    <t>Chuyền tạo màng rPET</t>
  </si>
  <si>
    <t>Máy tách kim loại cho chuyền xử lý phó sản</t>
  </si>
  <si>
    <t>Sàn rung 2 lớp xử lý phó sản TOMRA, TROMEL</t>
  </si>
  <si>
    <t>Sàn rung 2 lớp xử lý phó sản tồn lâu tại F7</t>
  </si>
  <si>
    <t>Lắp thêm 2 bồn ( 50m3/ bồn )  chứa nước thải hóa chất nóng để điều tiết xử lý cho trạm 500m3/ngày đêm</t>
  </si>
  <si>
    <t>Băng tải cân tự động kiện chai PET đầu vào tại kho F6 (cân từng kiện)</t>
  </si>
  <si>
    <t>Phân loại</t>
  </si>
  <si>
    <t>Chi tiết hạng mục</t>
  </si>
  <si>
    <t>Đơn giá ( chưa bao gồm VAT)
(VND)</t>
  </si>
  <si>
    <t>Tổng giá trị
(VND)</t>
  </si>
  <si>
    <t>Tổng giá trị
(USD)</t>
  </si>
  <si>
    <t>Hiệu máy</t>
  </si>
  <si>
    <t>Lý do đầu tư</t>
  </si>
  <si>
    <t>Khả năng đầu tư</t>
  </si>
  <si>
    <t>Thời điểm ký hợp đồng</t>
  </si>
  <si>
    <t>Thời điểm đưa vào sử dụng</t>
  </si>
  <si>
    <t>TỔNG CỘNG</t>
  </si>
  <si>
    <t>I.</t>
  </si>
  <si>
    <t>CÁC HẠNG MỤC PHÁT SINH MỚI 2026</t>
  </si>
  <si>
    <t>Jwell</t>
  </si>
  <si>
    <t>Sản phẩm mới</t>
  </si>
  <si>
    <t>Enma/Zerma</t>
  </si>
  <si>
    <t>Thay thế cho các máy Băm chuyền CHWO-B01</t>
  </si>
  <si>
    <t>Eratech</t>
  </si>
  <si>
    <t xml:space="preserve">Để điều tiết và chống sốc vi sinh khi băm và rửa nóng nhiều. cho trạm XLNT 500m3 </t>
  </si>
  <si>
    <t>Fushun/ Longi</t>
  </si>
  <si>
    <t>Xử lý tách kim loại cho các loại phó sản</t>
  </si>
  <si>
    <t>Databeyond
Moogetech</t>
  </si>
  <si>
    <t>Giảm nhân công, tăng năng suất, tăng chất lượng vảy thô</t>
  </si>
  <si>
    <t>Đại Việt</t>
  </si>
  <si>
    <t>Giám nhiệt độ bên trong xưởng, tạo điều kiện môi trường làm việc tốt cho CB CNV</t>
  </si>
  <si>
    <t>CMMS</t>
  </si>
  <si>
    <t>Tối ưu hóa Lập kế hoạch, theo dõi và quản lý hiệu quả hoạt động bảo trì MMTB</t>
  </si>
  <si>
    <t>Loại bỏ bụi, tạp sợi tại các tank thành phẩm hạt rPET</t>
  </si>
  <si>
    <t>Sesotec</t>
  </si>
  <si>
    <t>Thay thế các máy tách kim loại cũ trên chuyền băm Changwoen01 và 02</t>
  </si>
  <si>
    <t>Lắp đặt thêm máy tách kim loại tại máy Mix-09 để kiểm soát chất lượng hạt thành phẩm trước khi giao hàng</t>
  </si>
  <si>
    <t>TNT</t>
  </si>
  <si>
    <t>Loại bỏ tạp chất tăng chất lượng hạt thành phẩm sau rework</t>
  </si>
  <si>
    <t>Cty Cơ khí Tiền Linh</t>
  </si>
  <si>
    <r>
      <rPr>
        <u/>
        <sz val="11"/>
        <color theme="1"/>
        <rFont val="Times New Roman"/>
        <family val="1"/>
      </rPr>
      <t>Mục đích</t>
    </r>
    <r>
      <rPr>
        <sz val="11"/>
        <color theme="1"/>
        <rFont val="Times New Roman"/>
        <family val="1"/>
      </rPr>
      <t>: Giúp lấy hàng nhanh chóng, giảm phụ thuộc vào xe nâng
Ước tính giảm 2 nhân viên xe nâng (~ 300tr/năm)
Ước tính giảm tiền dầu ~ 215tr/năm
Giảm thời gian nhập hàng, thời gian cập nhật sơ đồ kho
Nếu đầu tư Rack thì không cần</t>
    </r>
  </si>
  <si>
    <t>Bảo quản hàng tồn kho, an toàn xe nâng</t>
  </si>
  <si>
    <t>Plenma</t>
  </si>
  <si>
    <t>Mục đích: Lắp đặt pallang và vít nạp bồn mix-04. Hiệu quả: 
- Giảm 2 tài xế xe nâng/năm (~300tr/năm)
 - Giảm ~400 lít/tháng ~ 15tr tiền dầu/tháng
=&gt; Đầu tư pallang, xe nâng điện kéo tay để giảm 2 tài xế (~ 300tr/năm)  và giảm tiền dầu xe nâng ca đêm (~70tr/năm) ~ 2,5 năm thu hồi vốn</t>
  </si>
  <si>
    <t>Ngăn chặn côn trùng</t>
  </si>
  <si>
    <t>Trám nền các khu vực cạnh chân cột bị lún nứt, trám nền cạnh các đường ron nền xe chạy bị bể gây ra bụi</t>
  </si>
  <si>
    <t>Mục đích: tăng sức chứa kho NVL để đựng vảy, vì đã trả lại F5 cho xưởng
Hiệu quả: Diện tích 329.6m2 tương đương 245 pallets</t>
  </si>
  <si>
    <t>Cơ khí chế tạo Nam Sơn</t>
  </si>
  <si>
    <t>Mục đích: đầu tư cho kho thành phẩm, nhằm sang bao hạt giảm thời gian chờ  và giảm rơi đổ</t>
  </si>
  <si>
    <t>Industree VietNam</t>
  </si>
  <si>
    <r>
      <rPr>
        <u/>
        <sz val="11"/>
        <color theme="1"/>
        <rFont val="Times New Roman"/>
        <family val="1"/>
      </rPr>
      <t>Mục đích</t>
    </r>
    <r>
      <rPr>
        <sz val="11"/>
        <color theme="1"/>
        <rFont val="Times New Roman"/>
        <family val="1"/>
      </rPr>
      <t xml:space="preserve">: Rút ngắn và tiết kiệm thời gian xuống hàng 
</t>
    </r>
    <r>
      <rPr>
        <u/>
        <sz val="11"/>
        <color theme="1"/>
        <rFont val="Times New Roman"/>
        <family val="1"/>
      </rPr>
      <t xml:space="preserve">Hiệu quả: </t>
    </r>
    <r>
      <rPr>
        <sz val="11"/>
        <color theme="1"/>
        <rFont val="Times New Roman"/>
        <family val="1"/>
      </rPr>
      <t xml:space="preserve">
- Càng kẹp hiện tại 1.5m -&gt; 1 lần xuống hàng:  3 kiện (750kg) 
- Càng kẹp đề xuất 2.2m (mở 2.37m) -&gt; 1 lần xuống hàng: 6 kiện (1500kg)
Tăng 50% công suất xuống hàng
=&gt; cắt được 0,5 người để bố trí công việc khác (~ 60tr/năm)</t>
    </r>
  </si>
  <si>
    <t xml:space="preserve"> Kungfu Clean AS 2007</t>
  </si>
  <si>
    <r>
      <rPr>
        <u/>
        <sz val="11"/>
        <color theme="1"/>
        <rFont val="Times New Roman"/>
        <family val="1"/>
      </rPr>
      <t>Mục đích</t>
    </r>
    <r>
      <rPr>
        <sz val="11"/>
        <color theme="1"/>
        <rFont val="Times New Roman"/>
        <family val="1"/>
      </rPr>
      <t>: Vệ sinh sàn kho TP, đảm bảo nền kho luôn sạch sẽ.
Hiện kho TP chưa có máy chà sàn</t>
    </r>
  </si>
  <si>
    <r>
      <rPr>
        <u/>
        <sz val="11"/>
        <color theme="1"/>
        <rFont val="Times New Roman"/>
        <family val="1"/>
      </rPr>
      <t xml:space="preserve">Mục đích: </t>
    </r>
    <r>
      <rPr>
        <sz val="11"/>
        <color theme="1"/>
        <rFont val="Times New Roman"/>
        <family val="1"/>
      </rPr>
      <t xml:space="preserve">Mua mới lắp đặt vít lấy liệu cho bồn mix-02
</t>
    </r>
    <r>
      <rPr>
        <u/>
        <sz val="11"/>
        <color theme="1"/>
        <rFont val="Times New Roman"/>
        <family val="1"/>
      </rPr>
      <t xml:space="preserve">Hiệu quả: </t>
    </r>
    <r>
      <rPr>
        <sz val="11"/>
        <color theme="1"/>
        <rFont val="Times New Roman"/>
        <family val="1"/>
      </rPr>
      <t>Giúp tăng năng suất bồn trộn từ 600kg/h lên 800kg/h.</t>
    </r>
  </si>
  <si>
    <r>
      <rPr>
        <u/>
        <sz val="11"/>
        <color theme="1"/>
        <rFont val="Times New Roman"/>
        <family val="1"/>
      </rPr>
      <t xml:space="preserve">Mục đích: </t>
    </r>
    <r>
      <rPr>
        <sz val="11"/>
        <color theme="1"/>
        <rFont val="Times New Roman"/>
        <family val="1"/>
      </rPr>
      <t xml:space="preserve">Thuận tiện cho việc thông tin giữa bảo vệ - Kho- KT Kho.
</t>
    </r>
    <r>
      <rPr>
        <u/>
        <sz val="11"/>
        <color theme="1"/>
        <rFont val="Times New Roman"/>
        <family val="1"/>
      </rPr>
      <t xml:space="preserve">Hiệu quả: </t>
    </r>
    <r>
      <rPr>
        <sz val="11"/>
        <color theme="1"/>
        <rFont val="Times New Roman"/>
        <family val="1"/>
      </rPr>
      <t xml:space="preserve">
-Kiểm soát và kí phiếu cho xe ra cổng được nhanh chóng và kịp thời
- Tránh lãng công</t>
    </r>
  </si>
  <si>
    <t>Noblelift</t>
  </si>
  <si>
    <t>Giảm thời gian chuyển hàng, giảm nhân công</t>
  </si>
  <si>
    <t>Bore</t>
  </si>
  <si>
    <r>
      <t xml:space="preserve">Xử lí phó sản TOMRA, TROMEL, kết hợp với máy TAIHO. Dự kiến xử lí 100 tấn/tháng
</t>
    </r>
    <r>
      <rPr>
        <u/>
        <sz val="11"/>
        <rFont val="Times New Roman"/>
        <family val="1"/>
      </rPr>
      <t xml:space="preserve">Mục đích: </t>
    </r>
    <r>
      <rPr>
        <sz val="11"/>
        <rFont val="Times New Roman"/>
        <family val="1"/>
      </rPr>
      <t>loại bỏ tạp mịn để thu hồi vảy dùng cho dây đai hoặc tạo hạt xơ sợi và tạo dây đai</t>
    </r>
  </si>
  <si>
    <t>Mục đích: khu vực F4, F5 chưa có khu vực làm việc giám sát hiện trường</t>
  </si>
  <si>
    <r>
      <rPr>
        <u/>
        <sz val="11"/>
        <color theme="1"/>
        <rFont val="Times New Roman"/>
        <family val="1"/>
      </rPr>
      <t>Mục đích:</t>
    </r>
    <r>
      <rPr>
        <sz val="11"/>
        <color theme="1"/>
        <rFont val="Times New Roman"/>
        <family val="1"/>
      </rPr>
      <t xml:space="preserve"> Dùng để xử lý phó sản. 
</t>
    </r>
    <r>
      <rPr>
        <u/>
        <sz val="11"/>
        <color theme="1"/>
        <rFont val="Times New Roman"/>
        <family val="1"/>
      </rPr>
      <t xml:space="preserve">Hiệu quả: </t>
    </r>
    <r>
      <rPr>
        <sz val="11"/>
        <color theme="1"/>
        <rFont val="Times New Roman"/>
        <family val="1"/>
      </rPr>
      <t>Xử lý phó sản tồn lâu tại F7 lẫn tạp chất. Dự kiến 30 tấn phế quét nền, tăng hiệu quả tách hỗn hợp cuối HD</t>
    </r>
  </si>
  <si>
    <t>Chống lún,  giảm chi phí bảo trì hàng năm (230.000đ x 16.721m2)</t>
  </si>
  <si>
    <t>Quan sát các khu vực bị thiếu camera không quan sát được khi có sự cố xảy ra
Bổ sung thêm đầu thu, thiết bị xem tại phòng GDĐH:
F01: 3 cái: 1 nhà xe + 1 cổng bv hướng ra ngoài + 1 khu soạn hàng giao
F02: 1 cái:  phòng QC
F03: 4 cái: 1 hành lang trong xưởng phía sau quầy lễ tân, 1 cái giữa xưởng hướng về cổng 1, 2 cái phòng QC 
F04: 2 cái: 1 đối diện phòng camera, 1 từ cửa xưởng hướng ra ngoài
F05: 6 cái
F06: 2 cái: khu vực xuống hàng
Kho 6B: 6 cái ( khu vực mới mở rộng)
Kho 5: 2 cái: 2 góc xưởng hướng ra ngoài</t>
  </si>
  <si>
    <t>Kiểm soát chất lượng sản phẩm</t>
  </si>
  <si>
    <t>Tăng hiệu suất chứa chai, giảm bao lưu kho và vận chuyển, Tăng năng suất lựa chai</t>
  </si>
  <si>
    <t>Perkin Elmer</t>
  </si>
  <si>
    <t>Phân tích nguyên liệu, kiểm soát chất lượng và phát triển sản phẩm.</t>
  </si>
  <si>
    <t>Mida</t>
  </si>
  <si>
    <t>Tách riêng máy ép PET &amp; HD/PP</t>
  </si>
  <si>
    <t>II.</t>
  </si>
  <si>
    <t>CÁC HẠNG MỤC 2025 CHUYỂN SANG 2026</t>
  </si>
  <si>
    <t>Giảm tỷ lệ vảy PET đi theo PS Olefin, tăng chất lượng vảy sạch sau BTN</t>
  </si>
  <si>
    <t>Lắp đặt thêm máy tách kim loại tại máy Mix-03 để kiểm soát chất lượng hạt thành phẩm trước khi giao hàng</t>
  </si>
  <si>
    <t>Tăng cường thêm máy mài dao băm đáp ứng dao thay thế cho các chuyền băm khi nhu cầu băm tăng cao</t>
  </si>
  <si>
    <t>Cân từng kiện chai PET khi nhận hàng, dán tem, mục đích giảm chênh chệnh NXT kho và truy vết NCC</t>
  </si>
  <si>
    <t>Mã số Capex</t>
  </si>
  <si>
    <t>KTQT phụ trách</t>
  </si>
  <si>
    <t>Loại tài sản</t>
  </si>
  <si>
    <t>Nội dung</t>
  </si>
  <si>
    <t>Giá trị Capex được duyệt</t>
  </si>
  <si>
    <t>Giá trị điều chỉnh và bổ sung ngoài NS</t>
  </si>
  <si>
    <t>Chênh lệch được duyệt và điều chỉnh/bổ sung ngoài NS</t>
  </si>
  <si>
    <t>Giá trị hợp đồng đã ký</t>
  </si>
  <si>
    <t>Đã thanh toán</t>
  </si>
  <si>
    <t>Giá trị còn lại theo HĐ</t>
  </si>
  <si>
    <t>Giá trị chưaký hợp đồng)</t>
  </si>
  <si>
    <t>Giá trị dự kiến thực hiện 2025</t>
  </si>
  <si>
    <t>NCC</t>
  </si>
  <si>
    <t>Nước sản xuất</t>
  </si>
  <si>
    <t>Tình trạng máy</t>
  </si>
  <si>
    <t>Cập nhật trạng thái dự án</t>
  </si>
  <si>
    <t>TỔNG</t>
  </si>
  <si>
    <t>1</t>
  </si>
  <si>
    <t>CAPEX_KT_25029</t>
  </si>
  <si>
    <t>KT29</t>
  </si>
  <si>
    <t xml:space="preserve"> </t>
  </si>
  <si>
    <t>Máy móc thiết bị</t>
  </si>
  <si>
    <t>Lắp đặt hệ quan trắc khí thải, lập GPMT GĐ2</t>
  </si>
  <si>
    <t>Công Nghệ Xanh</t>
  </si>
  <si>
    <t>Máy mới 100%</t>
  </si>
  <si>
    <t>Đang thực hiện (Đề xuất đầu tư đã được duyệt năm 2025, chưa thanh toán)</t>
  </si>
  <si>
    <t>CAPEX_SX_25002</t>
  </si>
  <si>
    <t>SX02</t>
  </si>
  <si>
    <t>Sản xuất</t>
  </si>
  <si>
    <t>Nhâm</t>
  </si>
  <si>
    <t>Nhà cửa, vật kiến trúc</t>
  </si>
  <si>
    <t xml:space="preserve">Mái che di động </t>
  </si>
  <si>
    <t>KIRIN</t>
  </si>
  <si>
    <t>TRUNG QUỐC</t>
  </si>
  <si>
    <t>Đã thực hiện xong năm 2025</t>
  </si>
  <si>
    <t>CAPEX_TC_25001</t>
  </si>
  <si>
    <t>KTO01</t>
  </si>
  <si>
    <t>Kế Toán</t>
  </si>
  <si>
    <t>Thuy</t>
  </si>
  <si>
    <t>Phòng tiền chế ở F1, F5 &amp; F6</t>
  </si>
  <si>
    <t>AN PHÚC</t>
  </si>
  <si>
    <t>CAPEX_TC_25003</t>
  </si>
  <si>
    <t>KTO03</t>
  </si>
  <si>
    <t>Diễm</t>
  </si>
  <si>
    <t>Xây dựng toilet F02</t>
  </si>
  <si>
    <t>TOÀN LỢI</t>
  </si>
  <si>
    <t>VIỆT NAM</t>
  </si>
  <si>
    <t>Đang thực hiện (Đã ký hợp đồng và thanh toán/ứng trước)</t>
  </si>
  <si>
    <t>CAPEX_QA_25007</t>
  </si>
  <si>
    <t>QC07</t>
  </si>
  <si>
    <t>QC</t>
  </si>
  <si>
    <t>Huyền</t>
  </si>
  <si>
    <t>Thiết bị quản lý</t>
  </si>
  <si>
    <t>2 máy lạnh phòng Lab F3</t>
  </si>
  <si>
    <t>Khánh Quốc</t>
  </si>
  <si>
    <t>CAPEX_KT_25019</t>
  </si>
  <si>
    <t>KT19</t>
  </si>
  <si>
    <t>Hệ thống thông gió nhà xưởng F2 DTR</t>
  </si>
  <si>
    <t>CAPEX_KT_25003</t>
  </si>
  <si>
    <t>KT03</t>
  </si>
  <si>
    <t>Máy tách kim loại ESC - DTR ( 5 máy)</t>
  </si>
  <si>
    <t>Longi</t>
  </si>
  <si>
    <t>CAPEX_KT_25005</t>
  </si>
  <si>
    <t>KT05</t>
  </si>
  <si>
    <t>Sàn rung lựa vảy 3 tấn/h - DTR ( 6 cái)</t>
  </si>
  <si>
    <t>BORETECH</t>
  </si>
  <si>
    <t>CAPEX_KT_25011</t>
  </si>
  <si>
    <t>KT11</t>
  </si>
  <si>
    <t>Cải tạo hệ thống chân không SSP-01</t>
  </si>
  <si>
    <t>Starlinger</t>
  </si>
  <si>
    <t>Áo</t>
  </si>
  <si>
    <t>CAPEX_KT_25013</t>
  </si>
  <si>
    <t>KT13</t>
  </si>
  <si>
    <t>Hệ lọc nước RO cho nước cấp STG03</t>
  </si>
  <si>
    <t>CNTB Lọc Miền Nam</t>
  </si>
  <si>
    <t>CAPEX_KT_25014</t>
  </si>
  <si>
    <t>KT14</t>
  </si>
  <si>
    <t>Đầu tư máy rửa Ultrasonic và bộ lọc Kitech</t>
  </si>
  <si>
    <t>Kitech</t>
  </si>
  <si>
    <t>CAPEX_KT_25017</t>
  </si>
  <si>
    <t>KT17</t>
  </si>
  <si>
    <t>Container lạnh 20RF</t>
  </si>
  <si>
    <t>Tân Thành</t>
  </si>
  <si>
    <t>CAPEX_SX_25010</t>
  </si>
  <si>
    <t>SX10</t>
  </si>
  <si>
    <t>Đầu tư máy sấy bụi</t>
  </si>
  <si>
    <t>MẠNH HƯNG</t>
  </si>
  <si>
    <t>CAPEX_KT_25025</t>
  </si>
  <si>
    <t>KT25</t>
  </si>
  <si>
    <t>Cải tạo hệ thống xử lý nước thải trạm 400m3</t>
  </si>
  <si>
    <t>CAPEX_KT_25026</t>
  </si>
  <si>
    <t>KT26</t>
  </si>
  <si>
    <t>Đầu tư máy sort chai cho chuyền phân loại chai PET chuyền băm BORE-B01, CHWO-B01 (F3)</t>
  </si>
  <si>
    <t>Databeyond</t>
  </si>
  <si>
    <t>CAPEX_KT_25028</t>
  </si>
  <si>
    <t>KT28</t>
  </si>
  <si>
    <t>Đầu tư thiết bị phụ trợ cho máy sort chai tự động trên chuyền băm 1 (CHWO-B01) và chuyền băm 3 (BORE-B01)</t>
  </si>
  <si>
    <t>CAPEX_KT_25027</t>
  </si>
  <si>
    <t>KT27</t>
  </si>
  <si>
    <t>Đầu tư băng tải chuyển chai cho chuyền băm 3 (BORE-B01) xưởng F3</t>
  </si>
  <si>
    <t>CAPEX_KT_25030</t>
  </si>
  <si>
    <t>KT30</t>
  </si>
  <si>
    <t>Đầu tư máy móc thiết bị để nâng cao chất lượng hạt cho chuyền tạo hạt STAR-01, STAR-03 (Đầu tư sàn rung)</t>
  </si>
  <si>
    <t>CAPEX_KT_25033</t>
  </si>
  <si>
    <t>KT33</t>
  </si>
  <si>
    <t>Đầu tư sàn rung và máy tách kim loại Sesotec cho máy trộn MIX-03 và STAR-02</t>
  </si>
  <si>
    <t>TNT/Lotus</t>
  </si>
  <si>
    <t>Châu Âu</t>
  </si>
  <si>
    <t>CAPEX_SX_25004</t>
  </si>
  <si>
    <t>SX04</t>
  </si>
  <si>
    <t>Thư</t>
  </si>
  <si>
    <t>Xe nâng điện kéo tay ( 7 chiếc)</t>
  </si>
  <si>
    <t>HELI</t>
  </si>
  <si>
    <t>CAPEX_SX_25005</t>
  </si>
  <si>
    <t>SX05</t>
  </si>
  <si>
    <t>Xe nâng người cao 10m</t>
  </si>
  <si>
    <t>BYD</t>
  </si>
  <si>
    <t>CAPEX_KT_25016</t>
  </si>
  <si>
    <t>KT16</t>
  </si>
  <si>
    <t>Cải tạo sửa chữa và nâng cấp máy tách nhãn ChangWoen</t>
  </si>
  <si>
    <t>Nhật Trung</t>
  </si>
  <si>
    <t>CAPEX_RD_25002</t>
  </si>
  <si>
    <t>RD02</t>
  </si>
  <si>
    <t>Hệ cải tiến STAR-02, khử mùi AA/tăng kết tinh/tăng IV</t>
  </si>
  <si>
    <t>Piovan</t>
  </si>
  <si>
    <t>CAPEX_QA_25008</t>
  </si>
  <si>
    <t>QC08</t>
  </si>
  <si>
    <t>Máy đo chỉ số chảy (IV)</t>
  </si>
  <si>
    <t>LMS Technologies CO., LTD</t>
  </si>
  <si>
    <t>Goetffert-Germany</t>
  </si>
  <si>
    <t>CAPEX_KT_25031</t>
  </si>
  <si>
    <t>KT31</t>
  </si>
  <si>
    <t>Trúc</t>
  </si>
  <si>
    <t>Hệ năng lượng trên mái nhà DTR</t>
  </si>
  <si>
    <t>TTC</t>
  </si>
  <si>
    <t>CAPEX_KT25035</t>
  </si>
  <si>
    <t>KT35</t>
  </si>
  <si>
    <t>Đầu tư máy mài dao cho các máy băm tại DTR</t>
  </si>
  <si>
    <t>Quốc Duy</t>
  </si>
  <si>
    <t>CAPEX_KT_25001</t>
  </si>
  <si>
    <t>KT01</t>
  </si>
  <si>
    <t>Chuyền tạo hạt Starlinger 215art-ft-SSP350 - DTR (Thay bằng chuyền tạo hạt Erema)</t>
  </si>
  <si>
    <t>STARLINGER</t>
  </si>
  <si>
    <t>CAPEX_KT_25007</t>
  </si>
  <si>
    <t>KT07</t>
  </si>
  <si>
    <t>Hệ nạp liệu (nạp hạt) cho chuyền Starlinger  (3 hệ)</t>
  </si>
  <si>
    <t>CAPEX_KT_25023</t>
  </si>
  <si>
    <t>KT23</t>
  </si>
  <si>
    <t>Máy tách nhãn chai Plenma (4 máy)</t>
  </si>
  <si>
    <t>CAPEX_KT_25020</t>
  </si>
  <si>
    <t>KT20</t>
  </si>
  <si>
    <t>Máy tách nhãn chai Boretech (2 máy)</t>
  </si>
  <si>
    <t>Chuyển rửa F5</t>
  </si>
  <si>
    <t>CAPEX_HC_25001</t>
  </si>
  <si>
    <t>HCNS01</t>
  </si>
  <si>
    <t>Lắp đặt 40 camera mới DTR</t>
  </si>
  <si>
    <t>VŨ HOÀNG TELECOM</t>
  </si>
  <si>
    <t>CAPEX_HC_25003</t>
  </si>
  <si>
    <t>HCNS03</t>
  </si>
  <si>
    <t>Lắp đặt 10 camera mới TDH</t>
  </si>
  <si>
    <t>ANH PHONG</t>
  </si>
  <si>
    <t>CAPEX_HC_25004</t>
  </si>
  <si>
    <t>HCNS04</t>
  </si>
  <si>
    <t>Hệ thống thiết bị để xem camera tại các trạm</t>
  </si>
  <si>
    <t>Hitechpro</t>
  </si>
  <si>
    <t>CAPEX_HC_25005</t>
  </si>
  <si>
    <t>HCNS05</t>
  </si>
  <si>
    <t>Mua 2 màn hình thông minh thay thế 2 tivi đang có ở phòng họp 3</t>
  </si>
  <si>
    <t>CAPEX_KT_25004</t>
  </si>
  <si>
    <t>KT04</t>
  </si>
  <si>
    <t>Silo trộn hạt rPET thành phẩm Piovan - DTR</t>
  </si>
  <si>
    <t>CAPEX_QA_25004</t>
  </si>
  <si>
    <t>QC04</t>
  </si>
  <si>
    <t>Kệ kho mẫu QC ( 3 kệ)</t>
  </si>
  <si>
    <t>Cơ Khí Việt LA</t>
  </si>
  <si>
    <t>CAPEX_KT_25018</t>
  </si>
  <si>
    <t>KT18</t>
  </si>
  <si>
    <t>Mái che hồ nước sản xuất</t>
  </si>
  <si>
    <t>An Phúc</t>
  </si>
  <si>
    <t>CAPEX_SX_25011</t>
  </si>
  <si>
    <t>SX11</t>
  </si>
  <si>
    <t>Trạm sạc xe nâng</t>
  </si>
  <si>
    <t>CAPEX_KT25034</t>
  </si>
  <si>
    <t>KT34</t>
  </si>
  <si>
    <t>Di dời, lắp đặt và làm nhà chống côn trùng cho máy MIX-03</t>
  </si>
  <si>
    <t>XD &amp; TK An Phúc</t>
  </si>
  <si>
    <t>Cung Ứng</t>
  </si>
  <si>
    <t>Phương tiện vận tải</t>
  </si>
  <si>
    <t>3 Xe tải trạm</t>
  </si>
  <si>
    <t>CAPEX_RD_25001</t>
  </si>
  <si>
    <t>RD01</t>
  </si>
  <si>
    <t>R&amp;D</t>
  </si>
  <si>
    <t>Máy ép mẫu thử nghiệm (Cải thiện khả năng ép thẻ cơ tính)</t>
  </si>
  <si>
    <t>Đã qua sử dụng</t>
  </si>
  <si>
    <t>CAPEX_SX_25009</t>
  </si>
  <si>
    <t>SX09</t>
  </si>
  <si>
    <t>Lắp đặt cửa cuốn màng PVC tốc độ cao kho thành phẩm F1</t>
  </si>
  <si>
    <t>Nam Phát</t>
  </si>
  <si>
    <t>CAPEX_QA_25006</t>
  </si>
  <si>
    <t>QC06</t>
  </si>
  <si>
    <t>Vít tải lấy mẫu tự động 4 chuyền rửa vảy</t>
  </si>
  <si>
    <t>CAPEX_SX_25008</t>
  </si>
  <si>
    <t>SX08</t>
  </si>
  <si>
    <t>Hệ thống AI cảnh báo - cân xe</t>
  </si>
  <si>
    <t>CAPEX_KT_25024</t>
  </si>
  <si>
    <t>KT24</t>
  </si>
  <si>
    <t>Đầu tư trạm cân bao vảy 1 tấn tự động cho chuyền CHWO-B02 (Chuyền băm 2)</t>
  </si>
  <si>
    <t>CAPEX_KT_25032</t>
  </si>
  <si>
    <t>KT32</t>
  </si>
  <si>
    <t>Đầu tư Robot Delta hỗ trợ phân loại chai cho QC ở xưởng F06</t>
  </si>
  <si>
    <t>Row Labels</t>
  </si>
  <si>
    <t>Grand Total</t>
  </si>
  <si>
    <t>Column Labels</t>
  </si>
  <si>
    <t>Sum of Tổng giá trị
(VND)</t>
  </si>
  <si>
    <t>Sum of Giá trị dự kiến thực hiện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</si>
</sst>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___)"/>
    <numFmt numFmtId="166" formatCode="[$-101042A]&quot;T&quot;m\.yyyy;@"/>
    <numFmt numFmtId="167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  <font>
      <sz val="10"/>
      <color theme="1"/>
      <name val="segoe UI"/>
      <family val="2"/>
      <charset val="163"/>
    </font>
    <font>
      <b/>
      <sz val="12"/>
      <color theme="0"/>
      <name val="Times New Roman"/>
      <family val="1"/>
    </font>
    <font>
      <b/>
      <sz val="12"/>
      <color rgb="FF0000F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3" fillId="0" borderId="0" applyFont="0" applyFill="0" applyBorder="0" applyAlignment="0" applyProtection="0"/>
  </cellStyleXfs>
  <cellXfs count="174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164" fontId="5" fillId="0" borderId="1" xfId="1" applyNumberFormat="1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164" fontId="0" fillId="0" borderId="0" xfId="1" applyNumberFormat="1" applyFont="1"/>
    <xf numFmtId="164" fontId="6" fillId="0" borderId="1" xfId="1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right" vertical="center" wrapText="1" indent="1"/>
    </xf>
    <xf numFmtId="0" fontId="2" fillId="0" borderId="0" xfId="0" applyFont="1"/>
    <xf numFmtId="0" fontId="5" fillId="0" borderId="1" xfId="0" applyFont="1" applyBorder="1" applyAlignment="1">
      <alignment horizontal="left" vertical="top" wrapText="1" indent="1"/>
    </xf>
    <xf numFmtId="164" fontId="6" fillId="0" borderId="1" xfId="1" applyNumberFormat="1" applyFont="1" applyBorder="1" applyAlignment="1">
      <alignment horizontal="center" vertical="top" wrapText="1"/>
    </xf>
    <xf numFmtId="164" fontId="7" fillId="0" borderId="7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164" fontId="3" fillId="0" borderId="1" xfId="1" applyNumberFormat="1" applyFont="1" applyBorder="1" applyAlignment="1">
      <alignment horizontal="left" vertical="center" wrapText="1" readingOrder="1"/>
    </xf>
    <xf numFmtId="164" fontId="5" fillId="0" borderId="1" xfId="1" applyNumberFormat="1" applyFont="1" applyBorder="1" applyAlignment="1">
      <alignment vertical="top" wrapText="1"/>
    </xf>
    <xf numFmtId="0" fontId="8" fillId="3" borderId="8" xfId="0" applyFont="1" applyFill="1" applyBorder="1" applyAlignment="1">
      <alignment horizontal="center" vertical="center" wrapText="1"/>
    </xf>
    <xf numFmtId="164" fontId="8" fillId="3" borderId="8" xfId="1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11" xfId="0" applyFont="1" applyFill="1" applyBorder="1" applyAlignment="1">
      <alignment horizontal="center" vertical="center" wrapText="1"/>
    </xf>
    <xf numFmtId="164" fontId="8" fillId="4" borderId="11" xfId="1" applyNumberFormat="1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164" fontId="8" fillId="5" borderId="11" xfId="1" applyNumberFormat="1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 readingOrder="1"/>
    </xf>
    <xf numFmtId="0" fontId="9" fillId="0" borderId="0" xfId="0" applyFont="1" applyAlignment="1">
      <alignment horizontal="left" vertical="center" wrapText="1" readingOrder="1"/>
    </xf>
    <xf numFmtId="0" fontId="7" fillId="0" borderId="7" xfId="0" applyFont="1" applyBorder="1" applyAlignment="1">
      <alignment vertical="center" wrapText="1"/>
    </xf>
    <xf numFmtId="164" fontId="7" fillId="0" borderId="7" xfId="1" applyNumberFormat="1" applyFont="1" applyFill="1" applyBorder="1" applyAlignment="1">
      <alignment horizontal="right" vertical="center" wrapText="1"/>
    </xf>
    <xf numFmtId="165" fontId="7" fillId="0" borderId="7" xfId="0" applyNumberFormat="1" applyFont="1" applyBorder="1" applyAlignment="1">
      <alignment horizontal="right" vertical="center" wrapText="1"/>
    </xf>
    <xf numFmtId="9" fontId="7" fillId="0" borderId="7" xfId="2" applyFont="1" applyFill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center" vertical="center" wrapText="1"/>
    </xf>
    <xf numFmtId="166" fontId="7" fillId="0" borderId="1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7" fillId="0" borderId="11" xfId="0" applyFont="1" applyBorder="1" applyAlignment="1">
      <alignment vertical="center"/>
    </xf>
    <xf numFmtId="0" fontId="7" fillId="0" borderId="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164" fontId="7" fillId="0" borderId="16" xfId="1" applyNumberFormat="1" applyFont="1" applyFill="1" applyBorder="1" applyAlignment="1">
      <alignment horizontal="right" vertical="center" wrapText="1"/>
    </xf>
    <xf numFmtId="164" fontId="7" fillId="0" borderId="16" xfId="1" applyNumberFormat="1" applyFont="1" applyFill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right" vertical="center" wrapText="1"/>
    </xf>
    <xf numFmtId="9" fontId="7" fillId="0" borderId="16" xfId="2" applyFont="1" applyFill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8" fillId="5" borderId="19" xfId="0" applyFont="1" applyFill="1" applyBorder="1"/>
    <xf numFmtId="164" fontId="8" fillId="5" borderId="19" xfId="1" applyNumberFormat="1" applyFont="1" applyFill="1" applyBorder="1"/>
    <xf numFmtId="0" fontId="8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164" fontId="7" fillId="0" borderId="11" xfId="1" applyNumberFormat="1" applyFont="1" applyFill="1" applyBorder="1" applyAlignment="1">
      <alignment horizontal="right" vertical="center"/>
    </xf>
    <xf numFmtId="165" fontId="7" fillId="0" borderId="11" xfId="0" applyNumberFormat="1" applyFont="1" applyBorder="1" applyAlignment="1">
      <alignment horizontal="right" vertical="center"/>
    </xf>
    <xf numFmtId="9" fontId="7" fillId="0" borderId="11" xfId="2" applyFont="1" applyFill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right" vertical="center"/>
    </xf>
    <xf numFmtId="165" fontId="7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9" fontId="7" fillId="0" borderId="7" xfId="2" applyFont="1" applyFill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5" xfId="0" applyNumberFormat="1" applyFont="1" applyBorder="1" applyAlignment="1">
      <alignment horizontal="center" vertical="center"/>
    </xf>
    <xf numFmtId="2" fontId="14" fillId="6" borderId="19" xfId="3" applyNumberFormat="1" applyFont="1" applyFill="1" applyBorder="1" applyAlignment="1">
      <alignment horizontal="center" vertical="center" wrapText="1"/>
    </xf>
    <xf numFmtId="49" fontId="14" fillId="6" borderId="19" xfId="3" applyNumberFormat="1" applyFont="1" applyFill="1" applyBorder="1" applyAlignment="1">
      <alignment horizontal="left" vertical="center" wrapText="1"/>
    </xf>
    <xf numFmtId="49" fontId="14" fillId="6" borderId="19" xfId="3" applyNumberFormat="1" applyFont="1" applyFill="1" applyBorder="1" applyAlignment="1">
      <alignment horizontal="center" vertical="center" wrapText="1"/>
    </xf>
    <xf numFmtId="164" fontId="14" fillId="6" borderId="19" xfId="1" applyNumberFormat="1" applyFont="1" applyFill="1" applyBorder="1" applyAlignment="1">
      <alignment horizontal="center" vertical="center" wrapText="1"/>
    </xf>
    <xf numFmtId="49" fontId="14" fillId="7" borderId="19" xfId="3" applyNumberFormat="1" applyFont="1" applyFill="1" applyBorder="1" applyAlignment="1">
      <alignment horizontal="center" vertical="center" wrapText="1"/>
    </xf>
    <xf numFmtId="49" fontId="14" fillId="8" borderId="19" xfId="3" applyNumberFormat="1" applyFont="1" applyFill="1" applyBorder="1" applyAlignment="1">
      <alignment horizontal="center" vertical="center" wrapText="1"/>
    </xf>
    <xf numFmtId="49" fontId="14" fillId="9" borderId="19" xfId="3" applyNumberFormat="1" applyFont="1" applyFill="1" applyBorder="1" applyAlignment="1">
      <alignment horizontal="center" vertical="center" wrapText="1"/>
    </xf>
    <xf numFmtId="49" fontId="14" fillId="10" borderId="19" xfId="3" applyNumberFormat="1" applyFont="1" applyFill="1" applyBorder="1" applyAlignment="1">
      <alignment horizontal="center" vertical="center" wrapText="1"/>
    </xf>
    <xf numFmtId="49" fontId="14" fillId="6" borderId="20" xfId="3" applyNumberFormat="1" applyFont="1" applyFill="1" applyBorder="1" applyAlignment="1">
      <alignment horizontal="center" vertical="center" wrapText="1"/>
    </xf>
    <xf numFmtId="2" fontId="15" fillId="11" borderId="19" xfId="0" applyNumberFormat="1" applyFont="1" applyFill="1" applyBorder="1" applyAlignment="1">
      <alignment horizontal="center" vertical="center" wrapText="1"/>
    </xf>
    <xf numFmtId="49" fontId="15" fillId="11" borderId="19" xfId="0" applyNumberFormat="1" applyFont="1" applyFill="1" applyBorder="1" applyAlignment="1">
      <alignment horizontal="left" vertical="center" wrapText="1"/>
    </xf>
    <xf numFmtId="49" fontId="15" fillId="11" borderId="19" xfId="0" applyNumberFormat="1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164" fontId="15" fillId="11" borderId="19" xfId="0" applyNumberFormat="1" applyFont="1" applyFill="1" applyBorder="1" applyAlignment="1">
      <alignment vertical="center" wrapText="1"/>
    </xf>
    <xf numFmtId="164" fontId="15" fillId="11" borderId="19" xfId="1" applyNumberFormat="1" applyFont="1" applyFill="1" applyBorder="1" applyAlignment="1">
      <alignment horizontal="center" vertical="center" wrapText="1"/>
    </xf>
    <xf numFmtId="2" fontId="16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 indent="1" readingOrder="1"/>
    </xf>
    <xf numFmtId="49" fontId="16" fillId="0" borderId="21" xfId="0" applyNumberFormat="1" applyFont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left" vertical="center"/>
    </xf>
    <xf numFmtId="0" fontId="16" fillId="12" borderId="22" xfId="0" applyFont="1" applyFill="1" applyBorder="1" applyAlignment="1">
      <alignment horizontal="left" vertical="center" wrapText="1"/>
    </xf>
    <xf numFmtId="0" fontId="16" fillId="12" borderId="22" xfId="0" applyFont="1" applyFill="1" applyBorder="1" applyAlignment="1">
      <alignment horizontal="center" vertical="center" wrapText="1"/>
    </xf>
    <xf numFmtId="43" fontId="16" fillId="12" borderId="22" xfId="1" applyFont="1" applyFill="1" applyBorder="1" applyAlignment="1">
      <alignment horizontal="right" vertical="center"/>
    </xf>
    <xf numFmtId="164" fontId="16" fillId="12" borderId="22" xfId="1" applyNumberFormat="1" applyFont="1" applyFill="1" applyBorder="1" applyAlignment="1">
      <alignment horizontal="right" vertical="center"/>
    </xf>
    <xf numFmtId="37" fontId="16" fillId="0" borderId="22" xfId="0" applyNumberFormat="1" applyFont="1" applyBorder="1" applyAlignment="1">
      <alignment horizontal="right" vertical="center"/>
    </xf>
    <xf numFmtId="164" fontId="16" fillId="12" borderId="22" xfId="1" applyNumberFormat="1" applyFont="1" applyFill="1" applyBorder="1" applyAlignment="1">
      <alignment horizontal="right" vertical="center" wrapText="1"/>
    </xf>
    <xf numFmtId="164" fontId="16" fillId="13" borderId="22" xfId="1" applyNumberFormat="1" applyFont="1" applyFill="1" applyBorder="1" applyAlignment="1">
      <alignment horizontal="right" vertical="center" wrapText="1"/>
    </xf>
    <xf numFmtId="164" fontId="16" fillId="12" borderId="23" xfId="0" applyNumberFormat="1" applyFont="1" applyFill="1" applyBorder="1" applyAlignment="1">
      <alignment horizontal="left" vertical="center" wrapText="1"/>
    </xf>
    <xf numFmtId="1" fontId="16" fillId="0" borderId="21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 wrapText="1"/>
    </xf>
    <xf numFmtId="164" fontId="16" fillId="0" borderId="23" xfId="1" applyNumberFormat="1" applyFont="1" applyBorder="1" applyAlignment="1">
      <alignment horizontal="right" vertical="center"/>
    </xf>
    <xf numFmtId="164" fontId="16" fillId="0" borderId="22" xfId="1" applyNumberFormat="1" applyFont="1" applyFill="1" applyBorder="1" applyAlignment="1">
      <alignment horizontal="right" vertical="center"/>
    </xf>
    <xf numFmtId="164" fontId="16" fillId="0" borderId="23" xfId="1" applyNumberFormat="1" applyFont="1" applyBorder="1" applyAlignment="1">
      <alignment horizontal="right" vertical="center" wrapText="1"/>
    </xf>
    <xf numFmtId="164" fontId="16" fillId="0" borderId="23" xfId="0" applyNumberFormat="1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 readingOrder="1"/>
    </xf>
    <xf numFmtId="0" fontId="16" fillId="12" borderId="24" xfId="0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left" vertical="center"/>
    </xf>
    <xf numFmtId="0" fontId="16" fillId="12" borderId="23" xfId="0" applyFont="1" applyFill="1" applyBorder="1" applyAlignment="1">
      <alignment horizontal="left" vertical="center" wrapText="1"/>
    </xf>
    <xf numFmtId="0" fontId="16" fillId="12" borderId="23" xfId="0" applyFont="1" applyFill="1" applyBorder="1" applyAlignment="1">
      <alignment horizontal="center" vertical="center" wrapText="1"/>
    </xf>
    <xf numFmtId="43" fontId="16" fillId="12" borderId="23" xfId="1" applyFont="1" applyFill="1" applyBorder="1" applyAlignment="1">
      <alignment horizontal="right" vertical="center"/>
    </xf>
    <xf numFmtId="164" fontId="16" fillId="12" borderId="23" xfId="1" applyNumberFormat="1" applyFont="1" applyFill="1" applyBorder="1" applyAlignment="1">
      <alignment horizontal="right" vertical="center" wrapText="1"/>
    </xf>
    <xf numFmtId="43" fontId="17" fillId="12" borderId="23" xfId="1" applyFont="1" applyFill="1" applyBorder="1" applyAlignment="1">
      <alignment horizontal="right" vertical="center"/>
    </xf>
    <xf numFmtId="49" fontId="16" fillId="0" borderId="24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 indent="1" readingOrder="1"/>
    </xf>
    <xf numFmtId="0" fontId="16" fillId="12" borderId="23" xfId="0" applyFont="1" applyFill="1" applyBorder="1" applyAlignment="1">
      <alignment horizontal="center" vertical="center"/>
    </xf>
    <xf numFmtId="164" fontId="16" fillId="12" borderId="23" xfId="1" applyNumberFormat="1" applyFont="1" applyFill="1" applyBorder="1" applyAlignment="1">
      <alignment horizontal="right" vertical="center"/>
    </xf>
    <xf numFmtId="164" fontId="16" fillId="13" borderId="23" xfId="1" applyNumberFormat="1" applyFont="1" applyFill="1" applyBorder="1" applyAlignment="1">
      <alignment horizontal="right" vertical="center" wrapText="1"/>
    </xf>
    <xf numFmtId="49" fontId="16" fillId="0" borderId="24" xfId="0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right" vertical="center"/>
    </xf>
    <xf numFmtId="49" fontId="16" fillId="12" borderId="21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 readingOrder="1"/>
    </xf>
    <xf numFmtId="49" fontId="16" fillId="12" borderId="24" xfId="0" applyNumberFormat="1" applyFont="1" applyFill="1" applyBorder="1" applyAlignment="1">
      <alignment horizontal="center" vertical="center"/>
    </xf>
    <xf numFmtId="37" fontId="16" fillId="0" borderId="23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left" vertical="center" wrapText="1" indent="1" readingOrder="1"/>
    </xf>
    <xf numFmtId="2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4" fontId="6" fillId="0" borderId="1" xfId="1" applyNumberFormat="1" applyFont="1" applyBorder="1" applyAlignment="1">
      <alignment vertical="top" wrapText="1"/>
    </xf>
    <xf numFmtId="9" fontId="5" fillId="0" borderId="1" xfId="2" applyFont="1" applyBorder="1" applyAlignment="1">
      <alignment horizontal="center" vertical="top" wrapText="1"/>
    </xf>
    <xf numFmtId="9" fontId="6" fillId="0" borderId="1" xfId="2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9" fontId="5" fillId="0" borderId="1" xfId="2" applyFont="1" applyBorder="1" applyAlignment="1">
      <alignment horizontal="right" vertical="center" wrapText="1" indent="1"/>
    </xf>
    <xf numFmtId="10" fontId="0" fillId="0" borderId="0" xfId="2" applyNumberFormat="1" applyFont="1"/>
    <xf numFmtId="0" fontId="8" fillId="4" borderId="11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left"/>
    </xf>
    <xf numFmtId="0" fontId="20" fillId="0" borderId="0" xfId="0" applyFont="1"/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21" fillId="0" borderId="0" xfId="0" applyFont="1"/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left" vertical="center" wrapText="1" indent="1" readingOrder="1"/>
    </xf>
    <xf numFmtId="164" fontId="6" fillId="0" borderId="1" xfId="1" applyNumberFormat="1" applyFont="1" applyBorder="1" applyAlignment="1">
      <alignment horizontal="center" vertical="center" wrapText="1" readingOrder="1"/>
    </xf>
    <xf numFmtId="164" fontId="21" fillId="0" borderId="0" xfId="1" applyNumberFormat="1" applyFont="1"/>
    <xf numFmtId="0" fontId="20" fillId="0" borderId="0" xfId="0" applyFont="1" applyAlignment="1">
      <alignment horizontal="center"/>
    </xf>
    <xf numFmtId="164" fontId="20" fillId="0" borderId="0" xfId="1" applyNumberFormat="1" applyFont="1"/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164" fontId="5" fillId="2" borderId="4" xfId="1" applyNumberFormat="1" applyFont="1" applyFill="1" applyBorder="1" applyAlignment="1">
      <alignment horizontal="center" vertical="center" wrapText="1" readingOrder="1"/>
    </xf>
    <xf numFmtId="164" fontId="5" fillId="2" borderId="6" xfId="1" applyNumberFormat="1" applyFont="1" applyFill="1" applyBorder="1" applyAlignment="1">
      <alignment horizontal="center" vertical="center" wrapText="1" readingOrder="1"/>
    </xf>
  </cellXfs>
  <cellStyles count="4">
    <cellStyle name="Comma" xfId="1" builtinId="3"/>
    <cellStyle name="Comma 4 4" xfId="3" xr:uid="{56C1A33B-4612-4096-8C65-EFA857235963}"/>
    <cellStyle name="Normal" xfId="0" builtinId="0"/>
    <cellStyle name="Percent" xfId="2" builtinId="5"/>
  </cellStyles>
  <dxfs count="14"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úc, Nguyễn Thị" refreshedDate="46001.614310069446" createdVersion="8" refreshedVersion="8" minRefreshableVersion="3" recordCount="49" xr:uid="{976DC5CD-96CF-4E09-B366-91B5DA0E02FB}">
  <cacheSource type="worksheet">
    <worksheetSource ref="A1:W1048576" sheet="2025"/>
  </cacheSource>
  <cacheFields count="23">
    <cacheField name="STT" numFmtId="0">
      <sharedItems containsBlank="1" containsMixedTypes="1" containsNumber="1" containsInteger="1" minValue="2" maxValue="47"/>
    </cacheField>
    <cacheField name="Phân loại đầu tư" numFmtId="0">
      <sharedItems containsBlank="1" count="9">
        <m/>
        <s v="An toàn, môi trường"/>
        <s v="Cải tiến chất lượng"/>
        <s v="Cải thiện nơi làm việc"/>
        <s v="Tự động hoá"/>
        <s v="Cải tiến, tiết kiệm"/>
        <s v="Đáp ứng sản lượng "/>
        <s v="IT (phần cứng, phần mềm) "/>
        <s v="Khác" u="1"/>
      </sharedItems>
    </cacheField>
    <cacheField name="Phân loại" numFmtId="0">
      <sharedItems containsBlank="1" count="3">
        <m/>
        <s v="Đầu tư mới"/>
        <s v="Thay thế"/>
      </sharedItems>
    </cacheField>
    <cacheField name="Mã số Capex" numFmtId="0">
      <sharedItems containsBlank="1"/>
    </cacheField>
    <cacheField name="Mã số Capex2" numFmtId="0">
      <sharedItems containsBlank="1"/>
    </cacheField>
    <cacheField name="Bộ phận" numFmtId="0">
      <sharedItems containsBlank="1"/>
    </cacheField>
    <cacheField name="KTQT phụ trách" numFmtId="0">
      <sharedItems containsBlank="1"/>
    </cacheField>
    <cacheField name="Loại tài sản" numFmtId="0">
      <sharedItems containsBlank="1"/>
    </cacheField>
    <cacheField name="Nội dung" numFmtId="0">
      <sharedItems containsBlank="1"/>
    </cacheField>
    <cacheField name="Số lượng" numFmtId="0">
      <sharedItems containsString="0" containsBlank="1" containsNumber="1" containsInteger="1" minValue="1" maxValue="40"/>
    </cacheField>
    <cacheField name="Giá trị Capex được duyệt" numFmtId="0">
      <sharedItems containsString="0" containsBlank="1" containsNumber="1" minValue="0" maxValue="276376.01086499996"/>
    </cacheField>
    <cacheField name="Giá trị điều chỉnh và bổ sung ngoài NS" numFmtId="0">
      <sharedItems containsString="0" containsBlank="1" containsNumber="1" minValue="33.189500000000002" maxValue="298849.8053159999"/>
    </cacheField>
    <cacheField name="Chênh lệch được duyệt và điều chỉnh/bổ sung ngoài NS" numFmtId="0">
      <sharedItems containsString="0" containsBlank="1" containsNumber="1" minValue="-78690" maxValue="54374.64"/>
    </cacheField>
    <cacheField name="Giá trị hợp đồng đã ký" numFmtId="0">
      <sharedItems containsString="0" containsBlank="1" containsNumber="1" minValue="0" maxValue="282099.12658299995"/>
    </cacheField>
    <cacheField name="Đã thanh toán" numFmtId="0">
      <sharedItems containsString="0" containsBlank="1" containsNumber="1" minValue="0" maxValue="59463.661314999998"/>
    </cacheField>
    <cacheField name="Giá trị còn lại theo HĐ" numFmtId="0">
      <sharedItems containsString="0" containsBlank="1" containsNumber="1" minValue="-47.113924999999995" maxValue="132497.941268"/>
    </cacheField>
    <cacheField name="Giá trị chưaký hợp đồng)" numFmtId="0">
      <sharedItems containsString="0" containsBlank="1" containsNumber="1" minValue="0" maxValue="92570.565548999992"/>
    </cacheField>
    <cacheField name="Giá trị dự kiến thực hiện 2025" numFmtId="0">
      <sharedItems containsString="0" containsBlank="1" containsNumber="1" minValue="45.347499999999997" maxValue="293068.71908499999"/>
    </cacheField>
    <cacheField name="USD" numFmtId="0">
      <sharedItems containsString="0" containsBlank="1" containsNumber="1" minValue="1744.1346153846155" maxValue="11271873.810961535"/>
    </cacheField>
    <cacheField name="NCC" numFmtId="0">
      <sharedItems containsBlank="1" containsMixedTypes="1" containsNumber="1" containsInteger="1" minValue="912" maxValue="26000"/>
    </cacheField>
    <cacheField name="Nước sản xuất" numFmtId="0">
      <sharedItems containsBlank="1" containsMixedTypes="1" containsNumber="1" containsInteger="1" minValue="0" maxValue="0"/>
    </cacheField>
    <cacheField name="Tình trạng máy" numFmtId="0">
      <sharedItems containsBlank="1" containsMixedTypes="1" containsNumber="1" containsInteger="1" minValue="-912" maxValue="-912"/>
    </cacheField>
    <cacheField name="Cập nhật trạng thái dự á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úc, Nguyễn Thị" refreshedDate="46001.614406828703" createdVersion="8" refreshedVersion="8" minRefreshableVersion="3" recordCount="44" xr:uid="{700538BA-A29E-4F8D-A028-46188F0E8489}">
  <cacheSource type="worksheet">
    <worksheetSource ref="A1:O1048576" sheet="2026"/>
  </cacheSource>
  <cacheFields count="15">
    <cacheField name="STT" numFmtId="0">
      <sharedItems containsBlank="1" containsMixedTypes="1" containsNumber="1" containsInteger="1" minValue="1" maxValue="35"/>
    </cacheField>
    <cacheField name="Bộ phận" numFmtId="0">
      <sharedItems containsBlank="1"/>
    </cacheField>
    <cacheField name="Phân loại đầu tư" numFmtId="0">
      <sharedItems containsBlank="1" count="10">
        <m/>
        <s v="Nghiên cứu phát triển (sản phẩm mới)"/>
        <s v="Cải tiến, tiết kiệm"/>
        <s v="Cải tiến chất lượng"/>
        <s v="Cải thiện nơi làm việc"/>
        <s v="An toàn, môi trường"/>
        <s v="IT (phần cứng, phần mềm) "/>
        <s v="Đáp ứng sản lượng " u="1"/>
        <s v="Tự động hoá" u="1"/>
        <s v="Khác" u="1"/>
      </sharedItems>
    </cacheField>
    <cacheField name="Phân loại" numFmtId="0">
      <sharedItems containsBlank="1" count="3">
        <m/>
        <s v="Đầu tư mới"/>
        <s v="Thay thế"/>
      </sharedItems>
    </cacheField>
    <cacheField name="Chi tiết hạng mục" numFmtId="0">
      <sharedItems containsBlank="1"/>
    </cacheField>
    <cacheField name="Đơn giá ( chưa bao gồm VAT)_x000a_(VND)" numFmtId="0">
      <sharedItems containsString="0" containsBlank="1" containsNumber="1" minValue="230000" maxValue="35091721812.400002"/>
    </cacheField>
    <cacheField name="Số lượng" numFmtId="0">
      <sharedItems containsString="0" containsBlank="1" containsNumber="1" containsInteger="1" minValue="1" maxValue="63"/>
    </cacheField>
    <cacheField name="Tổng giá trị_x000a_(VND)" numFmtId="0">
      <sharedItems containsString="0" containsBlank="1" containsNumber="1" minValue="40000000" maxValue="52666122222.533333"/>
    </cacheField>
    <cacheField name="Tổng giá trị_x000a_(USD)" numFmtId="0">
      <sharedItems containsString="0" containsBlank="1" containsNumber="1" minValue="1509.433962264151" maxValue="1987400.8385861632"/>
    </cacheField>
    <cacheField name="Xuất xứ" numFmtId="0">
      <sharedItems containsBlank="1"/>
    </cacheField>
    <cacheField name="Hiệu máy" numFmtId="0">
      <sharedItems containsBlank="1"/>
    </cacheField>
    <cacheField name="Lý do đầu tư" numFmtId="0">
      <sharedItems containsBlank="1" longText="1"/>
    </cacheField>
    <cacheField name="Khả năng đầu tư" numFmtId="0">
      <sharedItems containsString="0" containsBlank="1" containsNumber="1" containsInteger="1" minValue="1" maxValue="1"/>
    </cacheField>
    <cacheField name="Thời điểm ký hợp đồng" numFmtId="0">
      <sharedItems containsNonDate="0" containsDate="1" containsString="0" containsBlank="1" minDate="2025-11-01T00:00:00" maxDate="2026-06-02T00:00:00"/>
    </cacheField>
    <cacheField name="Thời điểm đưa vào sử dụng" numFmtId="0">
      <sharedItems containsNonDate="0" containsDate="1" containsString="0" containsBlank="1" minDate="2025-12-01T00:00:00" maxDate="2026-1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m/>
    <x v="0"/>
    <x v="0"/>
    <m/>
    <m/>
    <m/>
    <m/>
    <m/>
    <s v="TỔNG"/>
    <m/>
    <n v="276376.01086499996"/>
    <n v="298849.8053159999"/>
    <n v="17808.794450999998"/>
    <n v="282099.12658299995"/>
    <n v="59463.661314999998"/>
    <n v="132497.941268"/>
    <n v="92570.565548999992"/>
    <n v="293068.71908499999"/>
    <n v="11271873.810961535"/>
    <n v="26000"/>
    <m/>
    <m/>
    <m/>
  </r>
  <r>
    <s v="1"/>
    <x v="1"/>
    <x v="1"/>
    <s v="CAPEX_KT_25029"/>
    <s v="KT29"/>
    <s v="Kỹ thuật"/>
    <s v=" "/>
    <s v="Máy móc thiết bị"/>
    <s v="Lắp đặt hệ quan trắc khí thải, lập GPMT GĐ2"/>
    <n v="1"/>
    <n v="0"/>
    <n v="1496.34"/>
    <n v="1496.34"/>
    <n v="0"/>
    <n v="0"/>
    <n v="0"/>
    <n v="1496.34"/>
    <n v="1496.34"/>
    <n v="57551.538461538461"/>
    <s v="Công Nghệ Xanh"/>
    <s v="Việt Nam"/>
    <s v="Máy mới 100%"/>
    <s v="Đang thực hiện (Đề xuất đầu tư đã được duyệt năm 2025, chưa thanh toán)"/>
  </r>
  <r>
    <n v="2"/>
    <x v="2"/>
    <x v="1"/>
    <s v="CAPEX_SX_25002"/>
    <s v="SX02"/>
    <s v="Sản xuất"/>
    <s v="Nhâm"/>
    <s v="Nhà cửa, vật kiến trúc"/>
    <s v="Mái che di động "/>
    <n v="1"/>
    <n v="500"/>
    <n v="500"/>
    <n v="0"/>
    <n v="744.54129999999998"/>
    <n v="744.54129999999998"/>
    <n v="0"/>
    <m/>
    <n v="744.54129999999998"/>
    <n v="28636.203846153847"/>
    <s v="KIRIN"/>
    <s v="TRUNG QUỐC"/>
    <s v="Máy mới 100%"/>
    <s v="Đã thực hiện xong năm 2025"/>
  </r>
  <r>
    <n v="3"/>
    <x v="3"/>
    <x v="1"/>
    <s v="CAPEX_TC_25001"/>
    <s v="KTO01"/>
    <s v="Kế Toán"/>
    <s v="Thuy"/>
    <s v="Nhà cửa, vật kiến trúc"/>
    <s v="Phòng tiền chế ở F1, F5 &amp; F6"/>
    <n v="3"/>
    <n v="114.28136499999999"/>
    <n v="114.28136499999999"/>
    <n v="0"/>
    <n v="105.4635"/>
    <n v="105.4635"/>
    <n v="0"/>
    <m/>
    <n v="105.4635"/>
    <n v="4056.2884615384614"/>
    <s v="AN PHÚC"/>
    <s v="Việt Nam"/>
    <s v="Máy mới 100%"/>
    <s v="Đã thực hiện xong năm 2025"/>
  </r>
  <r>
    <n v="4"/>
    <x v="3"/>
    <x v="1"/>
    <s v="CAPEX_TC_25003"/>
    <s v="KTO03"/>
    <s v="HCNS"/>
    <s v="Diễm"/>
    <s v="Nhà cửa, vật kiến trúc"/>
    <s v="Xây dựng toilet F02"/>
    <n v="1"/>
    <n v="100"/>
    <n v="100"/>
    <n v="0"/>
    <n v="206.91438099999999"/>
    <n v="254.02830599999999"/>
    <n v="-47.113924999999995"/>
    <m/>
    <n v="206.91438099999999"/>
    <n v="7958.2454230769226"/>
    <s v="TOÀN LỢI"/>
    <s v="Việt Nam"/>
    <s v="Máy mới 100%"/>
    <s v="Đang thực hiện (Đã ký hợp đồng và thanh toán/ứng trước)"/>
  </r>
  <r>
    <n v="5"/>
    <x v="3"/>
    <x v="1"/>
    <s v="CAPEX_QA_25007"/>
    <s v="QC07"/>
    <s v="QC"/>
    <s v="Huyền"/>
    <s v="Thiết bị quản lý"/>
    <s v="2 máy lạnh phòng Lab F3"/>
    <n v="2"/>
    <n v="0"/>
    <n v="65"/>
    <n v="65"/>
    <n v="65"/>
    <n v="65"/>
    <n v="0"/>
    <m/>
    <n v="65"/>
    <n v="2500"/>
    <s v="Khánh Quốc"/>
    <s v="Việt Nam"/>
    <s v="Máy mới 100%"/>
    <s v="Đã thực hiện xong năm 2025"/>
  </r>
  <r>
    <n v="6"/>
    <x v="3"/>
    <x v="1"/>
    <s v="CAPEX_KT_25019"/>
    <s v="KT19"/>
    <s v="Kỹ thuật"/>
    <s v="Thuy"/>
    <s v="Thiết bị quản lý"/>
    <s v="Hệ thống thông gió nhà xưởng F2 DTR"/>
    <n v="1"/>
    <m/>
    <n v="770.78926899999999"/>
    <n v="770.78926899999999"/>
    <n v="770.78926899999999"/>
    <n v="177.78104999999999"/>
    <n v="593.00821900000005"/>
    <n v="0"/>
    <n v="770.78926899999999"/>
    <n v="29645.741115384615"/>
    <s v="Đại Việt"/>
    <s v="Việt Nam"/>
    <s v="Máy mới 100%"/>
    <s v="Đang thực hiện (Đã ký hợp đồng và thanh toán/ứng trước)"/>
  </r>
  <r>
    <n v="7"/>
    <x v="2"/>
    <x v="1"/>
    <s v="CAPEX_KT_25003"/>
    <s v="KT03"/>
    <s v="Kỹ thuật"/>
    <s v="Thuy"/>
    <s v="Máy móc thiết bị"/>
    <s v="Máy tách kim loại ESC - DTR ( 5 máy)"/>
    <n v="3"/>
    <n v="12458.125"/>
    <n v="12458.125"/>
    <n v="0"/>
    <n v="4990.8833130000003"/>
    <n v="4990.8833130000003"/>
    <n v="0"/>
    <n v="7467.2416869999997"/>
    <n v="4990.8833130000003"/>
    <n v="191957.05050000001"/>
    <s v="Longi"/>
    <s v="TRUNG QUỐC"/>
    <s v="Máy mới 100%"/>
    <s v="Đã thực hiện xong năm 2025"/>
  </r>
  <r>
    <n v="8"/>
    <x v="2"/>
    <x v="1"/>
    <s v="CAPEX_KT_25005"/>
    <s v="KT05"/>
    <s v="Kỹ thuật"/>
    <s v="Thuy"/>
    <s v="Máy móc thiết bị"/>
    <s v="Sàn rung lựa vảy 3 tấn/h - DTR ( 6 cái)"/>
    <n v="4"/>
    <n v="3766.5"/>
    <n v="3766.5"/>
    <n v="0"/>
    <n v="760.38300000000004"/>
    <n v="760.38300000000004"/>
    <n v="0"/>
    <n v="3006.1170000000002"/>
    <n v="760.38300000000004"/>
    <n v="29245.5"/>
    <s v="BORETECH"/>
    <s v="TRUNG QUỐC"/>
    <s v="Máy mới 100%"/>
    <s v="Đang thực hiện (Đã ký hợp đồng và thanh toán/ứng trước)"/>
  </r>
  <r>
    <n v="9"/>
    <x v="2"/>
    <x v="2"/>
    <s v="CAPEX_KT_25011"/>
    <s v="KT11"/>
    <s v="Kỹ thuật"/>
    <s v="Thuy"/>
    <s v="Máy móc thiết bị"/>
    <s v="Cải tạo hệ thống chân không SSP-01"/>
    <n v="1"/>
    <n v="1300"/>
    <n v="1300"/>
    <n v="0"/>
    <n v="403.67069400000003"/>
    <n v="403.67069400000003"/>
    <n v="0"/>
    <n v="896.32930599999997"/>
    <n v="403.67069400000003"/>
    <n v="15525.795923076923"/>
    <s v="Starlinger"/>
    <s v="Áo"/>
    <s v="Máy mới 100%"/>
    <s v="Đang thực hiện (Đã ký hợp đồng và thanh toán/ứng trước)"/>
  </r>
  <r>
    <n v="10"/>
    <x v="2"/>
    <x v="1"/>
    <s v="CAPEX_KT_25013"/>
    <s v="KT13"/>
    <s v="Kỹ thuật"/>
    <s v="Thuy"/>
    <s v="Máy móc thiết bị"/>
    <s v="Hệ lọc nước RO cho nước cấp STG03"/>
    <n v="1"/>
    <n v="155.875"/>
    <n v="155.875"/>
    <n v="0"/>
    <n v="0"/>
    <n v="0"/>
    <n v="0"/>
    <n v="155.875"/>
    <n v="155.875"/>
    <n v="5995.1923076923076"/>
    <s v="CNTB Lọc Miền Nam"/>
    <s v="Việt Nam"/>
    <m/>
    <s v="Đang thực hiện (Đề xuất đầu tư đã được duyệt năm 2025, chưa thanh toán)"/>
  </r>
  <r>
    <n v="11"/>
    <x v="2"/>
    <x v="1"/>
    <s v="CAPEX_KT_25014"/>
    <s v="KT14"/>
    <s v="Kỹ thuật"/>
    <s v="Thuy"/>
    <s v="Máy móc thiết bị"/>
    <s v="Đầu tư máy rửa Ultrasonic và bộ lọc Kitech"/>
    <n v="2"/>
    <n v="0"/>
    <n v="1926"/>
    <n v="1926"/>
    <n v="181.54367999999999"/>
    <n v="181.54367999999999"/>
    <n v="0"/>
    <n v="1744.45632"/>
    <n v="1926"/>
    <n v="74076.923076923078"/>
    <s v="Kitech"/>
    <s v="TRUNG QUỐC"/>
    <s v="Máy mới 100%"/>
    <s v="Đang thực hiện (Đã ký hợp đồng và thanh toán/ứng trước)"/>
  </r>
  <r>
    <n v="12"/>
    <x v="2"/>
    <x v="1"/>
    <s v="CAPEX_KT_25017"/>
    <s v="KT17"/>
    <s v="Kỹ thuật"/>
    <s v=" "/>
    <s v="Thiết bị quản lý"/>
    <s v="Container lạnh 20RF"/>
    <n v="1"/>
    <n v="0"/>
    <n v="150"/>
    <n v="150"/>
    <n v="0"/>
    <n v="0"/>
    <n v="0"/>
    <n v="150"/>
    <n v="150"/>
    <n v="5769.2307692307695"/>
    <s v="Tân Thành"/>
    <s v="Việt Nam"/>
    <s v="Máy mới 100%"/>
    <s v="Đang thực hiện (Đề xuất đầu tư đã được duyệt năm 2025, chưa thanh toán)"/>
  </r>
  <r>
    <n v="13"/>
    <x v="2"/>
    <x v="1"/>
    <s v="CAPEX_SX_25010"/>
    <s v="SX10"/>
    <s v="Sản xuất"/>
    <s v="Nhâm"/>
    <s v="Máy móc thiết bị"/>
    <s v="Đầu tư máy sấy bụi"/>
    <n v="1"/>
    <n v="0"/>
    <n v="426.61751099999998"/>
    <n v="426.61751099999998"/>
    <n v="367"/>
    <n v="293.60000000000002"/>
    <n v="73.399999999999977"/>
    <n v="59.617510999999979"/>
    <n v="426.61751099999998"/>
    <n v="16408.365807692309"/>
    <s v="MẠNH HƯNG"/>
    <s v="Việt Nam"/>
    <s v="Máy mới 100%"/>
    <s v="Đang thực hiện (Đã ký hợp đồng và thanh toán/ứng trước)"/>
  </r>
  <r>
    <n v="14"/>
    <x v="2"/>
    <x v="2"/>
    <s v="CAPEX_KT_25025"/>
    <s v="KT25"/>
    <s v="Kỹ thuật"/>
    <s v="Thuy"/>
    <s v="Thiết bị quản lý"/>
    <s v="Cải tạo hệ thống xử lý nước thải trạm 400m3"/>
    <n v="1"/>
    <n v="0"/>
    <n v="410.86564900000002"/>
    <n v="410.86564900000002"/>
    <n v="0"/>
    <n v="0"/>
    <n v="0"/>
    <n v="410.86564900000002"/>
    <n v="410.86564900000002"/>
    <n v="15802.524961538462"/>
    <s v="Eratech"/>
    <s v="Việt Nam"/>
    <s v="Máy mới 100%"/>
    <s v="Đang thực hiện (Đề xuất đầu tư đã được duyệt năm 2025, chưa thanh toán)"/>
  </r>
  <r>
    <n v="15"/>
    <x v="4"/>
    <x v="1"/>
    <s v="CAPEX_KT_25026"/>
    <s v="KT26"/>
    <s v="Kỹ thuật"/>
    <s v="Thuy"/>
    <s v="Máy móc thiết bị"/>
    <s v="Đầu tư máy sort chai cho chuyền phân loại chai PET chuyền băm BORE-B01, CHWO-B01 (F3)"/>
    <n v="3"/>
    <n v="0"/>
    <n v="2376"/>
    <n v="2376"/>
    <n v="4290"/>
    <n v="3479.355"/>
    <n v="810.64499999999998"/>
    <m/>
    <n v="2376"/>
    <n v="91384.61538461539"/>
    <s v="Databeyond"/>
    <s v="TRUNG QUỐC"/>
    <s v="Máy mới 100%"/>
    <s v="Đang thực hiện (Đã ký hợp đồng và thanh toán/ứng trước)"/>
  </r>
  <r>
    <n v="16"/>
    <x v="4"/>
    <x v="1"/>
    <s v="CAPEX_KT_25028"/>
    <s v="KT28"/>
    <s v="Kỹ thuật"/>
    <s v="Thuy"/>
    <s v="Máy móc thiết bị"/>
    <s v="Đầu tư thiết bị phụ trợ cho máy sort chai tự động trên chuyền băm 1 (CHWO-B01) và chuyền băm 3 (BORE-B01)"/>
    <n v="3"/>
    <n v="0"/>
    <n v="2016"/>
    <n v="2016"/>
    <n v="0"/>
    <n v="0"/>
    <n v="0"/>
    <n v="2016"/>
    <n v="2016"/>
    <n v="77538.461538461532"/>
    <m/>
    <m/>
    <m/>
    <s v="Đang thực hiện (Đề xuất đầu tư đã được duyệt năm 2025, chưa thanh toán)"/>
  </r>
  <r>
    <n v="17"/>
    <x v="4"/>
    <x v="1"/>
    <s v="CAPEX_KT_25027"/>
    <s v="KT27"/>
    <s v="Kỹ thuật"/>
    <s v=" "/>
    <s v="Máy móc thiết bị"/>
    <s v="Đầu tư băng tải chuyển chai cho chuyền băm 3 (BORE-B01) xưởng F3"/>
    <n v="1"/>
    <n v="0"/>
    <n v="100"/>
    <n v="100"/>
    <n v="0"/>
    <n v="0"/>
    <n v="0"/>
    <n v="100"/>
    <n v="100"/>
    <n v="3846.1538461538462"/>
    <m/>
    <m/>
    <m/>
    <s v="Đang thực hiện (Đề xuất đầu tư đã được duyệt năm 2025, chưa thanh toán)"/>
  </r>
  <r>
    <n v="18"/>
    <x v="2"/>
    <x v="1"/>
    <s v="CAPEX_KT_25030"/>
    <s v="KT30"/>
    <s v="Kỹ thuật"/>
    <s v=" "/>
    <s v="Máy móc thiết bị"/>
    <s v="Đầu tư máy móc thiết bị để nâng cao chất lượng hạt cho chuyền tạo hạt STAR-01, STAR-03 (Đầu tư sàn rung)"/>
    <n v="3"/>
    <n v="0"/>
    <n v="5486.884"/>
    <n v="5486.884"/>
    <n v="5486.884"/>
    <n v="0"/>
    <n v="0"/>
    <n v="5486.884"/>
    <n v="5486.884"/>
    <n v="211034"/>
    <s v="TNT"/>
    <s v="Việt Nam"/>
    <s v="Máy mới 100%"/>
    <s v="Đang thực hiện (Đề xuất đầu tư đã được duyệt năm 2025, chưa thanh toán)"/>
  </r>
  <r>
    <n v="19"/>
    <x v="2"/>
    <x v="1"/>
    <s v="CAPEX_KT_25033"/>
    <s v="KT33"/>
    <s v="Kỹ thuật"/>
    <s v="Thuy"/>
    <s v="Máy móc thiết bị"/>
    <s v="Đầu tư sàn rung và máy tách kim loại Sesotec cho máy trộn MIX-03 và STAR-02"/>
    <n v="3"/>
    <n v="0"/>
    <n v="680"/>
    <n v="680"/>
    <n v="0"/>
    <n v="0"/>
    <n v="0"/>
    <n v="680"/>
    <n v="680"/>
    <n v="26153.846153846152"/>
    <s v="TNT/Lotus"/>
    <s v="Châu Âu"/>
    <s v="Máy mới 100%"/>
    <s v="Đang thực hiện (Đề xuất đầu tư đã được duyệt năm 2025, chưa thanh toán)"/>
  </r>
  <r>
    <n v="20"/>
    <x v="5"/>
    <x v="1"/>
    <s v="CAPEX_SX_25004"/>
    <s v="SX04"/>
    <s v="Sản xuất"/>
    <s v="Thư"/>
    <s v="Thiết bị quản lý"/>
    <s v="Xe nâng điện kéo tay ( 7 chiếc)"/>
    <n v="5"/>
    <n v="273"/>
    <n v="273"/>
    <n v="0"/>
    <n v="112.2599"/>
    <n v="75.925926000000004"/>
    <n v="36.333973999999998"/>
    <n v="160.74009999999998"/>
    <n v="112.2599"/>
    <n v="4317.6884615384615"/>
    <s v="HELI"/>
    <s v="TRUNG QUỐC"/>
    <s v="Máy mới 100%"/>
    <s v="Đang thực hiện (Đã ký hợp đồng và thanh toán/ứng trước)"/>
  </r>
  <r>
    <n v="21"/>
    <x v="1"/>
    <x v="1"/>
    <s v="CAPEX_SX_25005"/>
    <s v="SX05"/>
    <s v="Sản xuất"/>
    <s v="Thư"/>
    <s v="Thiết bị quản lý"/>
    <s v="Xe nâng người cao 10m"/>
    <n v="1"/>
    <n v="200"/>
    <n v="200"/>
    <n v="0"/>
    <n v="290"/>
    <n v="290"/>
    <n v="0"/>
    <m/>
    <n v="290"/>
    <n v="11153.846153846154"/>
    <s v="BYD"/>
    <s v="TRUNG QUỐC"/>
    <s v="Máy mới 100%"/>
    <s v="Đã thực hiện xong năm 2025"/>
  </r>
  <r>
    <n v="22"/>
    <x v="5"/>
    <x v="2"/>
    <s v="CAPEX_KT_25016"/>
    <s v="KT16"/>
    <s v="Kỹ thuật"/>
    <s v="Thuy"/>
    <s v="Máy móc thiết bị"/>
    <s v="Cải tạo sửa chữa và nâng cấp máy tách nhãn ChangWoen"/>
    <n v="1"/>
    <n v="0"/>
    <n v="500"/>
    <n v="500"/>
    <n v="530"/>
    <n v="530"/>
    <n v="0"/>
    <m/>
    <n v="530"/>
    <n v="20384.615384615383"/>
    <s v="Nhật Trung"/>
    <s v="Việt Nam"/>
    <s v="Máy mới 100%"/>
    <s v="Đã thực hiện xong năm 2025"/>
  </r>
  <r>
    <n v="23"/>
    <x v="5"/>
    <x v="1"/>
    <s v="CAPEX_RD_25002"/>
    <s v="RD02"/>
    <s v="Kỹ thuật"/>
    <s v=" "/>
    <s v="Máy móc thiết bị"/>
    <s v="Hệ cải tiến STAR-02, khử mùi AA/tăng kết tinh/tăng IV"/>
    <n v="1"/>
    <n v="0"/>
    <n v="13358.384"/>
    <n v="13358.384"/>
    <n v="12000"/>
    <n v="2485.84"/>
    <n v="9514.16"/>
    <m/>
    <n v="13358.384"/>
    <n v="513784"/>
    <s v="Piovan"/>
    <s v="TRUNG QUỐC"/>
    <s v="Máy mới 100%"/>
    <s v="Đang thực hiện (Đã ký hợp đồng và thanh toán/ứng trước)"/>
  </r>
  <r>
    <n v="24"/>
    <x v="2"/>
    <x v="1"/>
    <s v="CAPEX_QA_25008"/>
    <s v="QC08"/>
    <s v="QC"/>
    <s v="Huyền"/>
    <s v="Thiết bị quản lý"/>
    <s v="Máy đo chỉ số chảy (IV)"/>
    <n v="1"/>
    <n v="0"/>
    <n v="775.75"/>
    <n v="775.75"/>
    <n v="0"/>
    <n v="0"/>
    <n v="0"/>
    <n v="775.75"/>
    <n v="775.75"/>
    <n v="29836.538461538461"/>
    <s v="LMS Technologies CO., LTD"/>
    <s v="Goetffert-Germany"/>
    <s v="Máy mới 100%"/>
    <s v="Đang thực hiện (Đề xuất đầu tư đã được duyệt năm 2025, chưa thanh toán)"/>
  </r>
  <r>
    <n v="25"/>
    <x v="5"/>
    <x v="1"/>
    <s v="CAPEX_KT_25031"/>
    <s v="KT31"/>
    <s v="Kỹ thuật"/>
    <s v="Trúc"/>
    <s v="Khác"/>
    <s v="Hệ năng lượng trên mái nhà DTR"/>
    <n v="1"/>
    <n v="0"/>
    <n v="54374.64"/>
    <n v="54374.64"/>
    <n v="54374.64"/>
    <n v="2192.75"/>
    <n v="41662.25"/>
    <m/>
    <n v="54374.64"/>
    <n v="2091332.3076923077"/>
    <s v="TTC"/>
    <s v="Việt Nam"/>
    <s v="Máy mới 100%"/>
    <s v="Đang thực hiện (Đã ký hợp đồng và thanh toán/ứng trước)"/>
  </r>
  <r>
    <n v="26"/>
    <x v="5"/>
    <x v="1"/>
    <s v="CAPEX_KT25035"/>
    <s v="KT35"/>
    <s v="Kỹ thuật"/>
    <s v="Thuy"/>
    <s v="Máy móc thiết bị"/>
    <s v="Đầu tư máy mài dao cho các máy băm tại DTR"/>
    <n v="1"/>
    <n v="0"/>
    <n v="189.5"/>
    <n v="189.5"/>
    <n v="0"/>
    <n v="0"/>
    <n v="0"/>
    <n v="189.5"/>
    <n v="189.5"/>
    <n v="7288.4615384615381"/>
    <s v="Quốc Duy"/>
    <s v="Việt Nam"/>
    <s v="Máy mới 100%"/>
    <s v="Đang thực hiện (Đề xuất đầu tư đã được duyệt năm 2025, chưa thanh toán)"/>
  </r>
  <r>
    <n v="27"/>
    <x v="6"/>
    <x v="1"/>
    <s v="CAPEX_KT_25001"/>
    <s v="KT01"/>
    <s v="Kỹ thuật"/>
    <s v="Thuy"/>
    <s v="Máy móc thiết bị"/>
    <s v="Chuyền tạo hạt Starlinger 215art-ft-SSP350 - DTR (Thay bằng chuyền tạo hạt Erema)"/>
    <n v="1"/>
    <n v="242676"/>
    <n v="163986"/>
    <n v="-78690"/>
    <n v="163986"/>
    <n v="36361.671999999999"/>
    <n v="77624.328000000009"/>
    <n v="50000"/>
    <n v="163986"/>
    <n v="6307153.846153846"/>
    <s v="Starlinger"/>
    <s v="Áo"/>
    <s v="Máy mới 100%"/>
    <s v="Đang thực hiện (Đã ký hợp đồng và thanh toán/ứng trước)"/>
  </r>
  <r>
    <n v="28"/>
    <x v="4"/>
    <x v="1"/>
    <s v="CAPEX_KT_25007"/>
    <s v="KT07"/>
    <s v="Kỹ thuật"/>
    <s v="Thuy"/>
    <s v="Máy móc thiết bị"/>
    <s v="Hệ nạp liệu (nạp hạt) cho chuyền Starlinger  (3 hệ)"/>
    <n v="3"/>
    <n v="1958"/>
    <n v="1958"/>
    <n v="0"/>
    <n v="1273.7951459999999"/>
    <n v="1273.7951459999999"/>
    <n v="0"/>
    <n v="684.20485400000007"/>
    <n v="1273.7951459999999"/>
    <n v="48992.120999999999"/>
    <s v="Starlinger"/>
    <s v="Áo"/>
    <s v="Máy mới 100%"/>
    <s v="Đang thực hiện (Đã ký hợp đồng và thanh toán/ứng trước)"/>
  </r>
  <r>
    <n v="29"/>
    <x v="5"/>
    <x v="1"/>
    <s v="CAPEX_KT_25023"/>
    <s v="KT23"/>
    <s v="Kỹ thuật"/>
    <s v="Thuy"/>
    <s v="Máy móc thiết bị"/>
    <s v="Máy tách nhãn chai Plenma (4 máy)"/>
    <n v="1"/>
    <n v="0"/>
    <n v="2580"/>
    <n v="2580"/>
    <n v="680"/>
    <n v="680"/>
    <n v="0"/>
    <n v="1900"/>
    <n v="680"/>
    <n v="26153.846153846152"/>
    <s v="Plenma"/>
    <s v="Việt Nam"/>
    <s v="Máy mới 100%"/>
    <s v="Đang thực hiện (Đã ký hợp đồng và thanh toán/ứng trước)"/>
  </r>
  <r>
    <n v="30"/>
    <x v="5"/>
    <x v="1"/>
    <s v="CAPEX_KT_25020"/>
    <s v="KT20"/>
    <s v="Kỹ thuật"/>
    <s v="Thuy"/>
    <s v="Máy móc thiết bị"/>
    <s v="Máy tách nhãn chai Boretech (2 máy)"/>
    <n v="2"/>
    <n v="0"/>
    <n v="5253"/>
    <n v="5253"/>
    <n v="3250"/>
    <n v="1019.07"/>
    <n v="2230.9299999999998"/>
    <n v="2003"/>
    <n v="3250"/>
    <n v="125000"/>
    <s v="BORETECH"/>
    <s v="TRUNG QUỐC"/>
    <s v="Máy mới 100%"/>
    <s v="Đang thực hiện (Đã ký hợp đồng và thanh toán/ứng trước)"/>
  </r>
  <r>
    <n v="31"/>
    <x v="6"/>
    <x v="1"/>
    <m/>
    <m/>
    <s v="Kỹ thuật"/>
    <m/>
    <s v="Máy móc thiết bị"/>
    <s v="Chuyển rửa F5"/>
    <n v="1"/>
    <m/>
    <m/>
    <m/>
    <n v="19466"/>
    <m/>
    <m/>
    <m/>
    <n v="19466"/>
    <n v="748692.30769230775"/>
    <m/>
    <m/>
    <m/>
    <m/>
  </r>
  <r>
    <n v="32"/>
    <x v="7"/>
    <x v="1"/>
    <s v="CAPEX_HC_25001"/>
    <s v="HCNS01"/>
    <s v="HCNS"/>
    <s v="Diễm"/>
    <s v="Thiết bị quản lý"/>
    <s v="Lắp đặt 40 camera mới DTR"/>
    <n v="40"/>
    <n v="273.77"/>
    <n v="273.77"/>
    <n v="0"/>
    <n v="112.2599"/>
    <n v="112.2599"/>
    <n v="0"/>
    <n v="161.51009999999997"/>
    <n v="112.2599"/>
    <n v="4317.6884615384615"/>
    <s v="VŨ HOÀNG TELECOM"/>
    <s v="Việt Nam"/>
    <s v="Máy mới 100%"/>
    <s v="Đang thực hiện (Đã ký hợp đồng và thanh toán/ứng trước)"/>
  </r>
  <r>
    <n v="33"/>
    <x v="7"/>
    <x v="1"/>
    <s v="CAPEX_HC_25003"/>
    <s v="HCNS03"/>
    <s v="HCNS"/>
    <s v="Diễm"/>
    <s v="Thiết bị quản lý"/>
    <s v="Lắp đặt 10 camera mới TDH"/>
    <n v="10"/>
    <n v="56.16"/>
    <n v="56.16"/>
    <n v="0"/>
    <n v="76.531000000000006"/>
    <n v="76.531000000000006"/>
    <n v="0"/>
    <m/>
    <n v="76.531000000000006"/>
    <n v="2943.5"/>
    <s v="ANH PHONG"/>
    <s v="Việt Nam"/>
    <m/>
    <s v="Đang thực hiện (Đã ký hợp đồng và thanh toán/ứng trước)"/>
  </r>
  <r>
    <n v="34"/>
    <x v="7"/>
    <x v="1"/>
    <s v="CAPEX_HC_25004"/>
    <s v="HCNS04"/>
    <s v="HCNS"/>
    <s v="Diễm"/>
    <s v="Thiết bị quản lý"/>
    <s v="Hệ thống thiết bị để xem camera tại các trạm"/>
    <n v="1"/>
    <n v="33.189500000000002"/>
    <n v="33.189500000000002"/>
    <n v="0"/>
    <n v="45.347499999999997"/>
    <n v="45.347499999999997"/>
    <n v="0"/>
    <m/>
    <n v="45.347499999999997"/>
    <n v="1744.1346153846155"/>
    <s v="Hitechpro"/>
    <s v="Việt Nam"/>
    <s v="Máy mới 100%"/>
    <s v="Đã thực hiện xong năm 2025"/>
  </r>
  <r>
    <n v="35"/>
    <x v="7"/>
    <x v="1"/>
    <s v="CAPEX_HC_25005"/>
    <s v="HCNS05"/>
    <s v="HCNS"/>
    <m/>
    <s v="Thiết bị quản lý"/>
    <s v="Mua 2 màn hình thông minh thay thế 2 tivi đang có ở phòng họp 3"/>
    <n v="2"/>
    <n v="0"/>
    <n v="139.86000000000001"/>
    <n v="139.86000000000001"/>
    <n v="0"/>
    <n v="0"/>
    <n v="0"/>
    <n v="139.86000000000001"/>
    <n v="139.86000000000001"/>
    <n v="5379.2307692307695"/>
    <m/>
    <m/>
    <m/>
    <s v="Đang thực hiện (Đề xuất đầu tư đã được duyệt năm 2025, chưa thanh toán)"/>
  </r>
  <r>
    <n v="36"/>
    <x v="2"/>
    <x v="1"/>
    <s v="CAPEX_KT_25004"/>
    <s v="KT04"/>
    <s v="Kỹ thuật"/>
    <s v="Thuy"/>
    <s v="Máy móc thiết bị"/>
    <s v="Silo trộn hạt rPET thành phẩm Piovan - DTR"/>
    <n v="1"/>
    <n v="12261.11"/>
    <n v="12261.11"/>
    <n v="0"/>
    <n v="2798"/>
    <n v="2798"/>
    <n v="0"/>
    <n v="9463.11"/>
    <n v="2798"/>
    <n v="107615.38461538461"/>
    <s v="Piovan"/>
    <s v="TRUNG QUỐC"/>
    <s v="Máy mới 100%"/>
    <s v="Đang thực hiện (Đã ký hợp đồng và thanh toán/ứng trước)"/>
  </r>
  <r>
    <n v="37"/>
    <x v="3"/>
    <x v="1"/>
    <s v="CAPEX_QA_25004"/>
    <s v="QC04"/>
    <s v="QC"/>
    <s v="Huyền"/>
    <s v="Thiết bị quản lý"/>
    <s v="Kệ kho mẫu QC ( 3 kệ)"/>
    <n v="3"/>
    <n v="150"/>
    <n v="150"/>
    <n v="0"/>
    <n v="32.22"/>
    <n v="32.22"/>
    <n v="0"/>
    <m/>
    <n v="150"/>
    <n v="5769.2307692307695"/>
    <s v="Cơ Khí Việt LA"/>
    <s v="Việt Nam"/>
    <s v="Máy mới 100%"/>
    <s v="Đã thực hiện xong năm 2025"/>
  </r>
  <r>
    <n v="38"/>
    <x v="2"/>
    <x v="1"/>
    <s v="CAPEX_KT_25018"/>
    <s v="KT18"/>
    <s v="Kỹ thuật"/>
    <s v="Thuy"/>
    <s v="Nhà cửa, vật kiến trúc"/>
    <s v="Mái che hồ nước sản xuất"/>
    <n v="1"/>
    <n v="0"/>
    <n v="339.06"/>
    <n v="339.06"/>
    <n v="0"/>
    <n v="0"/>
    <n v="0"/>
    <n v="339.06"/>
    <n v="339.06"/>
    <n v="13040.76923076923"/>
    <s v="An Phúc"/>
    <s v="Việt Nam"/>
    <s v="Máy mới 100%"/>
    <s v="Đang thực hiện (Đề xuất đầu tư đã được duyệt năm 2025, chưa thanh toán)"/>
  </r>
  <r>
    <n v="39"/>
    <x v="5"/>
    <x v="1"/>
    <s v="CAPEX_SX_25011"/>
    <s v="SX11"/>
    <s v="Sản xuất"/>
    <s v="Trúc"/>
    <s v="Nhà cửa, vật kiến trúc"/>
    <s v="Trạm sạc xe nâng"/>
    <n v="1"/>
    <n v="0"/>
    <n v="316.92764199999999"/>
    <n v="316.92764199999999"/>
    <n v="0"/>
    <n v="0"/>
    <n v="0"/>
    <n v="316.92764199999999"/>
    <n v="316.92764199999999"/>
    <n v="12189.524692307692"/>
    <m/>
    <m/>
    <m/>
    <s v="Đang thực hiện (Đề xuất đầu tư đã được duyệt năm 2025, chưa thanh toán)"/>
  </r>
  <r>
    <n v="40"/>
    <x v="2"/>
    <x v="1"/>
    <s v="CAPEX_KT25034"/>
    <s v="KT34"/>
    <s v="Kỹ thuật"/>
    <s v="Thuy"/>
    <s v="Máy móc thiết bị"/>
    <s v="Di dời, lắp đặt và làm nhà chống côn trùng cho máy MIX-03"/>
    <n v="1"/>
    <n v="0"/>
    <n v="182.095"/>
    <n v="182.095"/>
    <n v="0"/>
    <n v="0"/>
    <n v="0"/>
    <n v="182.095"/>
    <n v="182.095"/>
    <n v="7003.6538461538457"/>
    <s v="XD &amp; TK An Phúc"/>
    <s v="Việt Nam"/>
    <m/>
    <s v="Đang thực hiện (Đề xuất đầu tư đã được duyệt năm 2025, chưa thanh toán)"/>
  </r>
  <r>
    <n v="41"/>
    <x v="5"/>
    <x v="1"/>
    <m/>
    <m/>
    <s v="Cung Ứng"/>
    <m/>
    <s v="Phương tiện vận tải"/>
    <s v="3 Xe tải trạm"/>
    <n v="3"/>
    <m/>
    <n v="4665"/>
    <m/>
    <n v="4665"/>
    <m/>
    <m/>
    <m/>
    <n v="4665"/>
    <n v="179423.07692307694"/>
    <m/>
    <m/>
    <m/>
    <m/>
  </r>
  <r>
    <n v="42"/>
    <x v="2"/>
    <x v="1"/>
    <s v="CAPEX_RD_25001"/>
    <s v="RD01"/>
    <s v="R&amp;D"/>
    <s v="Thuy"/>
    <s v="Máy móc thiết bị"/>
    <s v="Máy ép mẫu thử nghiệm (Cải thiện khả năng ép thẻ cơ tính)"/>
    <n v="1"/>
    <n v="100"/>
    <n v="100"/>
    <n v="0"/>
    <n v="34"/>
    <n v="34"/>
    <n v="0"/>
    <m/>
    <n v="100"/>
    <n v="3846.1538461538462"/>
    <s v="Mida"/>
    <s v="Việt Nam"/>
    <s v="Đã qua sử dụng"/>
    <s v="Đã thực hiện xong năm 2025"/>
  </r>
  <r>
    <n v="43"/>
    <x v="2"/>
    <x v="1"/>
    <s v="CAPEX_SX_25009"/>
    <s v="SX09"/>
    <s v="Sản xuất"/>
    <s v="Nhâm"/>
    <s v="Máy móc thiết bị"/>
    <s v="Lắp đặt cửa cuốn màng PVC tốc độ cao kho thành phẩm F1"/>
    <n v="1"/>
    <n v="0"/>
    <n v="345.13137999999998"/>
    <n v="345.13137999999998"/>
    <n v="0"/>
    <n v="0"/>
    <n v="0"/>
    <n v="345.13137999999998"/>
    <n v="345.13137999999998"/>
    <n v="13274.283846153847"/>
    <s v="Nam Phát"/>
    <s v="Việt Nam"/>
    <s v="Máy mới 100%"/>
    <s v="Đang thực hiện (Đề xuất đầu tư đã được duyệt năm 2025, chưa thanh toán)"/>
  </r>
  <r>
    <n v="44"/>
    <x v="4"/>
    <x v="1"/>
    <s v="CAPEX_QA_25006"/>
    <s v="QC06"/>
    <s v="Kỹ thuật"/>
    <s v=" "/>
    <s v="Máy móc thiết bị"/>
    <s v="Vít tải lấy mẫu tự động 4 chuyền rửa vảy"/>
    <n v="4"/>
    <n v="0"/>
    <n v="114"/>
    <n v="114"/>
    <n v="0"/>
    <n v="0"/>
    <n v="0"/>
    <n v="114"/>
    <n v="114"/>
    <n v="4384.6153846153848"/>
    <m/>
    <m/>
    <m/>
    <s v="Đang thực hiện (Đề xuất đầu tư đã được duyệt năm 2025, chưa thanh toán)"/>
  </r>
  <r>
    <n v="45"/>
    <x v="4"/>
    <x v="1"/>
    <s v="CAPEX_SX_25008"/>
    <s v="SX08"/>
    <s v="Sản xuất"/>
    <s v="Nhâm"/>
    <s v="Thiết bị quản lý"/>
    <s v="Hệ thống AI cảnh báo - cân xe"/>
    <n v="1"/>
    <n v="0"/>
    <n v="498.95"/>
    <n v="498.95"/>
    <n v="0"/>
    <n v="0"/>
    <n v="0"/>
    <n v="498.95"/>
    <n v="498.95"/>
    <n v="19190.384615384617"/>
    <s v="Plenma"/>
    <s v="Việt Nam"/>
    <s v="Máy mới 100%"/>
    <s v="Đang thực hiện (Đề xuất đầu tư đã được duyệt năm 2025, chưa thanh toán)"/>
  </r>
  <r>
    <n v="46"/>
    <x v="4"/>
    <x v="1"/>
    <s v="CAPEX_KT_25024"/>
    <s v="KT24"/>
    <s v="Kỹ thuật"/>
    <s v=" "/>
    <s v="Thiết bị quản lý"/>
    <s v="Đầu tư trạm cân bao vảy 1 tấn tự động cho chuyền CHWO-B02 (Chuyền băm 2)"/>
    <n v="1"/>
    <n v="0"/>
    <n v="715"/>
    <n v="715"/>
    <n v="0"/>
    <n v="0"/>
    <n v="0"/>
    <n v="715"/>
    <n v="715"/>
    <n v="27500"/>
    <m/>
    <m/>
    <m/>
    <s v="Đang thực hiện (Đề xuất đầu tư đã được duyệt năm 2025, chưa thanh toán)"/>
  </r>
  <r>
    <n v="47"/>
    <x v="4"/>
    <x v="1"/>
    <s v="CAPEX_KT_25032"/>
    <s v="KT32"/>
    <s v="Kỹ thuật"/>
    <s v="Thuy"/>
    <s v="Thiết bị quản lý"/>
    <s v="Đầu tư Robot Delta hỗ trợ phân loại chai cho QC ở xưởng F06"/>
    <n v="1"/>
    <n v="0"/>
    <n v="912"/>
    <n v="912"/>
    <n v="0"/>
    <n v="0"/>
    <n v="0"/>
    <n v="912"/>
    <n v="912"/>
    <n v="35076.923076923078"/>
    <n v="912"/>
    <n v="0"/>
    <n v="-912"/>
    <s v="Đang thực hiện (Đề xuất đầu tư đã được duyệt năm 2025, chưa thanh toán)"/>
  </r>
  <r>
    <m/>
    <x v="0"/>
    <x v="0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m/>
    <m/>
    <x v="0"/>
    <x v="0"/>
    <s v="TỔNG CỘNG"/>
    <n v="35091721812.400002"/>
    <n v="63"/>
    <n v="52666122222.533333"/>
    <n v="1987400.8385861632"/>
    <m/>
    <m/>
    <m/>
    <m/>
    <m/>
    <m/>
  </r>
  <r>
    <s v="I."/>
    <m/>
    <x v="0"/>
    <x v="0"/>
    <s v="CÁC HẠNG MỤC PHÁT SINH MỚI 2026"/>
    <n v="31722221812.400002"/>
    <n v="54"/>
    <n v="47081622222.533333"/>
    <n v="1776664.9895295596"/>
    <m/>
    <m/>
    <m/>
    <m/>
    <m/>
    <m/>
  </r>
  <r>
    <n v="1"/>
    <s v="Kỹ thuật"/>
    <x v="1"/>
    <x v="1"/>
    <s v="Chuyền tạo màng rPET"/>
    <n v="15724420000"/>
    <n v="1"/>
    <n v="15724420000"/>
    <n v="593374.33962264156"/>
    <s v="Trung Quốc"/>
    <s v="Jwell"/>
    <s v="Sản phẩm mới"/>
    <n v="1"/>
    <d v="2026-01-01T00:00:00"/>
    <d v="2026-06-01T00:00:00"/>
  </r>
  <r>
    <n v="2"/>
    <s v="Kỹ thuật"/>
    <x v="2"/>
    <x v="2"/>
    <s v="Máy băm nhựa rPET chuyền CHWO-B01"/>
    <n v="2341300000"/>
    <n v="2"/>
    <n v="4682600000"/>
    <n v="176701.88679245283"/>
    <s v="Trung Quốc"/>
    <s v="Enma/Zerma"/>
    <s v="Thay thế cho các máy Băm chuyền CHWO-B01"/>
    <n v="1"/>
    <d v="2026-01-01T00:00:00"/>
    <d v="2026-04-01T00:00:00"/>
  </r>
  <r>
    <n v="3"/>
    <s v="Kỹ thuật"/>
    <x v="3"/>
    <x v="1"/>
    <s v="Lắp thêm 2 bồn ( 50m3/ bồn )  chứa nước thải hóa chất nóng để điều tiết xử lý cho trạm 500m3/ngày đêm"/>
    <n v="1130000000"/>
    <n v="2"/>
    <n v="2260000000"/>
    <n v="85283.018867924533"/>
    <s v="Việt  Nam"/>
    <s v="Eratech"/>
    <s v="Để điều tiết và chống sốc vi sinh khi băm và rửa nóng nhiều. cho trạm XLNT 500m3 "/>
    <n v="1"/>
    <d v="2025-12-01T00:00:00"/>
    <d v="2026-01-01T00:00:00"/>
  </r>
  <r>
    <n v="4"/>
    <s v="Kỹ thuật"/>
    <x v="3"/>
    <x v="1"/>
    <s v="Máy tách kim loại cho chuyền xử lý phó sản"/>
    <n v="2147500000"/>
    <n v="1"/>
    <n v="2147500000"/>
    <n v="81037.735849056597"/>
    <s v="Trung Quốc"/>
    <s v="Fushun/ Longi"/>
    <s v="Xử lý tách kim loại cho các loại phó sản"/>
    <n v="1"/>
    <d v="2026-01-01T00:00:00"/>
    <d v="2026-03-01T00:00:00"/>
  </r>
  <r>
    <n v="5"/>
    <s v="Kỹ thuật"/>
    <x v="2"/>
    <x v="1"/>
    <s v="Máy sort chai tự động cho chuyền băm 2"/>
    <n v="2100000000"/>
    <n v="1"/>
    <n v="2100000000"/>
    <n v="79245.283018867922"/>
    <s v="Trung Quốc"/>
    <s v="Databeyond_x000a_Moogetech"/>
    <s v="Giảm nhân công, tăng năng suất, tăng chất lượng vảy thô"/>
    <n v="1"/>
    <d v="2026-03-01T00:00:00"/>
    <d v="2026-06-01T00:00:00"/>
  </r>
  <r>
    <n v="6"/>
    <s v="Kỹ thuật"/>
    <x v="4"/>
    <x v="1"/>
    <s v="Hệ thống thông gió cho xưởng F01, F04 và F05"/>
    <n v="634421812.39999998"/>
    <n v="3"/>
    <n v="1903265437.2"/>
    <n v="71821.337252830184"/>
    <s v="Việt  Nam"/>
    <s v="Đại Việt"/>
    <s v="Giám nhiệt độ bên trong xưởng, tạo điều kiện môi trường làm việc tốt cho CB CNV"/>
    <n v="1"/>
    <d v="2026-02-01T00:00:00"/>
    <d v="2026-03-01T00:00:00"/>
  </r>
  <r>
    <n v="7"/>
    <s v="Kỹ thuật"/>
    <x v="2"/>
    <x v="1"/>
    <s v="Phần mềm quản lý bảo trì máy móc thiết bị CMMS (Computerized Maintenance Management System)"/>
    <n v="1460000000"/>
    <n v="1"/>
    <n v="1460000000"/>
    <n v="55094.339622641506"/>
    <s v="Việt  Nam"/>
    <s v="CMMS"/>
    <s v="Tối ưu hóa Lập kế hoạch, theo dõi và quản lý hiệu quả hoạt động bảo trì MMTB"/>
    <n v="1"/>
    <d v="2025-12-01T00:00:00"/>
    <d v="2026-01-01T00:00:00"/>
  </r>
  <r>
    <n v="8"/>
    <s v="Kỹ thuật"/>
    <x v="3"/>
    <x v="1"/>
    <s v="Hệ thu bụi, sợi cho chuyền tạo hạt rPET"/>
    <n v="262000000"/>
    <n v="4"/>
    <n v="1048000000"/>
    <n v="39547.169811320753"/>
    <s v="Trung Quốc"/>
    <s v="Trung Quốc"/>
    <s v="Loại bỏ bụi, tạp sợi tại các tank thành phẩm hạt rPET"/>
    <n v="1"/>
    <d v="2026-01-01T00:00:00"/>
    <d v="2026-03-01T00:00:00"/>
  </r>
  <r>
    <n v="9"/>
    <s v="Kỹ thuật"/>
    <x v="3"/>
    <x v="1"/>
    <s v="Máy phát hiện kim loại cho chuyền băm Changwoen01, 02"/>
    <n v="491600000"/>
    <n v="2"/>
    <n v="983200000"/>
    <n v="37101.886792452824"/>
    <s v="Đức"/>
    <s v="Sesotec"/>
    <s v="Thay thế các máy tách kim loại cũ trên chuyền băm Changwoen01 và 02"/>
    <n v="1"/>
    <d v="2025-11-01T00:00:00"/>
    <d v="2026-01-01T00:00:00"/>
  </r>
  <r>
    <n v="10"/>
    <s v="Kỹ thuật"/>
    <x v="3"/>
    <x v="1"/>
    <s v="Máy tách kim loại cho máy Mix09"/>
    <n v="809000000"/>
    <n v="1"/>
    <n v="809000000"/>
    <n v="30528.301886792451"/>
    <s v="Đức"/>
    <s v="Sesotec"/>
    <s v="Lắp đặt thêm máy tách kim loại tại máy Mix-09 để kiểm soát chất lượng hạt thành phẩm trước khi giao hàng"/>
    <n v="1"/>
    <d v="2026-01-01T00:00:00"/>
    <d v="2026-03-01T00:00:00"/>
  </r>
  <r>
    <n v="11"/>
    <s v="Kỹ thuật"/>
    <x v="3"/>
    <x v="1"/>
    <s v="Sàn rung hạt nhựa cho máy Mix-03, Meyer tách hạt"/>
    <n v="265000000"/>
    <n v="1"/>
    <n v="265000000"/>
    <n v="10000"/>
    <s v="Trung Quốc"/>
    <s v="TNT"/>
    <s v="Loại bỏ tạp chất tăng chất lượng hạt thành phẩm sau rework"/>
    <n v="1"/>
    <d v="2026-01-01T00:00:00"/>
    <d v="2026-03-01T00:00:00"/>
  </r>
  <r>
    <n v="12"/>
    <s v="Sản xuất &amp; Kho"/>
    <x v="2"/>
    <x v="1"/>
    <s v="Phương án Pallang lấy hàng thành phẩm cho Kho F1"/>
    <n v="1473000000"/>
    <n v="1"/>
    <n v="1473000000"/>
    <n v="55584.905660377357"/>
    <s v="Việt nam"/>
    <s v="Cty Cơ khí Tiền Linh"/>
    <s v="Mục đích: Giúp lấy hàng nhanh chóng, giảm phụ thuộc vào xe nâng_x000a_Ước tính giảm 2 nhân viên xe nâng (~ 300tr/năm)_x000a_Ước tính giảm tiền dầu ~ 215tr/năm_x000a_Giảm thời gian nhập hàng, thời gian cập nhật sơ đồ kho_x000a_Nếu đầu tư Rack thì không cần"/>
    <n v="1"/>
    <d v="2026-06-01T00:00:00"/>
    <d v="2026-08-01T00:00:00"/>
  </r>
  <r>
    <n v="13"/>
    <s v="Sản xuất &amp; Kho"/>
    <x v="4"/>
    <x v="1"/>
    <s v="Sửa nền xưởng, sửa cửa/cổng, máng xối, chống dột, cải tạo nhà vệ sinh TĐH"/>
    <m/>
    <n v="1"/>
    <n v="987540000"/>
    <n v="37265.660377358494"/>
    <s v="Việt nam"/>
    <m/>
    <s v="Bảo quản hàng tồn kho, an toàn xe nâng"/>
    <n v="1"/>
    <m/>
    <m/>
  </r>
  <r>
    <n v="14"/>
    <s v="Sản xuất &amp; Kho"/>
    <x v="2"/>
    <x v="1"/>
    <s v="Lắp đặt pallang giảm nhân sự cho các chuyền máy DTR"/>
    <n v="891000000"/>
    <n v="3"/>
    <n v="891000000"/>
    <n v="33622.641509433968"/>
    <s v="Việt nam"/>
    <s v="Plenma"/>
    <s v="Mục đích: Lắp đặt pallang và vít nạp bồn mix-04. Hiệu quả: _x000a_- Giảm 2 tài xế xe nâng/năm (~300tr/năm)_x000a_ - Giảm ~400 lít/tháng ~ 15tr tiền dầu/tháng_x000a_=&gt; Đầu tư pallang, xe nâng điện kéo tay để giảm 2 tài xế (~ 300tr/năm)  và giảm tiền dầu xe nâng ca đêm (~70tr/năm) ~ 2,5 năm thu hồi vốn"/>
    <n v="1"/>
    <d v="2026-02-01T00:00:00"/>
    <d v="2026-03-01T00:00:00"/>
  </r>
  <r>
    <n v="15"/>
    <s v="Sản xuất &amp; Kho"/>
    <x v="3"/>
    <x v="1"/>
    <s v="Cửa cuốn tự động tại F2, F3, F4, F5"/>
    <n v="75000000"/>
    <n v="7"/>
    <n v="525000000"/>
    <n v="19811.32075471698"/>
    <s v="Việt  Nam"/>
    <m/>
    <s v="Ngăn chặn côn trùng"/>
    <n v="1"/>
    <m/>
    <m/>
  </r>
  <r>
    <n v="16"/>
    <s v="Sản xuất &amp; Kho"/>
    <x v="5"/>
    <x v="2"/>
    <s v="Sửa chữa nền nhà xưởng F01,02,03,04,05."/>
    <m/>
    <n v="1"/>
    <n v="488000000"/>
    <n v="18415.094339622643"/>
    <s v="Việt nam"/>
    <m/>
    <s v="Trám nền các khu vực cạnh chân cột bị lún nứt, trám nền cạnh các đường ron nền xe chạy bị bể gây ra bụi"/>
    <n v="1"/>
    <d v="2026-03-01T00:00:00"/>
    <d v="2026-12-01T00:00:00"/>
  </r>
  <r>
    <n v="17"/>
    <s v="Sản xuất &amp; Kho"/>
    <x v="2"/>
    <x v="1"/>
    <s v="Đổ bê tông, làm mái che F7"/>
    <m/>
    <n v="1"/>
    <n v="457918452"/>
    <n v="17279.94158490566"/>
    <s v="Việt nam"/>
    <m/>
    <s v="Mục đích: tăng sức chứa kho NVL để đựng vảy, vì đã trả lại F5 cho xưởng_x000a_Hiệu quả: Diện tích 329.6m2 tương đương 245 pallets"/>
    <n v="1"/>
    <m/>
    <m/>
  </r>
  <r>
    <n v="18"/>
    <s v="Sản xuất &amp; Kho"/>
    <x v="2"/>
    <x v="1"/>
    <s v="Nới rộng nhà sạc xe nâng"/>
    <m/>
    <n v="1"/>
    <n v="450000000"/>
    <n v="16981.132075471698"/>
    <s v="Việt nam"/>
    <m/>
    <m/>
    <n v="1"/>
    <m/>
    <m/>
  </r>
  <r>
    <n v="19"/>
    <s v="Sản xuất &amp; Kho"/>
    <x v="2"/>
    <x v="1"/>
    <s v="Máy hút hạt nhựa, bột nhựa"/>
    <n v="210000000"/>
    <n v="1"/>
    <n v="210000000"/>
    <n v="7924.5283018867922"/>
    <s v="Việt nam"/>
    <s v="Cơ khí chế tạo Nam Sơn"/>
    <s v="Mục đích: đầu tư cho kho thành phẩm, nhằm sang bao hạt giảm thời gian chờ  và giảm rơi đổ"/>
    <n v="1"/>
    <d v="2026-02-01T00:00:00"/>
    <d v="2026-03-01T00:00:00"/>
  </r>
  <r>
    <n v="20"/>
    <s v="Sản xuất &amp; Kho"/>
    <x v="2"/>
    <x v="1"/>
    <s v="Càng kẹp xe càng dao xuống hàng chai kho NVL - F6"/>
    <n v="140000000"/>
    <n v="1"/>
    <n v="140000000"/>
    <n v="5283.0188679245284"/>
    <s v="Italia"/>
    <s v="Industree VietNam"/>
    <s v="Mục đích: Rút ngắn và tiết kiệm thời gian xuống hàng _x000a_Hiệu quả: _x000a_- Càng kẹp hiện tại 1.5m -&gt; 1 lần xuống hàng:  3 kiện (750kg) _x000a_- Càng kẹp đề xuất 2.2m (mở 2.37m) -&gt; 1 lần xuống hàng: 6 kiện (1500kg)_x000a_Tăng 50% công suất xuống hàng_x000a_=&gt; cắt được 0,5 người để bố trí công việc khác (~ 60tr/năm)"/>
    <n v="1"/>
    <d v="2026-02-01T00:00:00"/>
    <d v="2026-02-01T00:00:00"/>
  </r>
  <r>
    <n v="21"/>
    <s v="Sản xuất &amp; Kho"/>
    <x v="4"/>
    <x v="1"/>
    <s v="Máy chà sàn kho thành phẩm"/>
    <n v="135000000"/>
    <n v="1"/>
    <n v="135000000"/>
    <n v="5094.3396226415098"/>
    <s v="Trung Quốc"/>
    <s v=" Kungfu Clean AS 2007"/>
    <s v="Mục đích: Vệ sinh sàn kho TP, đảm bảo nền kho luôn sạch sẽ._x000a_Hiện kho TP chưa có máy chà sàn"/>
    <n v="1"/>
    <d v="2026-01-01T00:00:00"/>
    <d v="2026-01-01T00:00:00"/>
  </r>
  <r>
    <n v="22"/>
    <s v="Sản xuất &amp; Kho"/>
    <x v="2"/>
    <x v="1"/>
    <s v="Mua mới lắp đặt vít lấy liệu cho bồn mix-02"/>
    <n v="100000000"/>
    <n v="1"/>
    <n v="100000000"/>
    <n v="3773.5849056603774"/>
    <s v="Việt nam"/>
    <m/>
    <s v="Mục đích: Mua mới lắp đặt vít lấy liệu cho bồn mix-02_x000a_Hiệu quả: Giúp tăng năng suất bồn trộn từ 600kg/h lên 800kg/h."/>
    <n v="1"/>
    <d v="2026-06-01T00:00:00"/>
    <d v="2026-06-01T00:00:00"/>
  </r>
  <r>
    <n v="23"/>
    <s v="Sản xuất &amp; Kho"/>
    <x v="4"/>
    <x v="1"/>
    <s v="Di dời và xây dựng VP Kho F6 ra cổng bảo vệ số 3"/>
    <n v="100000000"/>
    <n v="1"/>
    <n v="100000000"/>
    <n v="3773.5849056603774"/>
    <s v="Việt nam"/>
    <m/>
    <s v="Mục đích: Thuận tiện cho việc thông tin giữa bảo vệ - Kho- KT Kho._x000a_Hiệu quả: _x000a_-Kiểm soát và kí phiếu cho xe ra cổng được nhanh chóng và kịp thời_x000a_- Tránh lãng công"/>
    <n v="1"/>
    <d v="2026-01-01T00:00:00"/>
    <d v="2026-01-01T00:00:00"/>
  </r>
  <r>
    <n v="24"/>
    <s v="Sản xuất &amp; Kho"/>
    <x v="2"/>
    <x v="1"/>
    <s v="Xe nâng tay điện Noblelift"/>
    <n v="40000000"/>
    <n v="2"/>
    <n v="80000000"/>
    <n v="3018.867924528302"/>
    <s v="Trung Quốc"/>
    <s v="Noblelift"/>
    <s v="Giảm thời gian chuyển hàng, giảm nhân công"/>
    <n v="1"/>
    <m/>
    <m/>
  </r>
  <r>
    <n v="25"/>
    <s v="Sản xuất &amp; Kho"/>
    <x v="3"/>
    <x v="1"/>
    <s v="Sàn rung 2 lớp xử lý phó sản TOMRA, TROMEL"/>
    <n v="40000000"/>
    <n v="2"/>
    <n v="80000000"/>
    <n v="3018.867924528302"/>
    <s v="Trung Quốc"/>
    <s v="Bore"/>
    <s v="Xử lí phó sản TOMRA, TROMEL, kết hợp với máy TAIHO. Dự kiến xử lí 100 tấn/tháng_x000a_Mục đích: loại bỏ tạp mịn để thu hồi vảy dùng cho dây đai hoặc tạo hạt xơ sợi và tạo dây đai"/>
    <n v="1"/>
    <d v="2026-03-01T00:00:00"/>
    <d v="2026-04-01T00:00:00"/>
  </r>
  <r>
    <n v="26"/>
    <s v="Sản xuất &amp; Kho"/>
    <x v="4"/>
    <x v="1"/>
    <s v="Làm phòng cho giám sát, tổ trưởng"/>
    <n v="50000000"/>
    <n v="1"/>
    <n v="50000000"/>
    <n v="1886.7924528301887"/>
    <s v="Việt nam"/>
    <m/>
    <s v="Mục đích: khu vực F4, F5 chưa có khu vực làm việc giám sát hiện trường"/>
    <n v="1"/>
    <d v="2026-05-01T00:00:00"/>
    <d v="2026-06-01T00:00:00"/>
  </r>
  <r>
    <n v="27"/>
    <s v="Sản xuất &amp; Kho"/>
    <x v="3"/>
    <x v="1"/>
    <s v="Sàn rung 2 lớp xử lý phó sản tồn lâu tại F7"/>
    <n v="40000000"/>
    <n v="1"/>
    <n v="40000000"/>
    <n v="1509.433962264151"/>
    <s v="Trung Quốc"/>
    <s v="Bore"/>
    <s v="Mục đích: Dùng để xử lý phó sản. _x000a_Hiệu quả: Xử lý phó sản tồn lâu tại F7 lẫn tạp chất. Dự kiến 30 tấn phế quét nền, tăng hiệu quả tách hỗn hợp cuối HD"/>
    <n v="1"/>
    <d v="2026-05-01T00:00:00"/>
    <d v="2026-06-01T00:00:00"/>
  </r>
  <r>
    <n v="28"/>
    <s v="HCNS"/>
    <x v="2"/>
    <x v="1"/>
    <s v="Rải thảm 1 lớp nhựa nóng cho toàn bộ đường công ty"/>
    <n v="230000"/>
    <n v="1"/>
    <n v="3845830000"/>
    <n v="145125.66037735849"/>
    <s v="Việt  Nam"/>
    <m/>
    <s v="Chống lún,  giảm chi phí bảo trì hàng năm (230.000đ x 16.721m2)"/>
    <n v="1"/>
    <d v="2026-03-01T00:00:00"/>
    <d v="2026-06-01T00:00:00"/>
  </r>
  <r>
    <n v="29"/>
    <s v="HCNS"/>
    <x v="2"/>
    <x v="2"/>
    <s v="Sửa đường nội bộ (trường hợp rải thảm nhựa - sẽ không phát sinh mục này)"/>
    <n v="250000"/>
    <n v="1"/>
    <n v="250000000"/>
    <n v="9433.9622641509432"/>
    <s v="Việt  Nam"/>
    <m/>
    <m/>
    <n v="1"/>
    <d v="2026-03-01T00:00:00"/>
    <d v="2026-06-01T00:00:00"/>
  </r>
  <r>
    <n v="30"/>
    <s v="HCNS"/>
    <x v="6"/>
    <x v="1"/>
    <s v="Hệ thống SMS, VMS giai đoạn 2, AI copilot"/>
    <m/>
    <n v="1"/>
    <n v="1043608333.3333334"/>
    <n v="39381.446540880504"/>
    <s v="Việt nam"/>
    <m/>
    <m/>
    <n v="1"/>
    <m/>
    <d v="2025-12-01T00:00:00"/>
  </r>
  <r>
    <n v="31"/>
    <s v="HCNS"/>
    <x v="6"/>
    <x v="1"/>
    <s v="Lắp đặt 26 camera mới DTR"/>
    <n v="280000000"/>
    <n v="1"/>
    <n v="280000000"/>
    <n v="10566.037735849057"/>
    <s v="Việt nam"/>
    <s v="HIKVISION"/>
    <s v="Quan sát các khu vực bị thiếu camera không quan sát được khi có sự cố xảy ra_x000a_Bổ sung thêm đầu thu, thiết bị xem tại phòng GDĐH:_x000a_F01: 3 cái: 1 nhà xe + 1 cổng bv hướng ra ngoài + 1 khu soạn hàng giao_x000a_F02: 1 cái:  phòng QC_x000a_F03: 4 cái: 1 hành lang trong xưởng phía sau quầy lễ tân, 1 cái giữa xưởng hướng về cổng 1, 2 cái phòng QC _x000a_F04: 2 cái: 1 đối diện phòng camera, 1 từ cửa xưởng hướng ra ngoài_x000a_F05: 6 cái_x000a_F06: 2 cái: khu vực xuống hàng_x000a_Kho 6B: 6 cái ( khu vực mới mở rộng)_x000a_Kho 5: 2 cái: 2 góc xưởng hướng ra ngoài"/>
    <n v="1"/>
    <d v="2026-02-01T00:00:00"/>
    <d v="2026-03-01T00:00:00"/>
  </r>
  <r>
    <n v="32"/>
    <s v="Kiểm soát chất lượng"/>
    <x v="3"/>
    <x v="1"/>
    <s v="Máy đo IV Tester, tủ sấy chân không, máy đo mùi hạt nhựa"/>
    <m/>
    <n v="1"/>
    <n v="1249240000"/>
    <n v="47141.132075471694"/>
    <s v="Trung Quốc"/>
    <m/>
    <s v="Kiểm soát chất lượng sản phẩm"/>
    <n v="1"/>
    <m/>
    <m/>
  </r>
  <r>
    <n v="33"/>
    <s v="Kiểm soát chất lượng"/>
    <x v="2"/>
    <x v="1"/>
    <s v="Pallang nâng hạ bao jumbo cho chuyền chai PET (chuyền kiểm tra)"/>
    <n v="40000000"/>
    <n v="2"/>
    <n v="80000000"/>
    <n v="3018.867924528302"/>
    <s v="Việt  Nam"/>
    <m/>
    <s v="Tăng hiệu suất chứa chai, giảm bao lưu kho và vận chuyển, Tăng năng suất lựa chai"/>
    <n v="1"/>
    <d v="2026-01-01T00:00:00"/>
    <d v="2026-03-01T00:00:00"/>
  </r>
  <r>
    <n v="34"/>
    <s v="Nghiên cứu phát triển"/>
    <x v="3"/>
    <x v="1"/>
    <s v="Máy Quang phổ kế định danh vật liệu FT-IR"/>
    <n v="662500000"/>
    <n v="1"/>
    <n v="662500000"/>
    <n v="25000"/>
    <s v="Đức"/>
    <s v="Perkin Elmer"/>
    <s v="Phân tích nguyên liệu, kiểm soát chất lượng và phát triển sản phẩm."/>
    <n v="1"/>
    <d v="2026-01-01T00:00:00"/>
    <d v="2026-06-01T00:00:00"/>
  </r>
  <r>
    <n v="35"/>
    <s v="Nghiên cứu phát triển"/>
    <x v="3"/>
    <x v="1"/>
    <s v="Khuôn thẻ chữ nhật để ép PET"/>
    <n v="80000000"/>
    <n v="1"/>
    <n v="80000000"/>
    <n v="3018.867924528302"/>
    <s v="Việt nam"/>
    <s v="Mida"/>
    <s v="Tách riêng máy ép PET &amp; HD/PP"/>
    <n v="1"/>
    <d v="2026-02-01T00:00:00"/>
    <d v="2026-02-01T00:00:00"/>
  </r>
  <r>
    <s v="II."/>
    <m/>
    <x v="0"/>
    <x v="0"/>
    <s v="CÁC HẠNG MỤC 2025 CHUYỂN SANG 2026"/>
    <n v="3369500000"/>
    <n v="9"/>
    <n v="5584500000"/>
    <n v="210735.84905660374"/>
    <m/>
    <m/>
    <m/>
    <m/>
    <m/>
    <m/>
  </r>
  <r>
    <n v="1"/>
    <s v="Kỹ thuật"/>
    <x v="3"/>
    <x v="1"/>
    <s v="Cải tiến bể tuyển nổi chuyển băm rửa Changwoen 01, 02, Bore-02"/>
    <n v="650000000"/>
    <n v="4"/>
    <n v="2600000000"/>
    <n v="98113.207547169804"/>
    <s v="Việt  Nam"/>
    <m/>
    <s v="Giảm tỷ lệ vảy PET đi theo PS Olefin, tăng chất lượng vảy sạch sau BTN"/>
    <n v="1"/>
    <d v="2026-01-01T00:00:00"/>
    <d v="2026-03-01T00:00:00"/>
  </r>
  <r>
    <n v="2"/>
    <s v="Kỹ thuật"/>
    <x v="3"/>
    <x v="1"/>
    <s v="Máy tách kim loại cho máy Mix03"/>
    <n v="265000000"/>
    <n v="2"/>
    <n v="530000000"/>
    <n v="20000"/>
    <s v="Đức"/>
    <s v="Sesotec"/>
    <s v="Lắp đặt thêm máy tách kim loại tại máy Mix-03 để kiểm soát chất lượng hạt thành phẩm trước khi giao hàng"/>
    <n v="1"/>
    <d v="2026-01-01T00:00:00"/>
    <d v="2026-03-01T00:00:00"/>
  </r>
  <r>
    <n v="3"/>
    <s v="Kỹ thuật"/>
    <x v="3"/>
    <x v="1"/>
    <s v="Sàn rung hạt nhựa cho máy Mix-03"/>
    <n v="265000000"/>
    <n v="1"/>
    <n v="265000000"/>
    <n v="10000"/>
    <s v="Trung Quốc"/>
    <s v="TNT"/>
    <s v="Loại bỏ tạp chất tăng chất lượng hạt thành phẩm sau rework"/>
    <n v="1"/>
    <d v="2026-01-01T00:00:00"/>
    <d v="2026-03-01T00:00:00"/>
  </r>
  <r>
    <n v="4"/>
    <s v="Kỹ thuật"/>
    <x v="2"/>
    <x v="1"/>
    <s v="Máy mài dao băm cho các chuyền băm tại DTR"/>
    <n v="189500000"/>
    <n v="1"/>
    <n v="189500000"/>
    <n v="7150.9433962264147"/>
    <s v="Việt nam"/>
    <s v="Việt Nam"/>
    <s v="Tăng cường thêm máy mài dao băm đáp ứng dao thay thế cho các chuyền băm khi nhu cầu băm tăng cao"/>
    <n v="1"/>
    <d v="2026-01-01T00:00:00"/>
    <d v="2026-03-01T00:00:00"/>
  </r>
  <r>
    <n v="5"/>
    <s v="Sản xuất &amp; Kho"/>
    <x v="2"/>
    <x v="1"/>
    <s v="Băng tải cân tự động kiện chai PET đầu vào tại kho F6 (cân từng kiện)"/>
    <n v="2000000000"/>
    <n v="1"/>
    <n v="2000000000"/>
    <n v="75471.698113207545"/>
    <s v="Việt nam"/>
    <s v="Plenma"/>
    <s v="Cân từng kiện chai PET khi nhận hàng, dán tem, mục đích giảm chênh chệnh NXT kho và truy vết NCC"/>
    <n v="1"/>
    <d v="2026-02-01T00:00:00"/>
    <d v="2026-03-01T00:00:00"/>
  </r>
  <r>
    <m/>
    <m/>
    <x v="0"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68C00-F5B6-49D8-91CD-2B720DACABB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5">
    <pivotField showAll="0"/>
    <pivotField showAll="0"/>
    <pivotField axis="axisRow" showAll="0">
      <items count="11">
        <item x="5"/>
        <item x="4"/>
        <item x="3"/>
        <item x="2"/>
        <item m="1" x="7"/>
        <item x="6"/>
        <item m="1" x="9"/>
        <item x="1"/>
        <item m="1" x="8"/>
        <item x="0"/>
        <item t="default"/>
      </items>
    </pivotField>
    <pivotField axis="axisCol" showAll="0">
      <items count="4">
        <item x="1"/>
        <item x="2"/>
        <item h="1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ổng giá trị_x000a_(VND)" fld="7" baseField="0" baseItem="0" numFmtId="164"/>
  </dataFields>
  <formats count="5">
    <format dxfId="13">
      <pivotArea outline="0" collapsedLevelsAreSubtotals="1" fieldPosition="0"/>
    </format>
    <format dxfId="12">
      <pivotArea field="3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8C01B-EE10-40F1-B051-E9C4C7D9C9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23">
    <pivotField showAll="0"/>
    <pivotField axis="axisRow" showAll="0">
      <items count="10">
        <item x="1"/>
        <item x="3"/>
        <item x="2"/>
        <item x="5"/>
        <item x="6"/>
        <item x="7"/>
        <item m="1" x="8"/>
        <item x="4"/>
        <item x="0"/>
        <item t="default"/>
      </items>
    </pivotField>
    <pivotField axis="axisCol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Giá trị dự kiến thực hiện 2025" fld="17" baseField="0" baseItem="0" numFmtId="164"/>
  </dataFields>
  <formats count="5">
    <format dxfId="8">
      <pivotArea outline="0" collapsedLevelsAreSubtotals="1" fieldPosition="0"/>
    </format>
    <format dxfId="7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30A5-81C7-4950-8D97-585816A806BF}">
  <sheetPr>
    <tabColor rgb="FFFF0000"/>
  </sheetPr>
  <dimension ref="A1:XFD17"/>
  <sheetViews>
    <sheetView tabSelected="1" zoomScale="60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1" sqref="F21"/>
    </sheetView>
  </sheetViews>
  <sheetFormatPr defaultRowHeight="14.5" x14ac:dyDescent="0.35"/>
  <cols>
    <col min="1" max="1" width="8.7265625" style="9"/>
    <col min="2" max="2" width="20.7265625" bestFit="1" customWidth="1"/>
    <col min="3" max="3" width="18.7265625" bestFit="1" customWidth="1"/>
    <col min="4" max="4" width="19.81640625" bestFit="1" customWidth="1"/>
    <col min="5" max="5" width="18" bestFit="1" customWidth="1"/>
    <col min="6" max="6" width="20.26953125" customWidth="1"/>
    <col min="7" max="7" width="15.81640625" bestFit="1" customWidth="1"/>
    <col min="8" max="8" width="18" bestFit="1" customWidth="1"/>
    <col min="9" max="9" width="11.7265625" bestFit="1" customWidth="1"/>
  </cols>
  <sheetData>
    <row r="1" spans="1:9 16384:16384" x14ac:dyDescent="0.35">
      <c r="A1" s="165" t="s">
        <v>0</v>
      </c>
      <c r="B1" s="165" t="s">
        <v>1</v>
      </c>
      <c r="C1" s="167" t="s">
        <v>2</v>
      </c>
      <c r="D1" s="168"/>
      <c r="E1" s="169"/>
      <c r="F1" s="167" t="s">
        <v>3</v>
      </c>
      <c r="G1" s="168"/>
      <c r="H1" s="169"/>
      <c r="I1" s="165" t="s">
        <v>4</v>
      </c>
    </row>
    <row r="2" spans="1:9 16384:16384" x14ac:dyDescent="0.35">
      <c r="A2" s="166"/>
      <c r="B2" s="166"/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66"/>
    </row>
    <row r="3" spans="1:9 16384:16384" x14ac:dyDescent="0.35">
      <c r="A3" s="10">
        <v>1</v>
      </c>
      <c r="B3" s="20" t="s">
        <v>8</v>
      </c>
      <c r="C3" s="22">
        <v>183452000000</v>
      </c>
      <c r="D3" s="22">
        <v>0</v>
      </c>
      <c r="E3" s="22">
        <f>SUM(C3:D3)</f>
        <v>183452000000</v>
      </c>
      <c r="F3" s="22">
        <v>0</v>
      </c>
      <c r="G3" s="22">
        <v>0</v>
      </c>
      <c r="H3" s="22">
        <f>SUM(F3:G3)</f>
        <v>0</v>
      </c>
      <c r="I3" s="146">
        <f>H3/$H$13</f>
        <v>0</v>
      </c>
    </row>
    <row r="4" spans="1:9 16384:16384" s="11" customFormat="1" x14ac:dyDescent="0.35">
      <c r="A4" s="10">
        <v>2</v>
      </c>
      <c r="B4" s="21" t="s">
        <v>9</v>
      </c>
      <c r="C4" s="22">
        <v>76946711541.999985</v>
      </c>
      <c r="D4" s="22">
        <v>530000000</v>
      </c>
      <c r="E4" s="22">
        <f t="shared" ref="E4:E12" si="0">SUM(C4:D4)</f>
        <v>77476711541.999985</v>
      </c>
      <c r="F4" s="22">
        <v>13477248452</v>
      </c>
      <c r="G4" s="22">
        <v>4932600000</v>
      </c>
      <c r="H4" s="22">
        <f t="shared" ref="H4:H13" si="1">SUM(F4:G4)</f>
        <v>18409848452</v>
      </c>
      <c r="I4" s="146">
        <f t="shared" ref="I4:I12" si="2">H4/$H$13</f>
        <v>0.34955769810072135</v>
      </c>
    </row>
    <row r="5" spans="1:9 16384:16384" x14ac:dyDescent="0.35">
      <c r="A5" s="10">
        <v>3</v>
      </c>
      <c r="B5" s="2" t="s">
        <v>10</v>
      </c>
      <c r="C5" s="22">
        <v>8005745146</v>
      </c>
      <c r="D5" s="22">
        <v>0</v>
      </c>
      <c r="E5" s="22">
        <f t="shared" si="0"/>
        <v>8005745146</v>
      </c>
      <c r="F5" s="22">
        <v>0</v>
      </c>
      <c r="G5" s="22">
        <v>0</v>
      </c>
      <c r="H5" s="22">
        <f t="shared" si="1"/>
        <v>0</v>
      </c>
      <c r="I5" s="146">
        <f t="shared" si="2"/>
        <v>0</v>
      </c>
    </row>
    <row r="6" spans="1:9 16384:16384" ht="28" x14ac:dyDescent="0.35">
      <c r="A6" s="10">
        <v>4</v>
      </c>
      <c r="B6" s="2" t="s">
        <v>11</v>
      </c>
      <c r="C6" s="22">
        <v>0</v>
      </c>
      <c r="D6" s="22">
        <v>0</v>
      </c>
      <c r="E6" s="22">
        <f t="shared" si="0"/>
        <v>0</v>
      </c>
      <c r="F6" s="22">
        <v>0</v>
      </c>
      <c r="G6" s="22">
        <v>0</v>
      </c>
      <c r="H6" s="22">
        <f t="shared" si="1"/>
        <v>0</v>
      </c>
      <c r="I6" s="146">
        <f t="shared" si="2"/>
        <v>0</v>
      </c>
    </row>
    <row r="7" spans="1:9 16384:16384" ht="28" x14ac:dyDescent="0.35">
      <c r="A7" s="10">
        <v>5</v>
      </c>
      <c r="B7" s="2" t="s">
        <v>12</v>
      </c>
      <c r="C7" s="22">
        <v>373998400.00000006</v>
      </c>
      <c r="D7" s="22">
        <v>0</v>
      </c>
      <c r="E7" s="22">
        <f t="shared" si="0"/>
        <v>373998400.00000006</v>
      </c>
      <c r="F7" s="22">
        <v>1323608333.3333335</v>
      </c>
      <c r="G7" s="22">
        <v>0</v>
      </c>
      <c r="H7" s="22">
        <f t="shared" si="1"/>
        <v>1323608333.3333335</v>
      </c>
      <c r="I7" s="146">
        <f t="shared" si="2"/>
        <v>2.5132063601352905E-2</v>
      </c>
    </row>
    <row r="8" spans="1:9 16384:16384" ht="28" x14ac:dyDescent="0.35">
      <c r="A8" s="10">
        <v>6</v>
      </c>
      <c r="B8" s="2" t="s">
        <v>13</v>
      </c>
      <c r="C8" s="22">
        <v>0</v>
      </c>
      <c r="D8" s="22">
        <v>0</v>
      </c>
      <c r="E8" s="22">
        <f t="shared" si="0"/>
        <v>0</v>
      </c>
      <c r="F8" s="22">
        <v>15724420000</v>
      </c>
      <c r="G8" s="22">
        <v>0</v>
      </c>
      <c r="H8" s="22">
        <f t="shared" si="1"/>
        <v>15724420000</v>
      </c>
      <c r="I8" s="146">
        <f t="shared" si="2"/>
        <v>0.29856802316978381</v>
      </c>
    </row>
    <row r="9" spans="1:9 16384:16384" x14ac:dyDescent="0.35">
      <c r="A9" s="10">
        <v>7</v>
      </c>
      <c r="B9" s="2" t="s">
        <v>14</v>
      </c>
      <c r="C9" s="22">
        <v>1298167150</v>
      </c>
      <c r="D9" s="22">
        <v>0</v>
      </c>
      <c r="E9" s="22">
        <f t="shared" si="0"/>
        <v>1298167150</v>
      </c>
      <c r="F9" s="22">
        <v>3175805437.1999998</v>
      </c>
      <c r="G9" s="22">
        <v>0</v>
      </c>
      <c r="H9" s="22">
        <f t="shared" si="1"/>
        <v>3175805437.1999998</v>
      </c>
      <c r="I9" s="146">
        <f t="shared" si="2"/>
        <v>6.0300726599560109E-2</v>
      </c>
    </row>
    <row r="10" spans="1:9 16384:16384" x14ac:dyDescent="0.35">
      <c r="A10" s="10">
        <v>8</v>
      </c>
      <c r="B10" s="2" t="s">
        <v>15</v>
      </c>
      <c r="C10" s="22">
        <v>1786340000</v>
      </c>
      <c r="D10" s="22">
        <v>0</v>
      </c>
      <c r="E10" s="22">
        <f t="shared" si="0"/>
        <v>1786340000</v>
      </c>
      <c r="F10" s="22">
        <v>0</v>
      </c>
      <c r="G10" s="22">
        <v>488000000</v>
      </c>
      <c r="H10" s="22">
        <f t="shared" si="1"/>
        <v>488000000</v>
      </c>
      <c r="I10" s="146">
        <f t="shared" si="2"/>
        <v>9.2659185716773337E-3</v>
      </c>
    </row>
    <row r="11" spans="1:9 16384:16384" x14ac:dyDescent="0.35">
      <c r="A11" s="10">
        <v>9</v>
      </c>
      <c r="B11" s="2" t="s">
        <v>16</v>
      </c>
      <c r="C11" s="22">
        <v>19861220504</v>
      </c>
      <c r="D11" s="22">
        <v>814536343</v>
      </c>
      <c r="E11" s="22">
        <f t="shared" si="0"/>
        <v>20675756847</v>
      </c>
      <c r="F11" s="22">
        <v>13544440000</v>
      </c>
      <c r="G11" s="22">
        <v>0</v>
      </c>
      <c r="H11" s="22">
        <f t="shared" si="1"/>
        <v>13544440000</v>
      </c>
      <c r="I11" s="146">
        <f t="shared" si="2"/>
        <v>0.25717556995690438</v>
      </c>
    </row>
    <row r="12" spans="1:9 16384:16384" x14ac:dyDescent="0.35">
      <c r="A12" s="10">
        <v>10</v>
      </c>
      <c r="B12" s="2" t="s">
        <v>17</v>
      </c>
      <c r="C12" s="22">
        <v>0</v>
      </c>
      <c r="D12" s="22">
        <v>0</v>
      </c>
      <c r="E12" s="22">
        <f t="shared" si="0"/>
        <v>0</v>
      </c>
      <c r="F12" s="22">
        <v>0</v>
      </c>
      <c r="G12" s="22">
        <v>0</v>
      </c>
      <c r="H12" s="22">
        <f t="shared" si="1"/>
        <v>0</v>
      </c>
      <c r="I12" s="146">
        <f t="shared" si="2"/>
        <v>0</v>
      </c>
    </row>
    <row r="13" spans="1:9 16384:16384" s="14" customFormat="1" x14ac:dyDescent="0.35">
      <c r="A13" s="148"/>
      <c r="B13" s="5" t="s">
        <v>7</v>
      </c>
      <c r="C13" s="12">
        <f>SUM(C3:C12)</f>
        <v>291724182742</v>
      </c>
      <c r="D13" s="12">
        <f>SUM(D3:D12)</f>
        <v>1344536343</v>
      </c>
      <c r="E13" s="12">
        <f>SUM(E3:E12)</f>
        <v>293068719085</v>
      </c>
      <c r="F13" s="145">
        <f>SUM(F3:F12)</f>
        <v>47245522222.53334</v>
      </c>
      <c r="G13" s="145">
        <f>SUM(G3:G12)</f>
        <v>5420600000</v>
      </c>
      <c r="H13" s="145">
        <f t="shared" si="1"/>
        <v>52666122222.53334</v>
      </c>
      <c r="I13" s="147">
        <f>SUM(I3:I12)</f>
        <v>0.99999999999999989</v>
      </c>
      <c r="XFD13" s="12">
        <f>SUM(XFD6:XFD12)</f>
        <v>0</v>
      </c>
    </row>
    <row r="14" spans="1:9 16384:16384" x14ac:dyDescent="0.35">
      <c r="A14" s="8"/>
      <c r="B14" s="10" t="s">
        <v>18</v>
      </c>
      <c r="C14" s="6"/>
      <c r="D14" s="6"/>
      <c r="E14" s="149">
        <f>E13/10^9/1560</f>
        <v>0.18786456351602565</v>
      </c>
      <c r="F14" s="6"/>
      <c r="G14" s="6"/>
      <c r="H14" s="149">
        <f>H13/10^9/1704</f>
        <v>3.0907348722143978E-2</v>
      </c>
      <c r="I14" s="3"/>
    </row>
    <row r="16" spans="1:9 16384:16384" x14ac:dyDescent="0.35">
      <c r="E16" s="11"/>
      <c r="H16" s="11"/>
    </row>
    <row r="17" spans="8:8" x14ac:dyDescent="0.35">
      <c r="H17" s="150"/>
    </row>
  </sheetData>
  <mergeCells count="5">
    <mergeCell ref="A1:A2"/>
    <mergeCell ref="B1:B2"/>
    <mergeCell ref="C1:E1"/>
    <mergeCell ref="F1:H1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22F-AC48-4821-94AD-B7852F2B1050}">
  <sheetPr>
    <tabColor rgb="FFFF0000"/>
  </sheetPr>
  <dimension ref="A1:I57"/>
  <sheetViews>
    <sheetView zoomScale="90" zoomScaleNormal="90" workbookViewId="0">
      <pane ySplit="2" topLeftCell="A26" activePane="bottomLeft" state="frozen"/>
      <selection pane="bottomLeft" activeCell="E63" sqref="E63"/>
    </sheetView>
  </sheetViews>
  <sheetFormatPr defaultRowHeight="14.5" x14ac:dyDescent="0.35"/>
  <cols>
    <col min="1" max="1" width="8.7265625" style="163"/>
    <col min="2" max="2" width="42.54296875" style="153" customWidth="1"/>
    <col min="3" max="3" width="8.81640625" style="153" bestFit="1" customWidth="1"/>
    <col min="4" max="4" width="10.453125" style="164" bestFit="1" customWidth="1"/>
    <col min="5" max="5" width="18.54296875" style="164" bestFit="1" customWidth="1"/>
    <col min="6" max="6" width="12.1796875" style="164" bestFit="1" customWidth="1"/>
    <col min="7" max="7" width="19.54296875" style="164" bestFit="1" customWidth="1"/>
    <col min="8" max="8" width="15" style="163" customWidth="1"/>
    <col min="9" max="9" width="19.7265625" style="163" bestFit="1" customWidth="1"/>
    <col min="10" max="16384" width="8.7265625" style="153"/>
  </cols>
  <sheetData>
    <row r="1" spans="1:9" x14ac:dyDescent="0.35">
      <c r="A1" s="170" t="s">
        <v>0</v>
      </c>
      <c r="B1" s="170" t="s">
        <v>19</v>
      </c>
      <c r="C1" s="170" t="s">
        <v>20</v>
      </c>
      <c r="D1" s="172" t="s">
        <v>21</v>
      </c>
      <c r="E1" s="173"/>
      <c r="F1" s="172" t="s">
        <v>22</v>
      </c>
      <c r="G1" s="173"/>
      <c r="H1" s="170" t="s">
        <v>23</v>
      </c>
      <c r="I1" s="170" t="s">
        <v>24</v>
      </c>
    </row>
    <row r="2" spans="1:9" x14ac:dyDescent="0.35">
      <c r="A2" s="171"/>
      <c r="B2" s="171"/>
      <c r="C2" s="171"/>
      <c r="D2" s="154" t="s">
        <v>25</v>
      </c>
      <c r="E2" s="154" t="s">
        <v>26</v>
      </c>
      <c r="F2" s="154" t="s">
        <v>25</v>
      </c>
      <c r="G2" s="154" t="s">
        <v>26</v>
      </c>
      <c r="H2" s="171"/>
      <c r="I2" s="171"/>
    </row>
    <row r="3" spans="1:9" s="157" customFormat="1" x14ac:dyDescent="0.35">
      <c r="A3" s="155" t="s">
        <v>27</v>
      </c>
      <c r="B3" s="156" t="s">
        <v>28</v>
      </c>
      <c r="C3" s="12"/>
      <c r="D3" s="12"/>
      <c r="E3" s="12"/>
      <c r="F3" s="12"/>
      <c r="G3" s="12"/>
      <c r="H3" s="18"/>
      <c r="I3" s="18"/>
    </row>
    <row r="4" spans="1:9" x14ac:dyDescent="0.35">
      <c r="A4" s="158"/>
      <c r="B4" s="159"/>
      <c r="C4" s="3"/>
      <c r="D4" s="6"/>
      <c r="E4" s="6"/>
      <c r="F4" s="6"/>
      <c r="G4" s="6"/>
      <c r="H4" s="4"/>
      <c r="I4" s="4"/>
    </row>
    <row r="5" spans="1:9" s="157" customFormat="1" x14ac:dyDescent="0.35">
      <c r="A5" s="155" t="s">
        <v>29</v>
      </c>
      <c r="B5" s="156" t="s">
        <v>30</v>
      </c>
      <c r="C5" s="12">
        <f>SUBTOTAL(9,C6:C21)</f>
        <v>21</v>
      </c>
      <c r="D5" s="13"/>
      <c r="E5" s="12"/>
      <c r="F5" s="12">
        <f>SUBTOTAL(9,F6:F21)</f>
        <v>694711.26233962271</v>
      </c>
      <c r="G5" s="12">
        <f>SUBTOTAL(9,G6:G21)</f>
        <v>18409848452</v>
      </c>
      <c r="H5" s="18"/>
      <c r="I5" s="18"/>
    </row>
    <row r="6" spans="1:9" x14ac:dyDescent="0.35">
      <c r="A6" s="8">
        <v>1</v>
      </c>
      <c r="B6" s="7" t="s">
        <v>41</v>
      </c>
      <c r="C6" s="3">
        <v>2</v>
      </c>
      <c r="D6" s="6">
        <f t="shared" ref="D6:D21" si="0">F6/C6</f>
        <v>88350.943396226416</v>
      </c>
      <c r="E6" s="6">
        <f t="shared" ref="E6:E21" si="1">G6/C6</f>
        <v>2341300000</v>
      </c>
      <c r="F6" s="6">
        <v>176701.88679245283</v>
      </c>
      <c r="G6" s="6">
        <v>4682600000</v>
      </c>
      <c r="H6" s="4" t="s">
        <v>46</v>
      </c>
      <c r="I6" s="4" t="s">
        <v>51</v>
      </c>
    </row>
    <row r="7" spans="1:9" ht="28" x14ac:dyDescent="0.35">
      <c r="A7" s="8">
        <v>2</v>
      </c>
      <c r="B7" s="7" t="s">
        <v>78</v>
      </c>
      <c r="C7" s="3">
        <v>1</v>
      </c>
      <c r="D7" s="6">
        <f t="shared" si="0"/>
        <v>145125.66037735849</v>
      </c>
      <c r="E7" s="6">
        <f t="shared" si="1"/>
        <v>3845830000</v>
      </c>
      <c r="F7" s="6">
        <v>145125.66037735849</v>
      </c>
      <c r="G7" s="6">
        <v>3845830000</v>
      </c>
      <c r="H7" s="4" t="s">
        <v>49</v>
      </c>
      <c r="I7" s="4" t="s">
        <v>81</v>
      </c>
    </row>
    <row r="8" spans="1:9" x14ac:dyDescent="0.35">
      <c r="A8" s="8">
        <v>3</v>
      </c>
      <c r="B8" s="7" t="s">
        <v>71</v>
      </c>
      <c r="C8" s="3">
        <v>1</v>
      </c>
      <c r="D8" s="6">
        <f t="shared" si="0"/>
        <v>79245.283018867922</v>
      </c>
      <c r="E8" s="6">
        <f t="shared" si="1"/>
        <v>2100000000</v>
      </c>
      <c r="F8" s="6">
        <v>79245.283018867922</v>
      </c>
      <c r="G8" s="6">
        <v>2100000000</v>
      </c>
      <c r="H8" s="4" t="s">
        <v>46</v>
      </c>
      <c r="I8" s="4" t="s">
        <v>51</v>
      </c>
    </row>
    <row r="9" spans="1:9" ht="28" x14ac:dyDescent="0.35">
      <c r="A9" s="8">
        <v>4</v>
      </c>
      <c r="B9" s="7" t="s">
        <v>92</v>
      </c>
      <c r="C9" s="3">
        <v>1</v>
      </c>
      <c r="D9" s="6">
        <f t="shared" si="0"/>
        <v>75471.698113207545</v>
      </c>
      <c r="E9" s="6">
        <f t="shared" si="1"/>
        <v>2000000000</v>
      </c>
      <c r="F9" s="6">
        <v>75471.698113207545</v>
      </c>
      <c r="G9" s="6">
        <v>2000000000</v>
      </c>
      <c r="H9" s="4" t="s">
        <v>48</v>
      </c>
      <c r="I9" s="4" t="s">
        <v>52</v>
      </c>
    </row>
    <row r="10" spans="1:9" ht="28" x14ac:dyDescent="0.35">
      <c r="A10" s="8">
        <v>5</v>
      </c>
      <c r="B10" s="7" t="s">
        <v>72</v>
      </c>
      <c r="C10" s="3">
        <v>1</v>
      </c>
      <c r="D10" s="6">
        <f t="shared" si="0"/>
        <v>55584.905660377357</v>
      </c>
      <c r="E10" s="6">
        <f t="shared" si="1"/>
        <v>1473000000</v>
      </c>
      <c r="F10" s="6">
        <v>55584.905660377357</v>
      </c>
      <c r="G10" s="6">
        <v>1473000000</v>
      </c>
      <c r="H10" s="4" t="s">
        <v>48</v>
      </c>
      <c r="I10" s="4" t="s">
        <v>52</v>
      </c>
    </row>
    <row r="11" spans="1:9" ht="42" x14ac:dyDescent="0.35">
      <c r="A11" s="8">
        <v>6</v>
      </c>
      <c r="B11" s="7" t="s">
        <v>60</v>
      </c>
      <c r="C11" s="3">
        <v>1</v>
      </c>
      <c r="D11" s="6">
        <f t="shared" si="0"/>
        <v>55094.339622641506</v>
      </c>
      <c r="E11" s="6">
        <f t="shared" si="1"/>
        <v>1460000000</v>
      </c>
      <c r="F11" s="6">
        <v>55094.339622641506</v>
      </c>
      <c r="G11" s="6">
        <v>1460000000</v>
      </c>
      <c r="H11" s="4" t="s">
        <v>49</v>
      </c>
      <c r="I11" s="4" t="s">
        <v>51</v>
      </c>
    </row>
    <row r="12" spans="1:9" ht="28" x14ac:dyDescent="0.35">
      <c r="A12" s="8">
        <v>7</v>
      </c>
      <c r="B12" s="7" t="s">
        <v>73</v>
      </c>
      <c r="C12" s="3">
        <v>3</v>
      </c>
      <c r="D12" s="6">
        <f t="shared" si="0"/>
        <v>11207.547169811323</v>
      </c>
      <c r="E12" s="6">
        <f t="shared" si="1"/>
        <v>297000000</v>
      </c>
      <c r="F12" s="6">
        <v>33622.641509433968</v>
      </c>
      <c r="G12" s="6">
        <v>891000000</v>
      </c>
      <c r="H12" s="4" t="s">
        <v>50</v>
      </c>
      <c r="I12" s="4" t="s">
        <v>52</v>
      </c>
    </row>
    <row r="13" spans="1:9" x14ac:dyDescent="0.35">
      <c r="A13" s="8">
        <v>8</v>
      </c>
      <c r="B13" s="7" t="s">
        <v>74</v>
      </c>
      <c r="C13" s="3">
        <v>1</v>
      </c>
      <c r="D13" s="6">
        <f t="shared" si="0"/>
        <v>17279.94158490566</v>
      </c>
      <c r="E13" s="6">
        <f t="shared" si="1"/>
        <v>457918452</v>
      </c>
      <c r="F13" s="6">
        <v>17279.94158490566</v>
      </c>
      <c r="G13" s="6">
        <v>457918452</v>
      </c>
      <c r="H13" s="4" t="s">
        <v>48</v>
      </c>
      <c r="I13" s="4" t="s">
        <v>52</v>
      </c>
    </row>
    <row r="14" spans="1:9" x14ac:dyDescent="0.35">
      <c r="A14" s="8">
        <v>9</v>
      </c>
      <c r="B14" s="7" t="s">
        <v>85</v>
      </c>
      <c r="C14" s="3">
        <v>1</v>
      </c>
      <c r="D14" s="6">
        <f t="shared" si="0"/>
        <v>16981.132075471698</v>
      </c>
      <c r="E14" s="6">
        <f t="shared" si="1"/>
        <v>450000000</v>
      </c>
      <c r="F14" s="6">
        <v>16981.132075471698</v>
      </c>
      <c r="G14" s="6">
        <v>450000000</v>
      </c>
      <c r="H14" s="4" t="s">
        <v>48</v>
      </c>
      <c r="I14" s="4" t="s">
        <v>52</v>
      </c>
    </row>
    <row r="15" spans="1:9" ht="28" x14ac:dyDescent="0.35">
      <c r="A15" s="8">
        <v>10</v>
      </c>
      <c r="B15" s="7" t="s">
        <v>79</v>
      </c>
      <c r="C15" s="3">
        <v>1</v>
      </c>
      <c r="D15" s="6">
        <f t="shared" si="0"/>
        <v>9433.9622641509432</v>
      </c>
      <c r="E15" s="6">
        <f t="shared" si="1"/>
        <v>250000000</v>
      </c>
      <c r="F15" s="6">
        <v>9433.9622641509432</v>
      </c>
      <c r="G15" s="6">
        <v>250000000</v>
      </c>
      <c r="H15" s="4" t="s">
        <v>49</v>
      </c>
      <c r="I15" s="4" t="s">
        <v>81</v>
      </c>
    </row>
    <row r="16" spans="1:9" x14ac:dyDescent="0.35">
      <c r="A16" s="8">
        <v>11</v>
      </c>
      <c r="B16" s="7" t="s">
        <v>75</v>
      </c>
      <c r="C16" s="3">
        <v>1</v>
      </c>
      <c r="D16" s="6">
        <f t="shared" si="0"/>
        <v>7924.5283018867922</v>
      </c>
      <c r="E16" s="6">
        <f t="shared" si="1"/>
        <v>210000000</v>
      </c>
      <c r="F16" s="6">
        <v>7924.5283018867922</v>
      </c>
      <c r="G16" s="6">
        <v>210000000</v>
      </c>
      <c r="H16" s="4" t="s">
        <v>48</v>
      </c>
      <c r="I16" s="4" t="s">
        <v>52</v>
      </c>
    </row>
    <row r="17" spans="1:9" ht="28" x14ac:dyDescent="0.35">
      <c r="A17" s="8">
        <v>12</v>
      </c>
      <c r="B17" s="7" t="s">
        <v>45</v>
      </c>
      <c r="C17" s="3">
        <v>1</v>
      </c>
      <c r="D17" s="6">
        <f t="shared" si="0"/>
        <v>7150.9433962264147</v>
      </c>
      <c r="E17" s="6">
        <f t="shared" si="1"/>
        <v>189500000</v>
      </c>
      <c r="F17" s="6">
        <v>7150.9433962264147</v>
      </c>
      <c r="G17" s="6">
        <v>189500000</v>
      </c>
      <c r="H17" s="4" t="s">
        <v>50</v>
      </c>
      <c r="I17" s="4" t="s">
        <v>51</v>
      </c>
    </row>
    <row r="18" spans="1:9" ht="28" x14ac:dyDescent="0.35">
      <c r="A18" s="8">
        <v>13</v>
      </c>
      <c r="B18" s="7" t="s">
        <v>76</v>
      </c>
      <c r="C18" s="3">
        <v>1</v>
      </c>
      <c r="D18" s="6">
        <f t="shared" si="0"/>
        <v>5283.0188679245284</v>
      </c>
      <c r="E18" s="6">
        <f t="shared" si="1"/>
        <v>140000000</v>
      </c>
      <c r="F18" s="6">
        <v>5283.0188679245284</v>
      </c>
      <c r="G18" s="6">
        <v>140000000</v>
      </c>
      <c r="H18" s="4" t="s">
        <v>80</v>
      </c>
      <c r="I18" s="4" t="s">
        <v>52</v>
      </c>
    </row>
    <row r="19" spans="1:9" x14ac:dyDescent="0.35">
      <c r="A19" s="8">
        <v>14</v>
      </c>
      <c r="B19" s="7" t="s">
        <v>43</v>
      </c>
      <c r="C19" s="3">
        <v>1</v>
      </c>
      <c r="D19" s="6">
        <f t="shared" si="0"/>
        <v>3773.5849056603774</v>
      </c>
      <c r="E19" s="6">
        <f t="shared" si="1"/>
        <v>100000000</v>
      </c>
      <c r="F19" s="6">
        <v>3773.5849056603774</v>
      </c>
      <c r="G19" s="6">
        <v>100000000</v>
      </c>
      <c r="H19" s="4" t="s">
        <v>48</v>
      </c>
      <c r="I19" s="4" t="s">
        <v>52</v>
      </c>
    </row>
    <row r="20" spans="1:9" x14ac:dyDescent="0.35">
      <c r="A20" s="8">
        <v>15</v>
      </c>
      <c r="B20" s="7" t="s">
        <v>77</v>
      </c>
      <c r="C20" s="3">
        <v>2</v>
      </c>
      <c r="D20" s="6">
        <f t="shared" si="0"/>
        <v>1509.433962264151</v>
      </c>
      <c r="E20" s="6">
        <f t="shared" si="1"/>
        <v>40000000</v>
      </c>
      <c r="F20" s="6">
        <v>3018.867924528302</v>
      </c>
      <c r="G20" s="6">
        <v>80000000</v>
      </c>
      <c r="H20" s="4" t="s">
        <v>46</v>
      </c>
      <c r="I20" s="4" t="s">
        <v>52</v>
      </c>
    </row>
    <row r="21" spans="1:9" ht="28" x14ac:dyDescent="0.35">
      <c r="A21" s="8">
        <v>16</v>
      </c>
      <c r="B21" s="7" t="s">
        <v>44</v>
      </c>
      <c r="C21" s="3">
        <v>2</v>
      </c>
      <c r="D21" s="6">
        <f t="shared" si="0"/>
        <v>1509.433962264151</v>
      </c>
      <c r="E21" s="6">
        <f t="shared" si="1"/>
        <v>40000000</v>
      </c>
      <c r="F21" s="6">
        <v>3018.867924528302</v>
      </c>
      <c r="G21" s="6">
        <v>80000000</v>
      </c>
      <c r="H21" s="4" t="s">
        <v>49</v>
      </c>
      <c r="I21" s="4" t="s">
        <v>53</v>
      </c>
    </row>
    <row r="22" spans="1:9" s="157" customFormat="1" x14ac:dyDescent="0.35">
      <c r="A22" s="155" t="s">
        <v>31</v>
      </c>
      <c r="B22" s="156" t="s">
        <v>10</v>
      </c>
      <c r="C22" s="12">
        <f>SUBTOTAL(9,C23:C23)</f>
        <v>0</v>
      </c>
      <c r="D22" s="12"/>
      <c r="E22" s="12"/>
      <c r="F22" s="12"/>
      <c r="G22" s="12"/>
      <c r="H22" s="18"/>
      <c r="I22" s="18"/>
    </row>
    <row r="23" spans="1:9" x14ac:dyDescent="0.35">
      <c r="A23" s="8"/>
      <c r="B23" s="7"/>
      <c r="C23" s="3"/>
      <c r="D23" s="6"/>
      <c r="E23" s="6"/>
      <c r="F23" s="6"/>
      <c r="G23" s="6"/>
      <c r="H23" s="4"/>
      <c r="I23" s="4"/>
    </row>
    <row r="24" spans="1:9" s="157" customFormat="1" x14ac:dyDescent="0.35">
      <c r="A24" s="155" t="s">
        <v>32</v>
      </c>
      <c r="B24" s="156" t="s">
        <v>11</v>
      </c>
      <c r="C24" s="13"/>
      <c r="D24" s="12"/>
      <c r="E24" s="12"/>
      <c r="F24" s="12"/>
      <c r="G24" s="12"/>
      <c r="H24" s="18"/>
      <c r="I24" s="18"/>
    </row>
    <row r="25" spans="1:9" x14ac:dyDescent="0.35">
      <c r="A25" s="8"/>
      <c r="B25" s="7"/>
      <c r="C25" s="3"/>
      <c r="D25" s="6"/>
      <c r="E25" s="6"/>
      <c r="F25" s="6"/>
      <c r="G25" s="6"/>
      <c r="H25" s="4"/>
      <c r="I25" s="4"/>
    </row>
    <row r="26" spans="1:9" x14ac:dyDescent="0.35">
      <c r="A26" s="155" t="s">
        <v>33</v>
      </c>
      <c r="B26" s="156" t="s">
        <v>34</v>
      </c>
      <c r="C26" s="13">
        <f>SUBTOTAL(9,C27:C28)</f>
        <v>2</v>
      </c>
      <c r="D26" s="12"/>
      <c r="E26" s="12"/>
      <c r="F26" s="12">
        <f>SUBTOTAL(9,F27:F28)</f>
        <v>49947.484276729563</v>
      </c>
      <c r="G26" s="12">
        <f t="shared" ref="G26" si="2">SUBTOTAL(9,G27:G28)</f>
        <v>1323608333.3333335</v>
      </c>
      <c r="H26" s="4"/>
      <c r="I26" s="4"/>
    </row>
    <row r="27" spans="1:9" x14ac:dyDescent="0.35">
      <c r="A27" s="8">
        <v>1</v>
      </c>
      <c r="B27" s="7" t="s">
        <v>82</v>
      </c>
      <c r="C27" s="3">
        <v>1</v>
      </c>
      <c r="D27" s="6">
        <f t="shared" ref="D27:D28" si="3">F27/C27</f>
        <v>39381.446540880504</v>
      </c>
      <c r="E27" s="6">
        <f t="shared" ref="E27:E28" si="4">G27/C27</f>
        <v>1043608333.3333334</v>
      </c>
      <c r="F27" s="6">
        <v>39381.446540880504</v>
      </c>
      <c r="G27" s="6">
        <v>1043608333.3333334</v>
      </c>
      <c r="H27" s="4" t="s">
        <v>50</v>
      </c>
      <c r="I27" s="4" t="s">
        <v>81</v>
      </c>
    </row>
    <row r="28" spans="1:9" x14ac:dyDescent="0.35">
      <c r="A28" s="8">
        <v>2</v>
      </c>
      <c r="B28" s="7" t="s">
        <v>83</v>
      </c>
      <c r="C28" s="3">
        <v>1</v>
      </c>
      <c r="D28" s="6">
        <f t="shared" si="3"/>
        <v>10566.037735849057</v>
      </c>
      <c r="E28" s="6">
        <f t="shared" si="4"/>
        <v>280000000</v>
      </c>
      <c r="F28" s="6">
        <v>10566.037735849057</v>
      </c>
      <c r="G28" s="6">
        <v>280000000</v>
      </c>
      <c r="H28" s="4" t="s">
        <v>50</v>
      </c>
      <c r="I28" s="4" t="s">
        <v>81</v>
      </c>
    </row>
    <row r="29" spans="1:9" s="157" customFormat="1" x14ac:dyDescent="0.35">
      <c r="A29" s="155" t="s">
        <v>35</v>
      </c>
      <c r="B29" s="156" t="s">
        <v>36</v>
      </c>
      <c r="C29" s="13">
        <f>SUBTOTAL(9,C30:C30)</f>
        <v>1</v>
      </c>
      <c r="D29" s="12"/>
      <c r="E29" s="12"/>
      <c r="F29" s="12">
        <f>SUBTOTAL(9,F30:F30)</f>
        <v>593374.33962264156</v>
      </c>
      <c r="G29" s="12">
        <f>SUBTOTAL(9,G30:G30)</f>
        <v>15724420000</v>
      </c>
      <c r="H29" s="18"/>
      <c r="I29" s="18"/>
    </row>
    <row r="30" spans="1:9" x14ac:dyDescent="0.35">
      <c r="A30" s="8">
        <v>1</v>
      </c>
      <c r="B30" s="15" t="s">
        <v>13</v>
      </c>
      <c r="C30" s="3">
        <v>1</v>
      </c>
      <c r="D30" s="6">
        <f t="shared" ref="D30" si="5">F30/C30</f>
        <v>593374.33962264156</v>
      </c>
      <c r="E30" s="6">
        <f t="shared" ref="E30" si="6">G30/C30</f>
        <v>15724420000</v>
      </c>
      <c r="F30" s="6">
        <v>593374.33962264156</v>
      </c>
      <c r="G30" s="6">
        <v>15724420000</v>
      </c>
      <c r="H30" s="4" t="s">
        <v>46</v>
      </c>
      <c r="I30" s="4" t="s">
        <v>51</v>
      </c>
    </row>
    <row r="31" spans="1:9" s="157" customFormat="1" x14ac:dyDescent="0.35">
      <c r="A31" s="155" t="s">
        <v>37</v>
      </c>
      <c r="B31" s="156" t="s">
        <v>14</v>
      </c>
      <c r="C31" s="13">
        <f>SUBTOTAL(9,C32:C36)</f>
        <v>7</v>
      </c>
      <c r="D31" s="12"/>
      <c r="E31" s="12"/>
      <c r="F31" s="12">
        <f t="shared" ref="F31" si="7">SUBTOTAL(9,F32:F36)</f>
        <v>119841.71461132076</v>
      </c>
      <c r="G31" s="12">
        <f>SUBTOTAL(9,G32:G36)</f>
        <v>3175805437.1999998</v>
      </c>
      <c r="H31" s="18"/>
      <c r="I31" s="18"/>
    </row>
    <row r="32" spans="1:9" ht="28" x14ac:dyDescent="0.35">
      <c r="A32" s="8">
        <v>1</v>
      </c>
      <c r="B32" s="7" t="s">
        <v>55</v>
      </c>
      <c r="C32" s="3">
        <v>3</v>
      </c>
      <c r="D32" s="6">
        <f>F32/C32</f>
        <v>23940.445750943396</v>
      </c>
      <c r="E32" s="6">
        <f>G32/C32</f>
        <v>634421812.39999998</v>
      </c>
      <c r="F32" s="6">
        <v>71821.337252830184</v>
      </c>
      <c r="G32" s="6">
        <v>1903265437.2</v>
      </c>
      <c r="H32" s="4" t="s">
        <v>49</v>
      </c>
      <c r="I32" s="4" t="s">
        <v>51</v>
      </c>
    </row>
    <row r="33" spans="1:9" ht="28" x14ac:dyDescent="0.35">
      <c r="A33" s="8">
        <v>2</v>
      </c>
      <c r="B33" s="7" t="s">
        <v>56</v>
      </c>
      <c r="C33" s="3">
        <v>1</v>
      </c>
      <c r="D33" s="6">
        <f>F33/C33</f>
        <v>37265.660377358494</v>
      </c>
      <c r="E33" s="6">
        <f>G33/C33</f>
        <v>987540000</v>
      </c>
      <c r="F33" s="6">
        <v>37265.660377358494</v>
      </c>
      <c r="G33" s="6">
        <v>987540000</v>
      </c>
      <c r="H33" s="4" t="s">
        <v>48</v>
      </c>
      <c r="I33" s="4" t="s">
        <v>52</v>
      </c>
    </row>
    <row r="34" spans="1:9" x14ac:dyDescent="0.35">
      <c r="A34" s="8">
        <v>3</v>
      </c>
      <c r="B34" s="7" t="s">
        <v>57</v>
      </c>
      <c r="C34" s="3">
        <v>1</v>
      </c>
      <c r="D34" s="6">
        <f>F34/C34</f>
        <v>5094.3396226415098</v>
      </c>
      <c r="E34" s="6">
        <f>G34/C34</f>
        <v>135000000</v>
      </c>
      <c r="F34" s="6">
        <v>5094.3396226415098</v>
      </c>
      <c r="G34" s="6">
        <v>135000000</v>
      </c>
      <c r="H34" s="4" t="s">
        <v>46</v>
      </c>
      <c r="I34" s="4" t="s">
        <v>52</v>
      </c>
    </row>
    <row r="35" spans="1:9" ht="28" x14ac:dyDescent="0.35">
      <c r="A35" s="8">
        <v>4</v>
      </c>
      <c r="B35" s="7" t="s">
        <v>58</v>
      </c>
      <c r="C35" s="3">
        <v>1</v>
      </c>
      <c r="D35" s="6">
        <f>F35/C35</f>
        <v>3773.5849056603774</v>
      </c>
      <c r="E35" s="6">
        <f>G35/C35</f>
        <v>100000000</v>
      </c>
      <c r="F35" s="6">
        <v>3773.5849056603774</v>
      </c>
      <c r="G35" s="6">
        <v>100000000</v>
      </c>
      <c r="H35" s="4" t="s">
        <v>48</v>
      </c>
      <c r="I35" s="4" t="s">
        <v>52</v>
      </c>
    </row>
    <row r="36" spans="1:9" x14ac:dyDescent="0.35">
      <c r="A36" s="8">
        <v>5</v>
      </c>
      <c r="B36" s="7" t="s">
        <v>59</v>
      </c>
      <c r="C36" s="3">
        <v>1</v>
      </c>
      <c r="D36" s="6">
        <f>F36/C36</f>
        <v>1886.7924528301887</v>
      </c>
      <c r="E36" s="6">
        <f>G36/C36</f>
        <v>50000000</v>
      </c>
      <c r="F36" s="6">
        <v>1886.7924528301887</v>
      </c>
      <c r="G36" s="6">
        <v>50000000</v>
      </c>
      <c r="H36" s="4" t="s">
        <v>48</v>
      </c>
      <c r="I36" s="4" t="s">
        <v>52</v>
      </c>
    </row>
    <row r="37" spans="1:9" s="157" customFormat="1" x14ac:dyDescent="0.35">
      <c r="A37" s="155" t="s">
        <v>38</v>
      </c>
      <c r="B37" s="156" t="s">
        <v>15</v>
      </c>
      <c r="C37" s="12">
        <f>SUBTOTAL(9,C38)</f>
        <v>1</v>
      </c>
      <c r="D37" s="12"/>
      <c r="E37" s="12"/>
      <c r="F37" s="12">
        <f>SUBTOTAL(9,F38)</f>
        <v>18415.094339622643</v>
      </c>
      <c r="G37" s="12">
        <f>SUBTOTAL(9,G38)</f>
        <v>488000000</v>
      </c>
      <c r="H37" s="18"/>
      <c r="I37" s="18"/>
    </row>
    <row r="38" spans="1:9" x14ac:dyDescent="0.35">
      <c r="A38" s="8"/>
      <c r="B38" s="7" t="s">
        <v>54</v>
      </c>
      <c r="C38" s="3">
        <v>1</v>
      </c>
      <c r="D38" s="6"/>
      <c r="E38" s="6"/>
      <c r="F38" s="6">
        <v>18415.094339622643</v>
      </c>
      <c r="G38" s="6">
        <v>488000000</v>
      </c>
      <c r="H38" s="4" t="s">
        <v>48</v>
      </c>
      <c r="I38" s="4" t="s">
        <v>52</v>
      </c>
    </row>
    <row r="39" spans="1:9" s="157" customFormat="1" x14ac:dyDescent="0.35">
      <c r="A39" s="155" t="s">
        <v>39</v>
      </c>
      <c r="B39" s="156" t="s">
        <v>16</v>
      </c>
      <c r="C39" s="12">
        <f>SUBTOTAL(9,C40:C54)</f>
        <v>31</v>
      </c>
      <c r="D39" s="12"/>
      <c r="E39" s="12"/>
      <c r="F39" s="12">
        <f>SUBTOTAL(9,F40:F54)</f>
        <v>511110.94339622644</v>
      </c>
      <c r="G39" s="12">
        <f>SUBTOTAL(9,G40:G54)</f>
        <v>13544440000</v>
      </c>
      <c r="H39" s="18"/>
      <c r="I39" s="18"/>
    </row>
    <row r="40" spans="1:9" ht="28" x14ac:dyDescent="0.35">
      <c r="A40" s="8">
        <v>1</v>
      </c>
      <c r="B40" s="7" t="s">
        <v>67</v>
      </c>
      <c r="C40" s="3">
        <v>4</v>
      </c>
      <c r="D40" s="6">
        <f t="shared" ref="D40:D54" si="8">F40/C40</f>
        <v>24528.301886792451</v>
      </c>
      <c r="E40" s="6">
        <f t="shared" ref="E40:E54" si="9">G40/C40</f>
        <v>650000000</v>
      </c>
      <c r="F40" s="6">
        <v>98113.207547169804</v>
      </c>
      <c r="G40" s="6">
        <v>2600000000</v>
      </c>
      <c r="H40" s="4" t="s">
        <v>49</v>
      </c>
      <c r="I40" s="4" t="s">
        <v>51</v>
      </c>
    </row>
    <row r="41" spans="1:9" ht="42" x14ac:dyDescent="0.35">
      <c r="A41" s="8">
        <v>2</v>
      </c>
      <c r="B41" s="7" t="s">
        <v>91</v>
      </c>
      <c r="C41" s="3">
        <v>2</v>
      </c>
      <c r="D41" s="6">
        <f t="shared" si="8"/>
        <v>42641.509433962266</v>
      </c>
      <c r="E41" s="6">
        <f t="shared" si="9"/>
        <v>1130000000</v>
      </c>
      <c r="F41" s="6">
        <v>85283.018867924533</v>
      </c>
      <c r="G41" s="6">
        <v>2260000000</v>
      </c>
      <c r="H41" s="4" t="s">
        <v>49</v>
      </c>
      <c r="I41" s="4" t="s">
        <v>51</v>
      </c>
    </row>
    <row r="42" spans="1:9" x14ac:dyDescent="0.35">
      <c r="A42" s="8">
        <v>3</v>
      </c>
      <c r="B42" s="7" t="s">
        <v>88</v>
      </c>
      <c r="C42" s="3">
        <v>1</v>
      </c>
      <c r="D42" s="6">
        <f t="shared" si="8"/>
        <v>81037.735849056597</v>
      </c>
      <c r="E42" s="6">
        <f t="shared" si="9"/>
        <v>2147500000</v>
      </c>
      <c r="F42" s="6">
        <v>81037.735849056597</v>
      </c>
      <c r="G42" s="6">
        <v>2147500000</v>
      </c>
      <c r="H42" s="4" t="s">
        <v>46</v>
      </c>
      <c r="I42" s="4" t="s">
        <v>51</v>
      </c>
    </row>
    <row r="43" spans="1:9" ht="28" x14ac:dyDescent="0.35">
      <c r="A43" s="8">
        <v>4</v>
      </c>
      <c r="B43" s="7" t="s">
        <v>65</v>
      </c>
      <c r="C43" s="3">
        <v>1</v>
      </c>
      <c r="D43" s="6">
        <f t="shared" si="8"/>
        <v>47141.132075471694</v>
      </c>
      <c r="E43" s="6">
        <f t="shared" si="9"/>
        <v>1249240000</v>
      </c>
      <c r="F43" s="6">
        <v>47141.132075471694</v>
      </c>
      <c r="G43" s="6">
        <v>1249240000</v>
      </c>
      <c r="H43" s="4" t="s">
        <v>46</v>
      </c>
      <c r="I43" s="4" t="s">
        <v>53</v>
      </c>
    </row>
    <row r="44" spans="1:9" x14ac:dyDescent="0.35">
      <c r="A44" s="8">
        <v>5</v>
      </c>
      <c r="B44" s="7" t="s">
        <v>61</v>
      </c>
      <c r="C44" s="3">
        <v>4</v>
      </c>
      <c r="D44" s="6">
        <f t="shared" si="8"/>
        <v>9886.7924528301883</v>
      </c>
      <c r="E44" s="6">
        <f t="shared" si="9"/>
        <v>262000000</v>
      </c>
      <c r="F44" s="6">
        <v>39547.169811320753</v>
      </c>
      <c r="G44" s="6">
        <v>1048000000</v>
      </c>
      <c r="H44" s="4" t="s">
        <v>46</v>
      </c>
      <c r="I44" s="4" t="s">
        <v>51</v>
      </c>
    </row>
    <row r="45" spans="1:9" ht="28" x14ac:dyDescent="0.35">
      <c r="A45" s="8">
        <v>6</v>
      </c>
      <c r="B45" s="7" t="s">
        <v>42</v>
      </c>
      <c r="C45" s="3">
        <v>2</v>
      </c>
      <c r="D45" s="6">
        <f t="shared" si="8"/>
        <v>18550.943396226412</v>
      </c>
      <c r="E45" s="6">
        <f t="shared" si="9"/>
        <v>491600000</v>
      </c>
      <c r="F45" s="6">
        <v>37101.886792452824</v>
      </c>
      <c r="G45" s="6">
        <v>983200000</v>
      </c>
      <c r="H45" s="4" t="s">
        <v>47</v>
      </c>
      <c r="I45" s="4" t="s">
        <v>51</v>
      </c>
    </row>
    <row r="46" spans="1:9" x14ac:dyDescent="0.35">
      <c r="A46" s="8">
        <v>7</v>
      </c>
      <c r="B46" s="7" t="s">
        <v>62</v>
      </c>
      <c r="C46" s="3">
        <v>1</v>
      </c>
      <c r="D46" s="6">
        <f t="shared" si="8"/>
        <v>30528.301886792451</v>
      </c>
      <c r="E46" s="6">
        <f t="shared" si="9"/>
        <v>809000000</v>
      </c>
      <c r="F46" s="6">
        <v>30528.301886792451</v>
      </c>
      <c r="G46" s="6">
        <v>809000000</v>
      </c>
      <c r="H46" s="4" t="s">
        <v>47</v>
      </c>
      <c r="I46" s="4" t="s">
        <v>51</v>
      </c>
    </row>
    <row r="47" spans="1:9" x14ac:dyDescent="0.35">
      <c r="A47" s="8">
        <v>8</v>
      </c>
      <c r="B47" s="7" t="s">
        <v>66</v>
      </c>
      <c r="C47" s="3">
        <v>1</v>
      </c>
      <c r="D47" s="6">
        <f t="shared" si="8"/>
        <v>25000</v>
      </c>
      <c r="E47" s="6">
        <f t="shared" si="9"/>
        <v>662500000</v>
      </c>
      <c r="F47" s="6">
        <v>25000</v>
      </c>
      <c r="G47" s="6">
        <v>662500000</v>
      </c>
      <c r="H47" s="4" t="s">
        <v>47</v>
      </c>
      <c r="I47" s="4" t="s">
        <v>70</v>
      </c>
    </row>
    <row r="48" spans="1:9" x14ac:dyDescent="0.35">
      <c r="A48" s="8">
        <v>9</v>
      </c>
      <c r="B48" s="7" t="s">
        <v>68</v>
      </c>
      <c r="C48" s="3">
        <v>2</v>
      </c>
      <c r="D48" s="6">
        <f t="shared" si="8"/>
        <v>10000</v>
      </c>
      <c r="E48" s="6">
        <f t="shared" si="9"/>
        <v>265000000</v>
      </c>
      <c r="F48" s="6">
        <v>20000</v>
      </c>
      <c r="G48" s="6">
        <v>530000000</v>
      </c>
      <c r="H48" s="4" t="s">
        <v>47</v>
      </c>
      <c r="I48" s="4" t="s">
        <v>51</v>
      </c>
    </row>
    <row r="49" spans="1:9" x14ac:dyDescent="0.35">
      <c r="A49" s="8">
        <v>10</v>
      </c>
      <c r="B49" s="7" t="s">
        <v>64</v>
      </c>
      <c r="C49" s="3">
        <v>7</v>
      </c>
      <c r="D49" s="6">
        <f t="shared" si="8"/>
        <v>2830.1886792452829</v>
      </c>
      <c r="E49" s="6">
        <f t="shared" si="9"/>
        <v>75000000</v>
      </c>
      <c r="F49" s="6">
        <v>19811.32075471698</v>
      </c>
      <c r="G49" s="6">
        <v>525000000</v>
      </c>
      <c r="H49" s="4" t="s">
        <v>49</v>
      </c>
      <c r="I49" s="4" t="s">
        <v>52</v>
      </c>
    </row>
    <row r="50" spans="1:9" ht="28" x14ac:dyDescent="0.35">
      <c r="A50" s="8">
        <v>11</v>
      </c>
      <c r="B50" s="7" t="s">
        <v>63</v>
      </c>
      <c r="C50" s="3">
        <v>1</v>
      </c>
      <c r="D50" s="6">
        <f t="shared" si="8"/>
        <v>10000</v>
      </c>
      <c r="E50" s="6">
        <f t="shared" si="9"/>
        <v>265000000</v>
      </c>
      <c r="F50" s="6">
        <v>10000</v>
      </c>
      <c r="G50" s="6">
        <v>265000000</v>
      </c>
      <c r="H50" s="4" t="s">
        <v>46</v>
      </c>
      <c r="I50" s="4" t="s">
        <v>51</v>
      </c>
    </row>
    <row r="51" spans="1:9" x14ac:dyDescent="0.35">
      <c r="A51" s="8">
        <v>12</v>
      </c>
      <c r="B51" s="7" t="s">
        <v>69</v>
      </c>
      <c r="C51" s="3">
        <v>1</v>
      </c>
      <c r="D51" s="6">
        <f t="shared" si="8"/>
        <v>10000</v>
      </c>
      <c r="E51" s="6">
        <f t="shared" si="9"/>
        <v>265000000</v>
      </c>
      <c r="F51" s="6">
        <v>10000</v>
      </c>
      <c r="G51" s="6">
        <v>265000000</v>
      </c>
      <c r="H51" s="4" t="s">
        <v>46</v>
      </c>
      <c r="I51" s="4" t="s">
        <v>51</v>
      </c>
    </row>
    <row r="52" spans="1:9" ht="28" x14ac:dyDescent="0.35">
      <c r="A52" s="8">
        <v>13</v>
      </c>
      <c r="B52" s="7" t="s">
        <v>89</v>
      </c>
      <c r="C52" s="3">
        <v>2</v>
      </c>
      <c r="D52" s="6">
        <f t="shared" si="8"/>
        <v>1509.433962264151</v>
      </c>
      <c r="E52" s="6">
        <f t="shared" si="9"/>
        <v>40000000</v>
      </c>
      <c r="F52" s="6">
        <v>3018.867924528302</v>
      </c>
      <c r="G52" s="6">
        <v>80000000</v>
      </c>
      <c r="H52" s="4" t="s">
        <v>46</v>
      </c>
      <c r="I52" s="4" t="s">
        <v>52</v>
      </c>
    </row>
    <row r="53" spans="1:9" x14ac:dyDescent="0.35">
      <c r="A53" s="8">
        <v>14</v>
      </c>
      <c r="B53" s="7" t="s">
        <v>86</v>
      </c>
      <c r="C53" s="3">
        <v>1</v>
      </c>
      <c r="D53" s="6">
        <f t="shared" si="8"/>
        <v>3018.867924528302</v>
      </c>
      <c r="E53" s="6">
        <f t="shared" si="9"/>
        <v>80000000</v>
      </c>
      <c r="F53" s="6">
        <v>3018.867924528302</v>
      </c>
      <c r="G53" s="6">
        <v>80000000</v>
      </c>
      <c r="H53" s="4" t="s">
        <v>50</v>
      </c>
      <c r="I53" s="4" t="s">
        <v>70</v>
      </c>
    </row>
    <row r="54" spans="1:9" x14ac:dyDescent="0.35">
      <c r="A54" s="8">
        <v>15</v>
      </c>
      <c r="B54" s="7" t="s">
        <v>90</v>
      </c>
      <c r="C54" s="3">
        <v>1</v>
      </c>
      <c r="D54" s="6">
        <f t="shared" si="8"/>
        <v>1509.433962264151</v>
      </c>
      <c r="E54" s="6">
        <f t="shared" si="9"/>
        <v>40000000</v>
      </c>
      <c r="F54" s="6">
        <v>1509.433962264151</v>
      </c>
      <c r="G54" s="6">
        <v>40000000</v>
      </c>
      <c r="H54" s="4" t="s">
        <v>46</v>
      </c>
      <c r="I54" s="4" t="s">
        <v>52</v>
      </c>
    </row>
    <row r="55" spans="1:9" s="157" customFormat="1" x14ac:dyDescent="0.35">
      <c r="A55" s="155" t="s">
        <v>40</v>
      </c>
      <c r="B55" s="156" t="s">
        <v>17</v>
      </c>
      <c r="C55" s="13"/>
      <c r="D55" s="12"/>
      <c r="E55" s="12"/>
      <c r="F55" s="12"/>
      <c r="G55" s="12"/>
      <c r="H55" s="18"/>
      <c r="I55" s="18"/>
    </row>
    <row r="56" spans="1:9" x14ac:dyDescent="0.35">
      <c r="A56" s="158"/>
      <c r="B56" s="160"/>
      <c r="C56" s="3"/>
      <c r="D56" s="6"/>
      <c r="E56" s="6"/>
      <c r="F56" s="6"/>
      <c r="G56" s="6"/>
      <c r="H56" s="4"/>
      <c r="I56" s="4"/>
    </row>
    <row r="57" spans="1:9" s="162" customFormat="1" x14ac:dyDescent="0.35">
      <c r="A57" s="16"/>
      <c r="B57" s="161" t="s">
        <v>7</v>
      </c>
      <c r="C57" s="12">
        <f>SUBTOTAL(9,C3:C56)</f>
        <v>63</v>
      </c>
      <c r="D57" s="12"/>
      <c r="E57" s="12"/>
      <c r="F57" s="12">
        <f>SUBTOTAL(9,F3:F56)</f>
        <v>1987400.8385861635</v>
      </c>
      <c r="G57" s="12">
        <f>SUBTOTAL(9,G3:G56)</f>
        <v>52666122222.533325</v>
      </c>
      <c r="H57" s="19"/>
      <c r="I57" s="19"/>
    </row>
  </sheetData>
  <sortState xmlns:xlrd2="http://schemas.microsoft.com/office/spreadsheetml/2017/richdata2" ref="B6:I21">
    <sortCondition descending="1" ref="G6:G21"/>
  </sortState>
  <mergeCells count="7">
    <mergeCell ref="I1:I2"/>
    <mergeCell ref="A1:A2"/>
    <mergeCell ref="B1:B2"/>
    <mergeCell ref="C1:C2"/>
    <mergeCell ref="D1:E1"/>
    <mergeCell ref="F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713B-6FAD-4265-9CD1-C177E09506C2}">
  <dimension ref="A3:D15"/>
  <sheetViews>
    <sheetView workbookViewId="0">
      <selection activeCell="B14" sqref="B14"/>
    </sheetView>
  </sheetViews>
  <sheetFormatPr defaultRowHeight="14.5" x14ac:dyDescent="0.35"/>
  <cols>
    <col min="1" max="1" width="31.26953125" bestFit="1" customWidth="1"/>
    <col min="2" max="2" width="16.90625" style="11" bestFit="1" customWidth="1"/>
    <col min="3" max="3" width="13.81640625" style="11" bestFit="1" customWidth="1"/>
    <col min="4" max="4" width="14.81640625" style="11" bestFit="1" customWidth="1"/>
    <col min="5" max="5" width="15.81640625" bestFit="1" customWidth="1"/>
  </cols>
  <sheetData>
    <row r="3" spans="1:4" x14ac:dyDescent="0.35">
      <c r="A3" s="141" t="s">
        <v>375</v>
      </c>
      <c r="B3" s="144" t="s">
        <v>374</v>
      </c>
      <c r="C3" s="143"/>
      <c r="D3" s="143"/>
    </row>
    <row r="4" spans="1:4" x14ac:dyDescent="0.35">
      <c r="A4" s="141" t="s">
        <v>372</v>
      </c>
      <c r="B4" s="143" t="s">
        <v>5</v>
      </c>
      <c r="C4" s="143" t="s">
        <v>6</v>
      </c>
      <c r="D4" s="143" t="s">
        <v>373</v>
      </c>
    </row>
    <row r="5" spans="1:4" x14ac:dyDescent="0.35">
      <c r="A5" s="142" t="s">
        <v>15</v>
      </c>
      <c r="B5" s="143"/>
      <c r="C5" s="143">
        <v>488000000</v>
      </c>
      <c r="D5" s="143">
        <v>488000000</v>
      </c>
    </row>
    <row r="6" spans="1:4" x14ac:dyDescent="0.35">
      <c r="A6" s="142" t="s">
        <v>14</v>
      </c>
      <c r="B6" s="143">
        <v>3175805437.1999998</v>
      </c>
      <c r="C6" s="143"/>
      <c r="D6" s="143">
        <v>3175805437.1999998</v>
      </c>
    </row>
    <row r="7" spans="1:4" x14ac:dyDescent="0.35">
      <c r="A7" s="142" t="s">
        <v>16</v>
      </c>
      <c r="B7" s="143">
        <v>13544440000</v>
      </c>
      <c r="C7" s="143"/>
      <c r="D7" s="143">
        <v>13544440000</v>
      </c>
    </row>
    <row r="8" spans="1:4" x14ac:dyDescent="0.35">
      <c r="A8" s="142" t="s">
        <v>9</v>
      </c>
      <c r="B8" s="143">
        <v>13477248452</v>
      </c>
      <c r="C8" s="143">
        <v>4932600000</v>
      </c>
      <c r="D8" s="143">
        <v>18409848452</v>
      </c>
    </row>
    <row r="9" spans="1:4" x14ac:dyDescent="0.35">
      <c r="A9" s="142" t="s">
        <v>12</v>
      </c>
      <c r="B9" s="143">
        <v>1323608333.3333335</v>
      </c>
      <c r="C9" s="143"/>
      <c r="D9" s="143">
        <v>1323608333.3333335</v>
      </c>
    </row>
    <row r="10" spans="1:4" x14ac:dyDescent="0.35">
      <c r="A10" s="142" t="s">
        <v>13</v>
      </c>
      <c r="B10" s="143">
        <v>15724420000</v>
      </c>
      <c r="C10" s="143"/>
      <c r="D10" s="143">
        <v>15724420000</v>
      </c>
    </row>
    <row r="11" spans="1:4" x14ac:dyDescent="0.35">
      <c r="A11" s="142" t="s">
        <v>373</v>
      </c>
      <c r="B11" s="143">
        <v>47245522222.533333</v>
      </c>
      <c r="C11" s="143">
        <v>5420600000</v>
      </c>
      <c r="D11" s="143">
        <v>52666122222.533333</v>
      </c>
    </row>
    <row r="12" spans="1:4" x14ac:dyDescent="0.35">
      <c r="B12"/>
      <c r="C12"/>
      <c r="D12"/>
    </row>
    <row r="13" spans="1:4" x14ac:dyDescent="0.35">
      <c r="B13"/>
      <c r="C13"/>
      <c r="D13"/>
    </row>
    <row r="14" spans="1:4" x14ac:dyDescent="0.35">
      <c r="B14"/>
      <c r="C14"/>
      <c r="D14"/>
    </row>
    <row r="15" spans="1:4" x14ac:dyDescent="0.35">
      <c r="B15"/>
      <c r="C15"/>
      <c r="D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A1D0-9E9E-4403-956D-FA2FB0D8FDFE}">
  <dimension ref="A3:D13"/>
  <sheetViews>
    <sheetView workbookViewId="0">
      <selection activeCell="B14" sqref="B14"/>
    </sheetView>
  </sheetViews>
  <sheetFormatPr defaultRowHeight="14.5" x14ac:dyDescent="0.35"/>
  <cols>
    <col min="1" max="1" width="31.81640625" bestFit="1" customWidth="1"/>
    <col min="2" max="2" width="16.90625" style="11" bestFit="1" customWidth="1"/>
    <col min="3" max="3" width="9.08984375" style="11" bestFit="1" customWidth="1"/>
    <col min="4" max="4" width="11.6328125" style="11" bestFit="1" customWidth="1"/>
    <col min="5" max="5" width="11.81640625" bestFit="1" customWidth="1"/>
  </cols>
  <sheetData>
    <row r="3" spans="1:4" x14ac:dyDescent="0.35">
      <c r="A3" s="141" t="s">
        <v>376</v>
      </c>
      <c r="B3" s="144" t="s">
        <v>374</v>
      </c>
      <c r="C3" s="143"/>
      <c r="D3" s="143"/>
    </row>
    <row r="4" spans="1:4" x14ac:dyDescent="0.35">
      <c r="A4" s="141" t="s">
        <v>372</v>
      </c>
      <c r="B4" s="143" t="s">
        <v>5</v>
      </c>
      <c r="C4" s="143" t="s">
        <v>6</v>
      </c>
      <c r="D4" s="143" t="s">
        <v>373</v>
      </c>
    </row>
    <row r="5" spans="1:4" x14ac:dyDescent="0.35">
      <c r="A5" s="142" t="s">
        <v>15</v>
      </c>
      <c r="B5" s="143">
        <v>1786.34</v>
      </c>
      <c r="C5" s="143"/>
      <c r="D5" s="143">
        <v>1786.34</v>
      </c>
    </row>
    <row r="6" spans="1:4" x14ac:dyDescent="0.35">
      <c r="A6" s="142" t="s">
        <v>14</v>
      </c>
      <c r="B6" s="143">
        <v>1298.16715</v>
      </c>
      <c r="C6" s="143"/>
      <c r="D6" s="143">
        <v>1298.16715</v>
      </c>
    </row>
    <row r="7" spans="1:4" x14ac:dyDescent="0.35">
      <c r="A7" s="142" t="s">
        <v>16</v>
      </c>
      <c r="B7" s="143">
        <v>19861.220504000001</v>
      </c>
      <c r="C7" s="143">
        <v>814.53634299999999</v>
      </c>
      <c r="D7" s="143">
        <v>20675.756847000001</v>
      </c>
    </row>
    <row r="8" spans="1:4" x14ac:dyDescent="0.35">
      <c r="A8" s="142" t="s">
        <v>9</v>
      </c>
      <c r="B8" s="143">
        <v>76946.71154199999</v>
      </c>
      <c r="C8" s="143">
        <v>530</v>
      </c>
      <c r="D8" s="143">
        <v>77476.71154199999</v>
      </c>
    </row>
    <row r="9" spans="1:4" x14ac:dyDescent="0.35">
      <c r="A9" s="142" t="s">
        <v>8</v>
      </c>
      <c r="B9" s="143">
        <v>183452</v>
      </c>
      <c r="C9" s="143"/>
      <c r="D9" s="143">
        <v>183452</v>
      </c>
    </row>
    <row r="10" spans="1:4" x14ac:dyDescent="0.35">
      <c r="A10" s="142" t="s">
        <v>12</v>
      </c>
      <c r="B10" s="143">
        <v>373.99840000000006</v>
      </c>
      <c r="C10" s="143"/>
      <c r="D10" s="143">
        <v>373.99840000000006</v>
      </c>
    </row>
    <row r="11" spans="1:4" x14ac:dyDescent="0.35">
      <c r="A11" s="142" t="s">
        <v>10</v>
      </c>
      <c r="B11" s="143">
        <v>8005.7451460000002</v>
      </c>
      <c r="C11" s="143"/>
      <c r="D11" s="143">
        <v>8005.7451460000002</v>
      </c>
    </row>
    <row r="12" spans="1:4" x14ac:dyDescent="0.35">
      <c r="A12" s="142" t="s">
        <v>373</v>
      </c>
      <c r="B12" s="143">
        <v>291724.18274199998</v>
      </c>
      <c r="C12" s="143">
        <v>1344.536343</v>
      </c>
      <c r="D12" s="143">
        <v>293068.71908499999</v>
      </c>
    </row>
    <row r="13" spans="1:4" x14ac:dyDescent="0.35">
      <c r="B13"/>
      <c r="C13"/>
      <c r="D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BE97-2783-412F-8D93-0C98A8C65C6D}">
  <dimension ref="A1:O44"/>
  <sheetViews>
    <sheetView workbookViewId="0">
      <selection activeCell="B14" sqref="B14"/>
    </sheetView>
  </sheetViews>
  <sheetFormatPr defaultRowHeight="14" x14ac:dyDescent="0.3"/>
  <cols>
    <col min="1" max="1" width="8.7265625" style="27"/>
    <col min="2" max="2" width="19.08984375" style="27" bestFit="1" customWidth="1"/>
    <col min="3" max="3" width="32.1796875" style="139" customWidth="1"/>
    <col min="4" max="4" width="14.7265625" style="139" customWidth="1"/>
    <col min="5" max="5" width="40.54296875" style="27" customWidth="1"/>
    <col min="6" max="6" width="16.6328125" style="27" bestFit="1" customWidth="1"/>
    <col min="7" max="7" width="8.7265625" style="27"/>
    <col min="8" max="8" width="16.6328125" style="27" bestFit="1" customWidth="1"/>
    <col min="9" max="9" width="11.26953125" style="27" bestFit="1" customWidth="1"/>
    <col min="10" max="10" width="10.453125" style="27" bestFit="1" customWidth="1"/>
    <col min="11" max="11" width="8.7265625" style="27"/>
    <col min="12" max="12" width="36.7265625" style="27" customWidth="1"/>
    <col min="13" max="16384" width="8.7265625" style="27"/>
  </cols>
  <sheetData>
    <row r="1" spans="1:15" ht="56" x14ac:dyDescent="0.3">
      <c r="A1" s="23" t="s">
        <v>0</v>
      </c>
      <c r="B1" s="23" t="s">
        <v>24</v>
      </c>
      <c r="C1" s="23" t="s">
        <v>1</v>
      </c>
      <c r="D1" s="23" t="s">
        <v>93</v>
      </c>
      <c r="E1" s="23" t="s">
        <v>94</v>
      </c>
      <c r="F1" s="24" t="s">
        <v>95</v>
      </c>
      <c r="G1" s="24" t="s">
        <v>20</v>
      </c>
      <c r="H1" s="23" t="s">
        <v>96</v>
      </c>
      <c r="I1" s="23" t="s">
        <v>97</v>
      </c>
      <c r="J1" s="23" t="s">
        <v>23</v>
      </c>
      <c r="K1" s="23" t="s">
        <v>98</v>
      </c>
      <c r="L1" s="23" t="s">
        <v>99</v>
      </c>
      <c r="M1" s="23" t="s">
        <v>100</v>
      </c>
      <c r="N1" s="25" t="s">
        <v>101</v>
      </c>
      <c r="O1" s="26" t="s">
        <v>102</v>
      </c>
    </row>
    <row r="2" spans="1:15" x14ac:dyDescent="0.3">
      <c r="A2" s="28"/>
      <c r="B2" s="28"/>
      <c r="C2" s="151"/>
      <c r="D2" s="151"/>
      <c r="E2" s="28" t="s">
        <v>103</v>
      </c>
      <c r="F2" s="29">
        <f>F3+F39</f>
        <v>35091721812.400002</v>
      </c>
      <c r="G2" s="29">
        <f>G3+G39</f>
        <v>63</v>
      </c>
      <c r="H2" s="29">
        <f>H3+H39</f>
        <v>52666122222.533333</v>
      </c>
      <c r="I2" s="29">
        <f>I3+I39</f>
        <v>1987400.8385861632</v>
      </c>
      <c r="J2" s="28"/>
      <c r="K2" s="28"/>
      <c r="L2" s="28"/>
      <c r="M2" s="28"/>
      <c r="N2" s="30"/>
      <c r="O2" s="31"/>
    </row>
    <row r="3" spans="1:15" x14ac:dyDescent="0.3">
      <c r="A3" s="32" t="s">
        <v>104</v>
      </c>
      <c r="B3" s="32"/>
      <c r="C3" s="33"/>
      <c r="D3" s="33"/>
      <c r="E3" s="33" t="s">
        <v>105</v>
      </c>
      <c r="F3" s="34">
        <f>SUBTOTAL(9,F4:F38)</f>
        <v>31722221812.400002</v>
      </c>
      <c r="G3" s="34">
        <f>SUBTOTAL(9,G4:G38)</f>
        <v>54</v>
      </c>
      <c r="H3" s="34">
        <f>SUBTOTAL(9,H4:H38)</f>
        <v>47081622222.533333</v>
      </c>
      <c r="I3" s="34">
        <f>SUBTOTAL(9,I4:I38)</f>
        <v>1776664.9895295596</v>
      </c>
      <c r="J3" s="35"/>
      <c r="K3" s="35"/>
      <c r="L3" s="35"/>
      <c r="M3" s="35"/>
      <c r="N3" s="36"/>
      <c r="O3" s="37"/>
    </row>
    <row r="4" spans="1:15" ht="28" x14ac:dyDescent="0.3">
      <c r="A4" s="38">
        <v>1</v>
      </c>
      <c r="B4" s="39" t="s">
        <v>51</v>
      </c>
      <c r="C4" s="40" t="s">
        <v>13</v>
      </c>
      <c r="D4" s="41" t="s">
        <v>5</v>
      </c>
      <c r="E4" s="42" t="s">
        <v>87</v>
      </c>
      <c r="F4" s="43">
        <v>15724420000</v>
      </c>
      <c r="G4" s="17">
        <v>1</v>
      </c>
      <c r="H4" s="43">
        <v>15724420000</v>
      </c>
      <c r="I4" s="44">
        <v>593374.33962264156</v>
      </c>
      <c r="J4" s="42" t="s">
        <v>46</v>
      </c>
      <c r="K4" s="42" t="s">
        <v>106</v>
      </c>
      <c r="L4" s="42" t="s">
        <v>107</v>
      </c>
      <c r="M4" s="45">
        <v>1</v>
      </c>
      <c r="N4" s="46">
        <v>46023</v>
      </c>
      <c r="O4" s="47">
        <v>46174</v>
      </c>
    </row>
    <row r="5" spans="1:15" ht="28" x14ac:dyDescent="0.3">
      <c r="A5" s="38">
        <v>2</v>
      </c>
      <c r="B5" s="39" t="s">
        <v>51</v>
      </c>
      <c r="C5" s="50" t="s">
        <v>9</v>
      </c>
      <c r="D5" s="50" t="s">
        <v>6</v>
      </c>
      <c r="E5" s="42" t="s">
        <v>41</v>
      </c>
      <c r="F5" s="43">
        <v>2341300000</v>
      </c>
      <c r="G5" s="17">
        <v>2</v>
      </c>
      <c r="H5" s="43">
        <v>4682600000</v>
      </c>
      <c r="I5" s="44">
        <v>176701.88679245283</v>
      </c>
      <c r="J5" s="42" t="s">
        <v>46</v>
      </c>
      <c r="K5" s="42" t="s">
        <v>108</v>
      </c>
      <c r="L5" s="42" t="s">
        <v>109</v>
      </c>
      <c r="M5" s="45">
        <v>1</v>
      </c>
      <c r="N5" s="46">
        <v>46023</v>
      </c>
      <c r="O5" s="47">
        <v>46113</v>
      </c>
    </row>
    <row r="6" spans="1:15" ht="42" x14ac:dyDescent="0.3">
      <c r="A6" s="38">
        <v>3</v>
      </c>
      <c r="B6" s="39" t="s">
        <v>51</v>
      </c>
      <c r="C6" s="40" t="s">
        <v>16</v>
      </c>
      <c r="D6" s="41" t="s">
        <v>5</v>
      </c>
      <c r="E6" s="42" t="s">
        <v>91</v>
      </c>
      <c r="F6" s="43">
        <v>1130000000</v>
      </c>
      <c r="G6" s="17">
        <v>2</v>
      </c>
      <c r="H6" s="43">
        <v>2260000000</v>
      </c>
      <c r="I6" s="44">
        <v>85283.018867924533</v>
      </c>
      <c r="J6" s="42" t="s">
        <v>49</v>
      </c>
      <c r="K6" s="42" t="s">
        <v>110</v>
      </c>
      <c r="L6" s="42" t="s">
        <v>111</v>
      </c>
      <c r="M6" s="45">
        <v>1</v>
      </c>
      <c r="N6" s="46">
        <v>45992</v>
      </c>
      <c r="O6" s="47">
        <v>46023</v>
      </c>
    </row>
    <row r="7" spans="1:15" ht="28" x14ac:dyDescent="0.3">
      <c r="A7" s="38">
        <v>4</v>
      </c>
      <c r="B7" s="39" t="s">
        <v>51</v>
      </c>
      <c r="C7" s="40" t="s">
        <v>16</v>
      </c>
      <c r="D7" s="41" t="s">
        <v>5</v>
      </c>
      <c r="E7" s="42" t="s">
        <v>88</v>
      </c>
      <c r="F7" s="43">
        <v>2147500000</v>
      </c>
      <c r="G7" s="17">
        <v>1</v>
      </c>
      <c r="H7" s="43">
        <v>2147500000</v>
      </c>
      <c r="I7" s="44">
        <v>81037.735849056597</v>
      </c>
      <c r="J7" s="42" t="s">
        <v>46</v>
      </c>
      <c r="K7" s="42" t="s">
        <v>112</v>
      </c>
      <c r="L7" s="42" t="s">
        <v>113</v>
      </c>
      <c r="M7" s="45">
        <v>1</v>
      </c>
      <c r="N7" s="46">
        <v>46023</v>
      </c>
      <c r="O7" s="47">
        <v>46082</v>
      </c>
    </row>
    <row r="8" spans="1:15" ht="56" x14ac:dyDescent="0.3">
      <c r="A8" s="38">
        <v>5</v>
      </c>
      <c r="B8" s="39" t="s">
        <v>51</v>
      </c>
      <c r="C8" s="50" t="s">
        <v>9</v>
      </c>
      <c r="D8" s="41" t="s">
        <v>5</v>
      </c>
      <c r="E8" s="42" t="s">
        <v>71</v>
      </c>
      <c r="F8" s="43">
        <v>2100000000</v>
      </c>
      <c r="G8" s="17">
        <v>1</v>
      </c>
      <c r="H8" s="43">
        <v>2100000000</v>
      </c>
      <c r="I8" s="44">
        <v>79245.283018867922</v>
      </c>
      <c r="J8" s="42" t="s">
        <v>46</v>
      </c>
      <c r="K8" s="42" t="s">
        <v>114</v>
      </c>
      <c r="L8" s="42" t="s">
        <v>115</v>
      </c>
      <c r="M8" s="45">
        <v>1</v>
      </c>
      <c r="N8" s="46">
        <v>46082</v>
      </c>
      <c r="O8" s="47">
        <v>46174</v>
      </c>
    </row>
    <row r="9" spans="1:15" ht="28" x14ac:dyDescent="0.3">
      <c r="A9" s="38">
        <v>6</v>
      </c>
      <c r="B9" s="39" t="s">
        <v>51</v>
      </c>
      <c r="C9" s="50" t="s">
        <v>14</v>
      </c>
      <c r="D9" s="41" t="s">
        <v>5</v>
      </c>
      <c r="E9" s="42" t="s">
        <v>55</v>
      </c>
      <c r="F9" s="43">
        <v>634421812.39999998</v>
      </c>
      <c r="G9" s="17">
        <v>3</v>
      </c>
      <c r="H9" s="43">
        <v>1903265437.2</v>
      </c>
      <c r="I9" s="44">
        <v>71821.337252830184</v>
      </c>
      <c r="J9" s="42" t="s">
        <v>49</v>
      </c>
      <c r="K9" s="42" t="s">
        <v>116</v>
      </c>
      <c r="L9" s="42" t="s">
        <v>117</v>
      </c>
      <c r="M9" s="45">
        <v>1</v>
      </c>
      <c r="N9" s="46">
        <v>46054</v>
      </c>
      <c r="O9" s="47">
        <v>46082</v>
      </c>
    </row>
    <row r="10" spans="1:15" ht="42" x14ac:dyDescent="0.3">
      <c r="A10" s="38">
        <v>7</v>
      </c>
      <c r="B10" s="39" t="s">
        <v>51</v>
      </c>
      <c r="C10" s="50" t="s">
        <v>9</v>
      </c>
      <c r="D10" s="41" t="s">
        <v>5</v>
      </c>
      <c r="E10" s="42" t="s">
        <v>60</v>
      </c>
      <c r="F10" s="43">
        <v>1460000000</v>
      </c>
      <c r="G10" s="17">
        <v>1</v>
      </c>
      <c r="H10" s="43">
        <v>1460000000</v>
      </c>
      <c r="I10" s="44">
        <v>55094.339622641506</v>
      </c>
      <c r="J10" s="42" t="s">
        <v>49</v>
      </c>
      <c r="K10" s="42" t="s">
        <v>118</v>
      </c>
      <c r="L10" s="42" t="s">
        <v>119</v>
      </c>
      <c r="M10" s="45">
        <v>1</v>
      </c>
      <c r="N10" s="46">
        <v>45992</v>
      </c>
      <c r="O10" s="47">
        <v>46023</v>
      </c>
    </row>
    <row r="11" spans="1:15" ht="28" x14ac:dyDescent="0.3">
      <c r="A11" s="38">
        <v>8</v>
      </c>
      <c r="B11" s="39" t="s">
        <v>51</v>
      </c>
      <c r="C11" s="40" t="s">
        <v>16</v>
      </c>
      <c r="D11" s="41" t="s">
        <v>5</v>
      </c>
      <c r="E11" s="42" t="s">
        <v>61</v>
      </c>
      <c r="F11" s="43">
        <v>262000000</v>
      </c>
      <c r="G11" s="17">
        <v>4</v>
      </c>
      <c r="H11" s="43">
        <v>1048000000</v>
      </c>
      <c r="I11" s="44">
        <v>39547.169811320753</v>
      </c>
      <c r="J11" s="42" t="s">
        <v>46</v>
      </c>
      <c r="K11" s="42" t="s">
        <v>46</v>
      </c>
      <c r="L11" s="42" t="s">
        <v>120</v>
      </c>
      <c r="M11" s="45">
        <v>1</v>
      </c>
      <c r="N11" s="46">
        <v>46023</v>
      </c>
      <c r="O11" s="47">
        <v>46082</v>
      </c>
    </row>
    <row r="12" spans="1:15" ht="28" x14ac:dyDescent="0.3">
      <c r="A12" s="38">
        <v>9</v>
      </c>
      <c r="B12" s="39" t="s">
        <v>51</v>
      </c>
      <c r="C12" s="50" t="s">
        <v>16</v>
      </c>
      <c r="D12" s="41" t="s">
        <v>5</v>
      </c>
      <c r="E12" s="42" t="s">
        <v>42</v>
      </c>
      <c r="F12" s="43">
        <v>491600000</v>
      </c>
      <c r="G12" s="17">
        <v>2</v>
      </c>
      <c r="H12" s="43">
        <v>983200000</v>
      </c>
      <c r="I12" s="44">
        <v>37101.886792452824</v>
      </c>
      <c r="J12" s="42" t="s">
        <v>47</v>
      </c>
      <c r="K12" s="42" t="s">
        <v>121</v>
      </c>
      <c r="L12" s="42" t="s">
        <v>122</v>
      </c>
      <c r="M12" s="45">
        <v>1</v>
      </c>
      <c r="N12" s="46">
        <v>45962</v>
      </c>
      <c r="O12" s="47">
        <v>46023</v>
      </c>
    </row>
    <row r="13" spans="1:15" ht="42" x14ac:dyDescent="0.3">
      <c r="A13" s="38">
        <v>10</v>
      </c>
      <c r="B13" s="39" t="s">
        <v>51</v>
      </c>
      <c r="C13" s="50" t="s">
        <v>16</v>
      </c>
      <c r="D13" s="41" t="s">
        <v>5</v>
      </c>
      <c r="E13" s="42" t="s">
        <v>62</v>
      </c>
      <c r="F13" s="43">
        <v>809000000</v>
      </c>
      <c r="G13" s="17">
        <v>1</v>
      </c>
      <c r="H13" s="43">
        <v>809000000</v>
      </c>
      <c r="I13" s="44">
        <v>30528.301886792451</v>
      </c>
      <c r="J13" s="42" t="s">
        <v>47</v>
      </c>
      <c r="K13" s="42" t="s">
        <v>121</v>
      </c>
      <c r="L13" s="42" t="s">
        <v>123</v>
      </c>
      <c r="M13" s="45">
        <v>1</v>
      </c>
      <c r="N13" s="46">
        <v>46023</v>
      </c>
      <c r="O13" s="47">
        <v>46082</v>
      </c>
    </row>
    <row r="14" spans="1:15" ht="28" x14ac:dyDescent="0.3">
      <c r="A14" s="38">
        <v>11</v>
      </c>
      <c r="B14" s="39" t="s">
        <v>51</v>
      </c>
      <c r="C14" s="40" t="s">
        <v>16</v>
      </c>
      <c r="D14" s="41" t="s">
        <v>5</v>
      </c>
      <c r="E14" s="42" t="s">
        <v>63</v>
      </c>
      <c r="F14" s="43">
        <v>265000000</v>
      </c>
      <c r="G14" s="17">
        <v>1</v>
      </c>
      <c r="H14" s="43">
        <v>265000000</v>
      </c>
      <c r="I14" s="44">
        <v>10000</v>
      </c>
      <c r="J14" s="42" t="s">
        <v>46</v>
      </c>
      <c r="K14" s="42" t="s">
        <v>124</v>
      </c>
      <c r="L14" s="42" t="s">
        <v>125</v>
      </c>
      <c r="M14" s="45">
        <v>1</v>
      </c>
      <c r="N14" s="46">
        <v>46023</v>
      </c>
      <c r="O14" s="47">
        <v>46082</v>
      </c>
    </row>
    <row r="15" spans="1:15" ht="112" x14ac:dyDescent="0.3">
      <c r="A15" s="38">
        <v>12</v>
      </c>
      <c r="B15" s="39" t="s">
        <v>52</v>
      </c>
      <c r="C15" s="48" t="s">
        <v>9</v>
      </c>
      <c r="D15" s="41" t="s">
        <v>5</v>
      </c>
      <c r="E15" s="42" t="s">
        <v>72</v>
      </c>
      <c r="F15" s="43">
        <v>1473000000</v>
      </c>
      <c r="G15" s="17">
        <v>1</v>
      </c>
      <c r="H15" s="43">
        <v>1473000000</v>
      </c>
      <c r="I15" s="44">
        <v>55584.905660377357</v>
      </c>
      <c r="J15" s="42" t="s">
        <v>48</v>
      </c>
      <c r="K15" s="42" t="s">
        <v>126</v>
      </c>
      <c r="L15" s="42" t="s">
        <v>127</v>
      </c>
      <c r="M15" s="45">
        <v>1</v>
      </c>
      <c r="N15" s="46">
        <v>46174</v>
      </c>
      <c r="O15" s="47">
        <v>46235</v>
      </c>
    </row>
    <row r="16" spans="1:15" ht="28" x14ac:dyDescent="0.3">
      <c r="A16" s="38">
        <v>13</v>
      </c>
      <c r="B16" s="39" t="s">
        <v>52</v>
      </c>
      <c r="C16" s="50" t="s">
        <v>14</v>
      </c>
      <c r="D16" s="41" t="s">
        <v>5</v>
      </c>
      <c r="E16" s="42" t="s">
        <v>56</v>
      </c>
      <c r="F16" s="43"/>
      <c r="G16" s="17">
        <v>1</v>
      </c>
      <c r="H16" s="43">
        <v>987540000</v>
      </c>
      <c r="I16" s="43">
        <v>37265.660377358494</v>
      </c>
      <c r="J16" s="42" t="s">
        <v>48</v>
      </c>
      <c r="K16" s="42"/>
      <c r="L16" s="42" t="s">
        <v>128</v>
      </c>
      <c r="M16" s="45">
        <v>1</v>
      </c>
      <c r="N16" s="46"/>
      <c r="O16" s="47"/>
    </row>
    <row r="17" spans="1:15" ht="112" x14ac:dyDescent="0.3">
      <c r="A17" s="38">
        <v>14</v>
      </c>
      <c r="B17" s="39" t="s">
        <v>52</v>
      </c>
      <c r="C17" s="48" t="s">
        <v>9</v>
      </c>
      <c r="D17" s="41" t="s">
        <v>5</v>
      </c>
      <c r="E17" s="42" t="s">
        <v>73</v>
      </c>
      <c r="F17" s="43">
        <v>891000000</v>
      </c>
      <c r="G17" s="17">
        <v>3</v>
      </c>
      <c r="H17" s="43">
        <v>891000000</v>
      </c>
      <c r="I17" s="44">
        <v>33622.641509433968</v>
      </c>
      <c r="J17" s="42" t="s">
        <v>50</v>
      </c>
      <c r="K17" s="42" t="s">
        <v>129</v>
      </c>
      <c r="L17" s="42" t="s">
        <v>130</v>
      </c>
      <c r="M17" s="45">
        <v>1</v>
      </c>
      <c r="N17" s="46">
        <v>46054</v>
      </c>
      <c r="O17" s="47">
        <v>46082</v>
      </c>
    </row>
    <row r="18" spans="1:15" x14ac:dyDescent="0.3">
      <c r="A18" s="38">
        <v>15</v>
      </c>
      <c r="B18" s="39" t="s">
        <v>52</v>
      </c>
      <c r="C18" s="40" t="s">
        <v>16</v>
      </c>
      <c r="D18" s="41" t="s">
        <v>5</v>
      </c>
      <c r="E18" s="42" t="s">
        <v>64</v>
      </c>
      <c r="F18" s="43">
        <v>75000000</v>
      </c>
      <c r="G18" s="17">
        <v>7</v>
      </c>
      <c r="H18" s="43">
        <v>525000000</v>
      </c>
      <c r="I18" s="44">
        <v>19811.32075471698</v>
      </c>
      <c r="J18" s="49" t="s">
        <v>49</v>
      </c>
      <c r="K18" s="42"/>
      <c r="L18" s="42" t="s">
        <v>131</v>
      </c>
      <c r="M18" s="45">
        <v>1</v>
      </c>
      <c r="N18" s="46"/>
      <c r="O18" s="47"/>
    </row>
    <row r="19" spans="1:15" ht="42" x14ac:dyDescent="0.3">
      <c r="A19" s="38">
        <v>16</v>
      </c>
      <c r="B19" s="39" t="s">
        <v>52</v>
      </c>
      <c r="C19" s="50" t="s">
        <v>15</v>
      </c>
      <c r="D19" s="41" t="s">
        <v>6</v>
      </c>
      <c r="E19" s="42" t="s">
        <v>54</v>
      </c>
      <c r="F19" s="43"/>
      <c r="G19" s="17">
        <v>1</v>
      </c>
      <c r="H19" s="43">
        <v>488000000</v>
      </c>
      <c r="I19" s="44">
        <v>18415.094339622643</v>
      </c>
      <c r="J19" s="42" t="s">
        <v>48</v>
      </c>
      <c r="K19" s="42"/>
      <c r="L19" s="42" t="s">
        <v>132</v>
      </c>
      <c r="M19" s="45">
        <v>1</v>
      </c>
      <c r="N19" s="46">
        <v>46082</v>
      </c>
      <c r="O19" s="47">
        <v>46357</v>
      </c>
    </row>
    <row r="20" spans="1:15" ht="56" x14ac:dyDescent="0.3">
      <c r="A20" s="38">
        <v>17</v>
      </c>
      <c r="B20" s="39" t="s">
        <v>52</v>
      </c>
      <c r="C20" s="40" t="s">
        <v>9</v>
      </c>
      <c r="D20" s="41" t="s">
        <v>5</v>
      </c>
      <c r="E20" s="42" t="s">
        <v>74</v>
      </c>
      <c r="F20" s="43"/>
      <c r="G20" s="17">
        <v>1</v>
      </c>
      <c r="H20" s="43">
        <v>457918452</v>
      </c>
      <c r="I20" s="44">
        <v>17279.94158490566</v>
      </c>
      <c r="J20" s="42" t="s">
        <v>48</v>
      </c>
      <c r="K20" s="42"/>
      <c r="L20" s="42" t="s">
        <v>133</v>
      </c>
      <c r="M20" s="45">
        <v>1</v>
      </c>
      <c r="N20" s="46"/>
      <c r="O20" s="47"/>
    </row>
    <row r="21" spans="1:15" x14ac:dyDescent="0.3">
      <c r="A21" s="38">
        <v>18</v>
      </c>
      <c r="B21" s="39" t="s">
        <v>52</v>
      </c>
      <c r="C21" s="40" t="s">
        <v>9</v>
      </c>
      <c r="D21" s="41" t="s">
        <v>5</v>
      </c>
      <c r="E21" s="42" t="s">
        <v>85</v>
      </c>
      <c r="F21" s="43"/>
      <c r="G21" s="17">
        <v>1</v>
      </c>
      <c r="H21" s="43">
        <v>450000000</v>
      </c>
      <c r="I21" s="44">
        <v>16981.132075471698</v>
      </c>
      <c r="J21" s="42" t="s">
        <v>48</v>
      </c>
      <c r="K21" s="42"/>
      <c r="L21" s="42"/>
      <c r="M21" s="45">
        <v>1</v>
      </c>
      <c r="N21" s="46"/>
      <c r="O21" s="47"/>
    </row>
    <row r="22" spans="1:15" ht="42" x14ac:dyDescent="0.3">
      <c r="A22" s="38">
        <v>19</v>
      </c>
      <c r="B22" s="39" t="s">
        <v>52</v>
      </c>
      <c r="C22" s="40" t="s">
        <v>9</v>
      </c>
      <c r="D22" s="41" t="s">
        <v>5</v>
      </c>
      <c r="E22" s="42" t="s">
        <v>75</v>
      </c>
      <c r="F22" s="43">
        <v>210000000</v>
      </c>
      <c r="G22" s="17">
        <v>1</v>
      </c>
      <c r="H22" s="43">
        <v>210000000</v>
      </c>
      <c r="I22" s="44">
        <v>7924.5283018867922</v>
      </c>
      <c r="J22" s="42" t="s">
        <v>48</v>
      </c>
      <c r="K22" s="42" t="s">
        <v>134</v>
      </c>
      <c r="L22" s="42" t="s">
        <v>135</v>
      </c>
      <c r="M22" s="45">
        <v>1</v>
      </c>
      <c r="N22" s="46">
        <v>46054</v>
      </c>
      <c r="O22" s="47">
        <v>46082</v>
      </c>
    </row>
    <row r="23" spans="1:15" ht="140" x14ac:dyDescent="0.3">
      <c r="A23" s="38">
        <v>20</v>
      </c>
      <c r="B23" s="39" t="s">
        <v>52</v>
      </c>
      <c r="C23" s="50" t="s">
        <v>9</v>
      </c>
      <c r="D23" s="41" t="s">
        <v>5</v>
      </c>
      <c r="E23" s="42" t="s">
        <v>76</v>
      </c>
      <c r="F23" s="43">
        <v>140000000</v>
      </c>
      <c r="G23" s="17">
        <v>1</v>
      </c>
      <c r="H23" s="43">
        <v>140000000</v>
      </c>
      <c r="I23" s="44">
        <v>5283.0188679245284</v>
      </c>
      <c r="J23" s="42" t="s">
        <v>80</v>
      </c>
      <c r="K23" s="42" t="s">
        <v>136</v>
      </c>
      <c r="L23" s="42" t="s">
        <v>137</v>
      </c>
      <c r="M23" s="45">
        <v>1</v>
      </c>
      <c r="N23" s="46">
        <v>46054</v>
      </c>
      <c r="O23" s="47">
        <v>46054</v>
      </c>
    </row>
    <row r="24" spans="1:15" ht="42" x14ac:dyDescent="0.3">
      <c r="A24" s="38">
        <v>21</v>
      </c>
      <c r="B24" s="39" t="s">
        <v>52</v>
      </c>
      <c r="C24" s="40" t="s">
        <v>14</v>
      </c>
      <c r="D24" s="41" t="s">
        <v>5</v>
      </c>
      <c r="E24" s="42" t="s">
        <v>57</v>
      </c>
      <c r="F24" s="43">
        <v>135000000</v>
      </c>
      <c r="G24" s="17">
        <v>1</v>
      </c>
      <c r="H24" s="43">
        <v>135000000</v>
      </c>
      <c r="I24" s="44">
        <v>5094.3396226415098</v>
      </c>
      <c r="J24" s="42" t="s">
        <v>46</v>
      </c>
      <c r="K24" s="42" t="s">
        <v>138</v>
      </c>
      <c r="L24" s="42" t="s">
        <v>139</v>
      </c>
      <c r="M24" s="45">
        <v>1</v>
      </c>
      <c r="N24" s="46">
        <v>46023</v>
      </c>
      <c r="O24" s="47">
        <v>46023</v>
      </c>
    </row>
    <row r="25" spans="1:15" ht="56" x14ac:dyDescent="0.3">
      <c r="A25" s="38">
        <v>22</v>
      </c>
      <c r="B25" s="39" t="s">
        <v>52</v>
      </c>
      <c r="C25" s="50" t="s">
        <v>9</v>
      </c>
      <c r="D25" s="41" t="s">
        <v>5</v>
      </c>
      <c r="E25" s="42" t="s">
        <v>43</v>
      </c>
      <c r="F25" s="43">
        <v>100000000</v>
      </c>
      <c r="G25" s="17">
        <v>1</v>
      </c>
      <c r="H25" s="43">
        <v>100000000</v>
      </c>
      <c r="I25" s="44">
        <v>3773.5849056603774</v>
      </c>
      <c r="J25" s="42" t="s">
        <v>48</v>
      </c>
      <c r="K25" s="42"/>
      <c r="L25" s="42" t="s">
        <v>140</v>
      </c>
      <c r="M25" s="45">
        <v>1</v>
      </c>
      <c r="N25" s="46">
        <v>46174</v>
      </c>
      <c r="O25" s="47">
        <v>46174</v>
      </c>
    </row>
    <row r="26" spans="1:15" ht="84" x14ac:dyDescent="0.3">
      <c r="A26" s="38">
        <v>23</v>
      </c>
      <c r="B26" s="39" t="s">
        <v>52</v>
      </c>
      <c r="C26" s="50" t="s">
        <v>14</v>
      </c>
      <c r="D26" s="41" t="s">
        <v>5</v>
      </c>
      <c r="E26" s="42" t="s">
        <v>58</v>
      </c>
      <c r="F26" s="43">
        <v>100000000</v>
      </c>
      <c r="G26" s="17">
        <v>1</v>
      </c>
      <c r="H26" s="43">
        <v>100000000</v>
      </c>
      <c r="I26" s="44">
        <v>3773.5849056603774</v>
      </c>
      <c r="J26" s="42" t="s">
        <v>48</v>
      </c>
      <c r="K26" s="42"/>
      <c r="L26" s="42" t="s">
        <v>141</v>
      </c>
      <c r="M26" s="45">
        <v>1</v>
      </c>
      <c r="N26" s="46">
        <v>46023</v>
      </c>
      <c r="O26" s="47">
        <v>46023</v>
      </c>
    </row>
    <row r="27" spans="1:15" ht="28" x14ac:dyDescent="0.3">
      <c r="A27" s="38">
        <v>24</v>
      </c>
      <c r="B27" s="39" t="s">
        <v>52</v>
      </c>
      <c r="C27" s="50" t="s">
        <v>9</v>
      </c>
      <c r="D27" s="41" t="s">
        <v>5</v>
      </c>
      <c r="E27" s="42" t="s">
        <v>77</v>
      </c>
      <c r="F27" s="43">
        <v>40000000</v>
      </c>
      <c r="G27" s="17">
        <v>2</v>
      </c>
      <c r="H27" s="43">
        <v>80000000</v>
      </c>
      <c r="I27" s="44">
        <v>3018.867924528302</v>
      </c>
      <c r="J27" s="42" t="s">
        <v>46</v>
      </c>
      <c r="K27" s="42" t="s">
        <v>142</v>
      </c>
      <c r="L27" s="42" t="s">
        <v>143</v>
      </c>
      <c r="M27" s="45">
        <v>1</v>
      </c>
      <c r="N27" s="46"/>
      <c r="O27" s="47"/>
    </row>
    <row r="28" spans="1:15" ht="84" x14ac:dyDescent="0.3">
      <c r="A28" s="38">
        <v>25</v>
      </c>
      <c r="B28" s="39" t="s">
        <v>52</v>
      </c>
      <c r="C28" s="40" t="s">
        <v>16</v>
      </c>
      <c r="D28" s="41" t="s">
        <v>5</v>
      </c>
      <c r="E28" s="42" t="s">
        <v>89</v>
      </c>
      <c r="F28" s="43">
        <v>40000000</v>
      </c>
      <c r="G28" s="17">
        <v>2</v>
      </c>
      <c r="H28" s="43">
        <v>80000000</v>
      </c>
      <c r="I28" s="44">
        <v>3018.867924528302</v>
      </c>
      <c r="J28" s="42" t="s">
        <v>46</v>
      </c>
      <c r="K28" s="42" t="s">
        <v>144</v>
      </c>
      <c r="L28" s="50" t="s">
        <v>145</v>
      </c>
      <c r="M28" s="45">
        <v>1</v>
      </c>
      <c r="N28" s="46">
        <v>46082</v>
      </c>
      <c r="O28" s="47">
        <v>46113</v>
      </c>
    </row>
    <row r="29" spans="1:15" ht="28" x14ac:dyDescent="0.3">
      <c r="A29" s="38">
        <v>26</v>
      </c>
      <c r="B29" s="39" t="s">
        <v>52</v>
      </c>
      <c r="C29" s="50" t="s">
        <v>14</v>
      </c>
      <c r="D29" s="41" t="s">
        <v>5</v>
      </c>
      <c r="E29" s="42" t="s">
        <v>59</v>
      </c>
      <c r="F29" s="43">
        <v>50000000</v>
      </c>
      <c r="G29" s="17">
        <v>1</v>
      </c>
      <c r="H29" s="43">
        <v>50000000</v>
      </c>
      <c r="I29" s="44">
        <v>1886.7924528301887</v>
      </c>
      <c r="J29" s="42" t="s">
        <v>48</v>
      </c>
      <c r="K29" s="42"/>
      <c r="L29" s="42" t="s">
        <v>146</v>
      </c>
      <c r="M29" s="45">
        <v>1</v>
      </c>
      <c r="N29" s="46">
        <v>46143</v>
      </c>
      <c r="O29" s="47">
        <v>46174</v>
      </c>
    </row>
    <row r="30" spans="1:15" ht="56" x14ac:dyDescent="0.3">
      <c r="A30" s="38">
        <v>27</v>
      </c>
      <c r="B30" s="39" t="s">
        <v>52</v>
      </c>
      <c r="C30" s="40" t="s">
        <v>16</v>
      </c>
      <c r="D30" s="41" t="s">
        <v>5</v>
      </c>
      <c r="E30" s="42" t="s">
        <v>90</v>
      </c>
      <c r="F30" s="43">
        <v>40000000</v>
      </c>
      <c r="G30" s="17">
        <v>1</v>
      </c>
      <c r="H30" s="43">
        <v>40000000</v>
      </c>
      <c r="I30" s="44">
        <v>1509.433962264151</v>
      </c>
      <c r="J30" s="42" t="s">
        <v>46</v>
      </c>
      <c r="K30" s="42" t="s">
        <v>144</v>
      </c>
      <c r="L30" s="42" t="s">
        <v>147</v>
      </c>
      <c r="M30" s="45">
        <v>1</v>
      </c>
      <c r="N30" s="46">
        <v>46143</v>
      </c>
      <c r="O30" s="47">
        <v>46174</v>
      </c>
    </row>
    <row r="31" spans="1:15" ht="28" x14ac:dyDescent="0.3">
      <c r="A31" s="38">
        <v>28</v>
      </c>
      <c r="B31" s="39" t="s">
        <v>81</v>
      </c>
      <c r="C31" s="48" t="s">
        <v>9</v>
      </c>
      <c r="D31" s="41" t="s">
        <v>5</v>
      </c>
      <c r="E31" s="42" t="s">
        <v>78</v>
      </c>
      <c r="F31" s="43">
        <v>230000</v>
      </c>
      <c r="G31" s="17">
        <v>1</v>
      </c>
      <c r="H31" s="43">
        <v>3845830000</v>
      </c>
      <c r="I31" s="44">
        <v>145125.66037735849</v>
      </c>
      <c r="J31" s="42" t="s">
        <v>49</v>
      </c>
      <c r="K31" s="42"/>
      <c r="L31" s="42" t="s">
        <v>148</v>
      </c>
      <c r="M31" s="45">
        <v>1</v>
      </c>
      <c r="N31" s="46">
        <v>46082</v>
      </c>
      <c r="O31" s="47">
        <v>46174</v>
      </c>
    </row>
    <row r="32" spans="1:15" ht="28" x14ac:dyDescent="0.3">
      <c r="A32" s="38">
        <v>29</v>
      </c>
      <c r="B32" s="39" t="s">
        <v>81</v>
      </c>
      <c r="C32" s="48" t="s">
        <v>9</v>
      </c>
      <c r="D32" s="41" t="s">
        <v>6</v>
      </c>
      <c r="E32" s="42" t="s">
        <v>79</v>
      </c>
      <c r="F32" s="43">
        <v>250000</v>
      </c>
      <c r="G32" s="17">
        <v>1</v>
      </c>
      <c r="H32" s="43">
        <v>250000000</v>
      </c>
      <c r="I32" s="44">
        <v>9433.9622641509432</v>
      </c>
      <c r="J32" s="42" t="s">
        <v>49</v>
      </c>
      <c r="K32" s="42"/>
      <c r="L32" s="42"/>
      <c r="M32" s="45">
        <v>1</v>
      </c>
      <c r="N32" s="46">
        <v>46082</v>
      </c>
      <c r="O32" s="47">
        <v>46174</v>
      </c>
    </row>
    <row r="33" spans="1:15" x14ac:dyDescent="0.3">
      <c r="A33" s="38">
        <v>30</v>
      </c>
      <c r="B33" s="39" t="s">
        <v>81</v>
      </c>
      <c r="C33" s="40" t="s">
        <v>12</v>
      </c>
      <c r="D33" s="41" t="s">
        <v>5</v>
      </c>
      <c r="E33" s="42" t="s">
        <v>82</v>
      </c>
      <c r="F33" s="43"/>
      <c r="G33" s="17">
        <v>1</v>
      </c>
      <c r="H33" s="43">
        <v>1043608333.3333334</v>
      </c>
      <c r="I33" s="44">
        <v>39381.446540880504</v>
      </c>
      <c r="J33" s="42" t="s">
        <v>50</v>
      </c>
      <c r="K33" s="42"/>
      <c r="L33" s="42"/>
      <c r="M33" s="45">
        <v>1</v>
      </c>
      <c r="N33" s="46"/>
      <c r="O33" s="47">
        <v>45992</v>
      </c>
    </row>
    <row r="34" spans="1:15" ht="224" x14ac:dyDescent="0.3">
      <c r="A34" s="38">
        <v>31</v>
      </c>
      <c r="B34" s="39" t="s">
        <v>81</v>
      </c>
      <c r="C34" s="40" t="s">
        <v>12</v>
      </c>
      <c r="D34" s="41" t="s">
        <v>5</v>
      </c>
      <c r="E34" s="42" t="s">
        <v>83</v>
      </c>
      <c r="F34" s="43">
        <v>280000000</v>
      </c>
      <c r="G34" s="17">
        <v>1</v>
      </c>
      <c r="H34" s="43">
        <v>280000000</v>
      </c>
      <c r="I34" s="44">
        <v>10566.037735849057</v>
      </c>
      <c r="J34" s="42" t="s">
        <v>50</v>
      </c>
      <c r="K34" s="42" t="s">
        <v>84</v>
      </c>
      <c r="L34" s="42" t="s">
        <v>149</v>
      </c>
      <c r="M34" s="45">
        <v>1</v>
      </c>
      <c r="N34" s="46">
        <v>46054</v>
      </c>
      <c r="O34" s="47">
        <v>46082</v>
      </c>
    </row>
    <row r="35" spans="1:15" ht="28" x14ac:dyDescent="0.3">
      <c r="A35" s="38">
        <v>32</v>
      </c>
      <c r="B35" s="39" t="s">
        <v>53</v>
      </c>
      <c r="C35" s="40" t="s">
        <v>16</v>
      </c>
      <c r="D35" s="41" t="s">
        <v>5</v>
      </c>
      <c r="E35" s="42" t="s">
        <v>65</v>
      </c>
      <c r="F35" s="43"/>
      <c r="G35" s="17">
        <v>1</v>
      </c>
      <c r="H35" s="43">
        <v>1249240000</v>
      </c>
      <c r="I35" s="44">
        <v>47141.132075471694</v>
      </c>
      <c r="J35" s="42" t="s">
        <v>46</v>
      </c>
      <c r="K35" s="42"/>
      <c r="L35" s="42" t="s">
        <v>150</v>
      </c>
      <c r="M35" s="45">
        <v>1</v>
      </c>
      <c r="N35" s="46"/>
      <c r="O35" s="47"/>
    </row>
    <row r="36" spans="1:15" ht="28" x14ac:dyDescent="0.3">
      <c r="A36" s="38">
        <v>33</v>
      </c>
      <c r="B36" s="39" t="s">
        <v>53</v>
      </c>
      <c r="C36" s="48" t="s">
        <v>9</v>
      </c>
      <c r="D36" s="41" t="s">
        <v>5</v>
      </c>
      <c r="E36" s="42" t="s">
        <v>44</v>
      </c>
      <c r="F36" s="43">
        <v>40000000</v>
      </c>
      <c r="G36" s="17">
        <v>2</v>
      </c>
      <c r="H36" s="43">
        <v>80000000</v>
      </c>
      <c r="I36" s="44">
        <v>3018.867924528302</v>
      </c>
      <c r="J36" s="42" t="s">
        <v>49</v>
      </c>
      <c r="K36" s="42"/>
      <c r="L36" s="42" t="s">
        <v>151</v>
      </c>
      <c r="M36" s="45">
        <v>1</v>
      </c>
      <c r="N36" s="46">
        <v>46023</v>
      </c>
      <c r="O36" s="47">
        <v>46082</v>
      </c>
    </row>
    <row r="37" spans="1:15" ht="28" x14ac:dyDescent="0.3">
      <c r="A37" s="38">
        <v>34</v>
      </c>
      <c r="B37" s="39" t="s">
        <v>70</v>
      </c>
      <c r="C37" s="40" t="s">
        <v>16</v>
      </c>
      <c r="D37" s="41" t="s">
        <v>5</v>
      </c>
      <c r="E37" s="42" t="s">
        <v>66</v>
      </c>
      <c r="F37" s="43">
        <v>662500000</v>
      </c>
      <c r="G37" s="17">
        <v>1</v>
      </c>
      <c r="H37" s="43">
        <v>662500000</v>
      </c>
      <c r="I37" s="44">
        <v>25000</v>
      </c>
      <c r="J37" s="42" t="s">
        <v>47</v>
      </c>
      <c r="K37" s="42" t="s">
        <v>152</v>
      </c>
      <c r="L37" s="42" t="s">
        <v>153</v>
      </c>
      <c r="M37" s="45">
        <v>1</v>
      </c>
      <c r="N37" s="46">
        <v>46023</v>
      </c>
      <c r="O37" s="47">
        <v>46174</v>
      </c>
    </row>
    <row r="38" spans="1:15" x14ac:dyDescent="0.3">
      <c r="A38" s="51">
        <v>35</v>
      </c>
      <c r="B38" s="39" t="s">
        <v>70</v>
      </c>
      <c r="C38" s="40" t="s">
        <v>16</v>
      </c>
      <c r="D38" s="41" t="s">
        <v>5</v>
      </c>
      <c r="E38" s="52" t="s">
        <v>86</v>
      </c>
      <c r="F38" s="53">
        <v>80000000</v>
      </c>
      <c r="G38" s="54">
        <v>1</v>
      </c>
      <c r="H38" s="53">
        <v>80000000</v>
      </c>
      <c r="I38" s="55">
        <v>3018.867924528302</v>
      </c>
      <c r="J38" s="52" t="s">
        <v>50</v>
      </c>
      <c r="K38" s="52" t="s">
        <v>154</v>
      </c>
      <c r="L38" s="52" t="s">
        <v>155</v>
      </c>
      <c r="M38" s="56">
        <v>1</v>
      </c>
      <c r="N38" s="57">
        <v>46054</v>
      </c>
      <c r="O38" s="58">
        <v>46054</v>
      </c>
    </row>
    <row r="39" spans="1:15" s="61" customFormat="1" x14ac:dyDescent="0.3">
      <c r="A39" s="59" t="s">
        <v>156</v>
      </c>
      <c r="B39" s="59"/>
      <c r="C39" s="152"/>
      <c r="D39" s="152"/>
      <c r="E39" s="59" t="s">
        <v>157</v>
      </c>
      <c r="F39" s="60">
        <f>SUBTOTAL(9,F40:F44)</f>
        <v>3369500000</v>
      </c>
      <c r="G39" s="60">
        <f>SUBTOTAL(9,G40:G44)</f>
        <v>9</v>
      </c>
      <c r="H39" s="60">
        <f>SUBTOTAL(9,H40:H44)</f>
        <v>5584500000</v>
      </c>
      <c r="I39" s="60">
        <f>SUBTOTAL(9,I40:I44)</f>
        <v>210735.84905660374</v>
      </c>
      <c r="J39" s="60"/>
      <c r="K39" s="59"/>
      <c r="L39" s="59"/>
      <c r="M39" s="59"/>
      <c r="N39" s="59"/>
      <c r="O39" s="59"/>
    </row>
    <row r="40" spans="1:15" ht="28" x14ac:dyDescent="0.3">
      <c r="A40" s="62">
        <v>1</v>
      </c>
      <c r="B40" s="39" t="s">
        <v>51</v>
      </c>
      <c r="C40" s="40" t="s">
        <v>16</v>
      </c>
      <c r="D40" s="41" t="s">
        <v>5</v>
      </c>
      <c r="E40" s="63" t="s">
        <v>67</v>
      </c>
      <c r="F40" s="64">
        <v>650000000</v>
      </c>
      <c r="G40" s="62">
        <v>4</v>
      </c>
      <c r="H40" s="64">
        <v>2600000000</v>
      </c>
      <c r="I40" s="65">
        <v>98113.207547169804</v>
      </c>
      <c r="J40" s="49" t="s">
        <v>49</v>
      </c>
      <c r="K40" s="49"/>
      <c r="L40" s="63" t="s">
        <v>158</v>
      </c>
      <c r="M40" s="66">
        <v>1</v>
      </c>
      <c r="N40" s="67">
        <v>46023</v>
      </c>
      <c r="O40" s="68">
        <v>46082</v>
      </c>
    </row>
    <row r="41" spans="1:15" ht="42" x14ac:dyDescent="0.3">
      <c r="A41" s="69">
        <v>2</v>
      </c>
      <c r="B41" s="39" t="s">
        <v>51</v>
      </c>
      <c r="C41" s="40" t="s">
        <v>16</v>
      </c>
      <c r="D41" s="41" t="s">
        <v>5</v>
      </c>
      <c r="E41" s="42" t="s">
        <v>68</v>
      </c>
      <c r="F41" s="70">
        <v>265000000</v>
      </c>
      <c r="G41" s="69">
        <v>2</v>
      </c>
      <c r="H41" s="70">
        <v>530000000</v>
      </c>
      <c r="I41" s="71">
        <v>20000</v>
      </c>
      <c r="J41" s="72" t="s">
        <v>47</v>
      </c>
      <c r="K41" s="72" t="s">
        <v>121</v>
      </c>
      <c r="L41" s="42" t="s">
        <v>159</v>
      </c>
      <c r="M41" s="73">
        <v>1</v>
      </c>
      <c r="N41" s="74">
        <v>46023</v>
      </c>
      <c r="O41" s="75">
        <v>46082</v>
      </c>
    </row>
    <row r="42" spans="1:15" ht="28" x14ac:dyDescent="0.3">
      <c r="A42" s="69">
        <v>3</v>
      </c>
      <c r="B42" s="39" t="s">
        <v>51</v>
      </c>
      <c r="C42" s="40" t="s">
        <v>16</v>
      </c>
      <c r="D42" s="41" t="s">
        <v>5</v>
      </c>
      <c r="E42" s="42" t="s">
        <v>69</v>
      </c>
      <c r="F42" s="70">
        <v>265000000</v>
      </c>
      <c r="G42" s="69">
        <v>1</v>
      </c>
      <c r="H42" s="70">
        <v>265000000</v>
      </c>
      <c r="I42" s="71">
        <v>10000</v>
      </c>
      <c r="J42" s="72" t="s">
        <v>46</v>
      </c>
      <c r="K42" s="72" t="s">
        <v>124</v>
      </c>
      <c r="L42" s="42" t="s">
        <v>125</v>
      </c>
      <c r="M42" s="73">
        <v>1</v>
      </c>
      <c r="N42" s="74">
        <v>46023</v>
      </c>
      <c r="O42" s="75">
        <v>46082</v>
      </c>
    </row>
    <row r="43" spans="1:15" ht="42" x14ac:dyDescent="0.3">
      <c r="A43" s="69">
        <v>4</v>
      </c>
      <c r="B43" s="39" t="s">
        <v>51</v>
      </c>
      <c r="C43" s="48" t="s">
        <v>9</v>
      </c>
      <c r="D43" s="41" t="s">
        <v>5</v>
      </c>
      <c r="E43" s="42" t="s">
        <v>45</v>
      </c>
      <c r="F43" s="70">
        <v>189500000</v>
      </c>
      <c r="G43" s="69">
        <v>1</v>
      </c>
      <c r="H43" s="70">
        <v>189500000</v>
      </c>
      <c r="I43" s="71">
        <v>7150.9433962264147</v>
      </c>
      <c r="J43" s="72" t="s">
        <v>50</v>
      </c>
      <c r="K43" s="72" t="s">
        <v>50</v>
      </c>
      <c r="L43" s="42" t="s">
        <v>160</v>
      </c>
      <c r="M43" s="73">
        <v>1</v>
      </c>
      <c r="N43" s="74">
        <v>46023</v>
      </c>
      <c r="O43" s="75">
        <v>46082</v>
      </c>
    </row>
    <row r="44" spans="1:15" ht="42" x14ac:dyDescent="0.3">
      <c r="A44" s="69">
        <v>5</v>
      </c>
      <c r="B44" s="39" t="s">
        <v>52</v>
      </c>
      <c r="C44" s="48" t="s">
        <v>9</v>
      </c>
      <c r="D44" s="41" t="s">
        <v>5</v>
      </c>
      <c r="E44" s="42" t="s">
        <v>92</v>
      </c>
      <c r="F44" s="70">
        <v>2000000000</v>
      </c>
      <c r="G44" s="69">
        <v>1</v>
      </c>
      <c r="H44" s="70">
        <v>2000000000</v>
      </c>
      <c r="I44" s="71">
        <v>75471.698113207545</v>
      </c>
      <c r="J44" s="72" t="s">
        <v>48</v>
      </c>
      <c r="K44" s="72" t="s">
        <v>129</v>
      </c>
      <c r="L44" s="42" t="s">
        <v>161</v>
      </c>
      <c r="M44" s="73">
        <v>1</v>
      </c>
      <c r="N44" s="74">
        <v>46054</v>
      </c>
      <c r="O44" s="75">
        <v>46082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52A1-9AD5-41A9-9741-F4D8EE48F379}">
  <dimension ref="A1:W49"/>
  <sheetViews>
    <sheetView zoomScale="85" zoomScaleNormal="85" workbookViewId="0">
      <selection activeCell="B14" sqref="B14"/>
    </sheetView>
  </sheetViews>
  <sheetFormatPr defaultRowHeight="14" x14ac:dyDescent="0.3"/>
  <cols>
    <col min="1" max="1" width="8.7265625" style="138"/>
    <col min="2" max="2" width="20.1796875" style="139" bestFit="1" customWidth="1"/>
    <col min="3" max="3" width="15.453125" style="27" customWidth="1"/>
    <col min="4" max="4" width="19" style="27" customWidth="1"/>
    <col min="5" max="7" width="9.453125" style="27" customWidth="1"/>
    <col min="8" max="8" width="18.81640625" style="27" customWidth="1"/>
    <col min="9" max="9" width="26.1796875" style="27" customWidth="1"/>
    <col min="10" max="10" width="9" style="140" hidden="1" customWidth="1"/>
    <col min="11" max="16" width="0" style="27" hidden="1" customWidth="1"/>
    <col min="17" max="18" width="8.7265625" style="27"/>
    <col min="19" max="19" width="11.7265625" style="27" bestFit="1" customWidth="1"/>
    <col min="20" max="20" width="23.08984375" style="27" bestFit="1" customWidth="1"/>
    <col min="21" max="21" width="14.7265625" style="27" bestFit="1" customWidth="1"/>
    <col min="22" max="22" width="14.54296875" style="27" bestFit="1" customWidth="1"/>
    <col min="23" max="23" width="20.453125" style="27" customWidth="1"/>
    <col min="24" max="16384" width="8.7265625" style="27"/>
  </cols>
  <sheetData>
    <row r="1" spans="1:23" ht="135" x14ac:dyDescent="0.3">
      <c r="A1" s="76" t="s">
        <v>0</v>
      </c>
      <c r="B1" s="77" t="s">
        <v>1</v>
      </c>
      <c r="C1" s="78" t="s">
        <v>93</v>
      </c>
      <c r="D1" s="78" t="s">
        <v>162</v>
      </c>
      <c r="E1" s="78" t="s">
        <v>162</v>
      </c>
      <c r="F1" s="78" t="s">
        <v>24</v>
      </c>
      <c r="G1" s="78" t="s">
        <v>163</v>
      </c>
      <c r="H1" s="78" t="s">
        <v>164</v>
      </c>
      <c r="I1" s="78" t="s">
        <v>165</v>
      </c>
      <c r="J1" s="78" t="s">
        <v>20</v>
      </c>
      <c r="K1" s="78" t="s">
        <v>166</v>
      </c>
      <c r="L1" s="79" t="s">
        <v>167</v>
      </c>
      <c r="M1" s="78" t="s">
        <v>168</v>
      </c>
      <c r="N1" s="80" t="s">
        <v>169</v>
      </c>
      <c r="O1" s="80" t="s">
        <v>170</v>
      </c>
      <c r="P1" s="80" t="s">
        <v>171</v>
      </c>
      <c r="Q1" s="81" t="s">
        <v>172</v>
      </c>
      <c r="R1" s="82" t="s">
        <v>173</v>
      </c>
      <c r="S1" s="82" t="s">
        <v>25</v>
      </c>
      <c r="T1" s="83" t="s">
        <v>174</v>
      </c>
      <c r="U1" s="83" t="s">
        <v>175</v>
      </c>
      <c r="V1" s="83" t="s">
        <v>176</v>
      </c>
      <c r="W1" s="84" t="s">
        <v>177</v>
      </c>
    </row>
    <row r="2" spans="1:23" ht="15" x14ac:dyDescent="0.3">
      <c r="A2" s="85"/>
      <c r="B2" s="86"/>
      <c r="C2" s="87"/>
      <c r="D2" s="88"/>
      <c r="E2" s="88"/>
      <c r="F2" s="88"/>
      <c r="G2" s="88"/>
      <c r="H2" s="88"/>
      <c r="I2" s="88" t="s">
        <v>178</v>
      </c>
      <c r="J2" s="88"/>
      <c r="K2" s="89">
        <f>SUM(K3:K49)</f>
        <v>276376.01086499996</v>
      </c>
      <c r="L2" s="89">
        <f>SUM(L3:L49)</f>
        <v>298849.8053159999</v>
      </c>
      <c r="M2" s="89">
        <f>SUM(M3:M49)</f>
        <v>17808.794450999998</v>
      </c>
      <c r="N2" s="89">
        <f>SUM(N3:N49)</f>
        <v>282099.12658299995</v>
      </c>
      <c r="O2" s="89">
        <f t="shared" ref="O2:S2" si="0">SUM(O3:O49)</f>
        <v>59463.661314999998</v>
      </c>
      <c r="P2" s="89">
        <f t="shared" si="0"/>
        <v>132497.941268</v>
      </c>
      <c r="Q2" s="89">
        <f t="shared" si="0"/>
        <v>92570.565548999992</v>
      </c>
      <c r="R2" s="89">
        <f t="shared" si="0"/>
        <v>293068.71908499999</v>
      </c>
      <c r="S2" s="89">
        <f t="shared" si="0"/>
        <v>11271873.810961535</v>
      </c>
      <c r="T2" s="90">
        <v>26000</v>
      </c>
      <c r="U2" s="88"/>
      <c r="V2" s="88"/>
      <c r="W2" s="88"/>
    </row>
    <row r="3" spans="1:23" ht="62" x14ac:dyDescent="0.3">
      <c r="A3" s="91" t="s">
        <v>179</v>
      </c>
      <c r="B3" s="92" t="s">
        <v>15</v>
      </c>
      <c r="C3" s="93" t="s">
        <v>5</v>
      </c>
      <c r="D3" s="94" t="s">
        <v>180</v>
      </c>
      <c r="E3" s="94" t="s">
        <v>181</v>
      </c>
      <c r="F3" s="95" t="s">
        <v>51</v>
      </c>
      <c r="G3" s="95" t="s">
        <v>182</v>
      </c>
      <c r="H3" s="96" t="s">
        <v>183</v>
      </c>
      <c r="I3" s="96" t="s">
        <v>184</v>
      </c>
      <c r="J3" s="97">
        <v>1</v>
      </c>
      <c r="K3" s="98">
        <v>0</v>
      </c>
      <c r="L3" s="99">
        <v>1496.34</v>
      </c>
      <c r="M3" s="100">
        <v>1496.34</v>
      </c>
      <c r="N3" s="101">
        <v>0</v>
      </c>
      <c r="O3" s="101">
        <v>0</v>
      </c>
      <c r="P3" s="101">
        <v>0</v>
      </c>
      <c r="Q3" s="102">
        <v>1496.34</v>
      </c>
      <c r="R3" s="102">
        <v>1496.34</v>
      </c>
      <c r="S3" s="102">
        <f t="shared" ref="S3:S49" si="1">R3*10^6/$T$2</f>
        <v>57551.538461538461</v>
      </c>
      <c r="T3" s="96" t="s">
        <v>185</v>
      </c>
      <c r="U3" s="95" t="s">
        <v>50</v>
      </c>
      <c r="V3" s="95" t="s">
        <v>186</v>
      </c>
      <c r="W3" s="103" t="s">
        <v>187</v>
      </c>
    </row>
    <row r="4" spans="1:23" ht="31" x14ac:dyDescent="0.3">
      <c r="A4" s="104">
        <f>+A3+1</f>
        <v>2</v>
      </c>
      <c r="B4" s="123" t="s">
        <v>16</v>
      </c>
      <c r="C4" s="93" t="s">
        <v>5</v>
      </c>
      <c r="D4" s="105" t="s">
        <v>188</v>
      </c>
      <c r="E4" s="105" t="s">
        <v>189</v>
      </c>
      <c r="F4" s="106" t="s">
        <v>190</v>
      </c>
      <c r="G4" s="107" t="s">
        <v>191</v>
      </c>
      <c r="H4" s="108" t="s">
        <v>192</v>
      </c>
      <c r="I4" s="108" t="s">
        <v>193</v>
      </c>
      <c r="J4" s="109">
        <v>1</v>
      </c>
      <c r="K4" s="110">
        <v>500</v>
      </c>
      <c r="L4" s="111">
        <v>500</v>
      </c>
      <c r="M4" s="100">
        <v>0</v>
      </c>
      <c r="N4" s="112">
        <v>744.54129999999998</v>
      </c>
      <c r="O4" s="112">
        <v>744.54129999999998</v>
      </c>
      <c r="P4" s="112">
        <v>0</v>
      </c>
      <c r="Q4" s="102"/>
      <c r="R4" s="102">
        <v>744.54129999999998</v>
      </c>
      <c r="S4" s="102">
        <f t="shared" si="1"/>
        <v>28636.203846153847</v>
      </c>
      <c r="T4" s="107" t="s">
        <v>194</v>
      </c>
      <c r="U4" s="107" t="s">
        <v>195</v>
      </c>
      <c r="V4" s="107" t="s">
        <v>186</v>
      </c>
      <c r="W4" s="113" t="s">
        <v>196</v>
      </c>
    </row>
    <row r="5" spans="1:23" ht="31" x14ac:dyDescent="0.3">
      <c r="A5" s="104">
        <f t="shared" ref="A5:A49" si="2">+A4+1</f>
        <v>3</v>
      </c>
      <c r="B5" s="48" t="s">
        <v>14</v>
      </c>
      <c r="C5" s="93" t="s">
        <v>5</v>
      </c>
      <c r="D5" s="105" t="s">
        <v>197</v>
      </c>
      <c r="E5" s="105" t="s">
        <v>198</v>
      </c>
      <c r="F5" s="106" t="s">
        <v>199</v>
      </c>
      <c r="G5" s="107" t="s">
        <v>200</v>
      </c>
      <c r="H5" s="108" t="s">
        <v>192</v>
      </c>
      <c r="I5" s="108" t="s">
        <v>201</v>
      </c>
      <c r="J5" s="109">
        <v>3</v>
      </c>
      <c r="K5" s="110">
        <v>114.28136499999999</v>
      </c>
      <c r="L5" s="111">
        <v>114.28136499999999</v>
      </c>
      <c r="M5" s="100">
        <v>0</v>
      </c>
      <c r="N5" s="112">
        <v>105.4635</v>
      </c>
      <c r="O5" s="112">
        <v>105.4635</v>
      </c>
      <c r="P5" s="112">
        <v>0</v>
      </c>
      <c r="Q5" s="102"/>
      <c r="R5" s="102">
        <v>105.4635</v>
      </c>
      <c r="S5" s="102">
        <f t="shared" si="1"/>
        <v>4056.2884615384614</v>
      </c>
      <c r="T5" s="107" t="s">
        <v>202</v>
      </c>
      <c r="U5" s="107" t="s">
        <v>50</v>
      </c>
      <c r="V5" s="107" t="s">
        <v>186</v>
      </c>
      <c r="W5" s="113" t="s">
        <v>196</v>
      </c>
    </row>
    <row r="6" spans="1:23" ht="46.5" x14ac:dyDescent="0.3">
      <c r="A6" s="104">
        <f t="shared" si="2"/>
        <v>4</v>
      </c>
      <c r="B6" s="114" t="s">
        <v>14</v>
      </c>
      <c r="C6" s="93" t="s">
        <v>5</v>
      </c>
      <c r="D6" s="105" t="s">
        <v>203</v>
      </c>
      <c r="E6" s="105" t="s">
        <v>204</v>
      </c>
      <c r="F6" s="106" t="s">
        <v>81</v>
      </c>
      <c r="G6" s="107" t="s">
        <v>205</v>
      </c>
      <c r="H6" s="108" t="s">
        <v>192</v>
      </c>
      <c r="I6" s="108" t="s">
        <v>206</v>
      </c>
      <c r="J6" s="109">
        <v>1</v>
      </c>
      <c r="K6" s="110">
        <v>100</v>
      </c>
      <c r="L6" s="111">
        <v>100</v>
      </c>
      <c r="M6" s="100">
        <v>0</v>
      </c>
      <c r="N6" s="112">
        <v>206.91438099999999</v>
      </c>
      <c r="O6" s="112">
        <v>254.02830599999999</v>
      </c>
      <c r="P6" s="112">
        <v>-47.113924999999995</v>
      </c>
      <c r="Q6" s="102"/>
      <c r="R6" s="102">
        <v>206.91438099999999</v>
      </c>
      <c r="S6" s="102">
        <f t="shared" si="1"/>
        <v>7958.2454230769226</v>
      </c>
      <c r="T6" s="107" t="s">
        <v>207</v>
      </c>
      <c r="U6" s="107" t="s">
        <v>208</v>
      </c>
      <c r="V6" s="107" t="s">
        <v>186</v>
      </c>
      <c r="W6" s="113" t="s">
        <v>209</v>
      </c>
    </row>
    <row r="7" spans="1:23" ht="31" x14ac:dyDescent="0.3">
      <c r="A7" s="104">
        <f t="shared" si="2"/>
        <v>5</v>
      </c>
      <c r="B7" s="92" t="s">
        <v>14</v>
      </c>
      <c r="C7" s="93" t="s">
        <v>5</v>
      </c>
      <c r="D7" s="115" t="s">
        <v>210</v>
      </c>
      <c r="E7" s="115" t="s">
        <v>211</v>
      </c>
      <c r="F7" s="95" t="s">
        <v>212</v>
      </c>
      <c r="G7" s="116" t="s">
        <v>213</v>
      </c>
      <c r="H7" s="117" t="s">
        <v>214</v>
      </c>
      <c r="I7" s="117" t="s">
        <v>215</v>
      </c>
      <c r="J7" s="118">
        <v>2</v>
      </c>
      <c r="K7" s="119">
        <v>0</v>
      </c>
      <c r="L7" s="99">
        <v>65</v>
      </c>
      <c r="M7" s="100">
        <v>65</v>
      </c>
      <c r="N7" s="120">
        <v>65</v>
      </c>
      <c r="O7" s="120">
        <v>65</v>
      </c>
      <c r="P7" s="120">
        <v>0</v>
      </c>
      <c r="Q7" s="102"/>
      <c r="R7" s="102">
        <v>65</v>
      </c>
      <c r="S7" s="102">
        <f t="shared" si="1"/>
        <v>2500</v>
      </c>
      <c r="T7" s="116" t="s">
        <v>216</v>
      </c>
      <c r="U7" s="116" t="s">
        <v>50</v>
      </c>
      <c r="V7" s="116" t="s">
        <v>186</v>
      </c>
      <c r="W7" s="103" t="s">
        <v>196</v>
      </c>
    </row>
    <row r="8" spans="1:23" ht="46.5" x14ac:dyDescent="0.3">
      <c r="A8" s="104">
        <f t="shared" si="2"/>
        <v>6</v>
      </c>
      <c r="B8" s="2" t="s">
        <v>14</v>
      </c>
      <c r="C8" s="93" t="s">
        <v>5</v>
      </c>
      <c r="D8" s="115" t="s">
        <v>217</v>
      </c>
      <c r="E8" s="115" t="s">
        <v>218</v>
      </c>
      <c r="F8" s="95" t="s">
        <v>51</v>
      </c>
      <c r="G8" s="116" t="s">
        <v>200</v>
      </c>
      <c r="H8" s="117" t="s">
        <v>214</v>
      </c>
      <c r="I8" s="117" t="s">
        <v>219</v>
      </c>
      <c r="J8" s="118">
        <v>1</v>
      </c>
      <c r="K8" s="121"/>
      <c r="L8" s="99">
        <v>770.78926899999999</v>
      </c>
      <c r="M8" s="100">
        <v>770.78926899999999</v>
      </c>
      <c r="N8" s="120">
        <v>770.78926899999999</v>
      </c>
      <c r="O8" s="120">
        <v>177.78104999999999</v>
      </c>
      <c r="P8" s="120">
        <v>593.00821900000005</v>
      </c>
      <c r="Q8" s="102">
        <v>0</v>
      </c>
      <c r="R8" s="102">
        <v>770.78926899999999</v>
      </c>
      <c r="S8" s="102">
        <f t="shared" si="1"/>
        <v>29645.741115384615</v>
      </c>
      <c r="T8" s="116" t="s">
        <v>116</v>
      </c>
      <c r="U8" s="116" t="s">
        <v>50</v>
      </c>
      <c r="V8" s="116" t="s">
        <v>186</v>
      </c>
      <c r="W8" s="103" t="s">
        <v>209</v>
      </c>
    </row>
    <row r="9" spans="1:23" ht="31" x14ac:dyDescent="0.3">
      <c r="A9" s="104">
        <f t="shared" si="2"/>
        <v>7</v>
      </c>
      <c r="B9" s="122" t="s">
        <v>16</v>
      </c>
      <c r="C9" s="93" t="s">
        <v>5</v>
      </c>
      <c r="D9" s="105" t="s">
        <v>220</v>
      </c>
      <c r="E9" s="105" t="s">
        <v>221</v>
      </c>
      <c r="F9" s="106" t="s">
        <v>51</v>
      </c>
      <c r="G9" s="107" t="s">
        <v>200</v>
      </c>
      <c r="H9" s="108" t="s">
        <v>183</v>
      </c>
      <c r="I9" s="108" t="s">
        <v>222</v>
      </c>
      <c r="J9" s="109">
        <v>3</v>
      </c>
      <c r="K9" s="110">
        <v>12458.125</v>
      </c>
      <c r="L9" s="111">
        <v>12458.125</v>
      </c>
      <c r="M9" s="100">
        <v>0</v>
      </c>
      <c r="N9" s="112">
        <v>4990.8833130000003</v>
      </c>
      <c r="O9" s="112">
        <v>4990.8833130000003</v>
      </c>
      <c r="P9" s="112">
        <v>0</v>
      </c>
      <c r="Q9" s="102">
        <v>7467.2416869999997</v>
      </c>
      <c r="R9" s="102">
        <v>4990.8833130000003</v>
      </c>
      <c r="S9" s="102">
        <f t="shared" si="1"/>
        <v>191957.05050000001</v>
      </c>
      <c r="T9" s="107" t="s">
        <v>223</v>
      </c>
      <c r="U9" s="107" t="s">
        <v>46</v>
      </c>
      <c r="V9" s="107" t="s">
        <v>186</v>
      </c>
      <c r="W9" s="113" t="s">
        <v>196</v>
      </c>
    </row>
    <row r="10" spans="1:23" ht="46.5" x14ac:dyDescent="0.3">
      <c r="A10" s="104">
        <f t="shared" si="2"/>
        <v>8</v>
      </c>
      <c r="B10" s="123" t="s">
        <v>16</v>
      </c>
      <c r="C10" s="93" t="s">
        <v>5</v>
      </c>
      <c r="D10" s="124" t="s">
        <v>224</v>
      </c>
      <c r="E10" s="124" t="s">
        <v>225</v>
      </c>
      <c r="F10" s="106" t="s">
        <v>51</v>
      </c>
      <c r="G10" s="107" t="s">
        <v>200</v>
      </c>
      <c r="H10" s="125" t="s">
        <v>183</v>
      </c>
      <c r="I10" s="125" t="s">
        <v>226</v>
      </c>
      <c r="J10" s="126">
        <v>4</v>
      </c>
      <c r="K10" s="110">
        <v>3766.5</v>
      </c>
      <c r="L10" s="111">
        <v>3766.5</v>
      </c>
      <c r="M10" s="100">
        <v>0</v>
      </c>
      <c r="N10" s="112">
        <v>760.38300000000004</v>
      </c>
      <c r="O10" s="112">
        <v>760.38300000000004</v>
      </c>
      <c r="P10" s="112">
        <v>0</v>
      </c>
      <c r="Q10" s="102">
        <v>3006.1170000000002</v>
      </c>
      <c r="R10" s="102">
        <v>760.38300000000004</v>
      </c>
      <c r="S10" s="102">
        <f t="shared" si="1"/>
        <v>29245.5</v>
      </c>
      <c r="T10" s="107" t="s">
        <v>227</v>
      </c>
      <c r="U10" s="107" t="s">
        <v>195</v>
      </c>
      <c r="V10" s="107" t="s">
        <v>186</v>
      </c>
      <c r="W10" s="113" t="s">
        <v>209</v>
      </c>
    </row>
    <row r="11" spans="1:23" ht="46.5" x14ac:dyDescent="0.3">
      <c r="A11" s="104">
        <f t="shared" si="2"/>
        <v>9</v>
      </c>
      <c r="B11" s="20" t="s">
        <v>16</v>
      </c>
      <c r="C11" s="93" t="s">
        <v>6</v>
      </c>
      <c r="D11" s="105" t="s">
        <v>228</v>
      </c>
      <c r="E11" s="105" t="s">
        <v>229</v>
      </c>
      <c r="F11" s="106" t="s">
        <v>51</v>
      </c>
      <c r="G11" s="107" t="s">
        <v>200</v>
      </c>
      <c r="H11" s="108" t="s">
        <v>183</v>
      </c>
      <c r="I11" s="108" t="s">
        <v>230</v>
      </c>
      <c r="J11" s="109">
        <v>1</v>
      </c>
      <c r="K11" s="110">
        <v>1300</v>
      </c>
      <c r="L11" s="111">
        <v>1300</v>
      </c>
      <c r="M11" s="100">
        <v>0</v>
      </c>
      <c r="N11" s="112">
        <v>403.67069400000003</v>
      </c>
      <c r="O11" s="112">
        <v>403.67069400000003</v>
      </c>
      <c r="P11" s="112">
        <v>0</v>
      </c>
      <c r="Q11" s="102">
        <v>896.32930599999997</v>
      </c>
      <c r="R11" s="102">
        <v>403.67069400000003</v>
      </c>
      <c r="S11" s="102">
        <f t="shared" si="1"/>
        <v>15525.795923076923</v>
      </c>
      <c r="T11" s="107" t="s">
        <v>231</v>
      </c>
      <c r="U11" s="107" t="s">
        <v>232</v>
      </c>
      <c r="V11" s="107" t="s">
        <v>186</v>
      </c>
      <c r="W11" s="113" t="s">
        <v>209</v>
      </c>
    </row>
    <row r="12" spans="1:23" ht="62" x14ac:dyDescent="0.3">
      <c r="A12" s="104">
        <f t="shared" si="2"/>
        <v>10</v>
      </c>
      <c r="B12" s="20" t="s">
        <v>16</v>
      </c>
      <c r="C12" s="93" t="s">
        <v>5</v>
      </c>
      <c r="D12" s="105" t="s">
        <v>233</v>
      </c>
      <c r="E12" s="105" t="s">
        <v>234</v>
      </c>
      <c r="F12" s="106" t="s">
        <v>51</v>
      </c>
      <c r="G12" s="107" t="s">
        <v>200</v>
      </c>
      <c r="H12" s="108" t="s">
        <v>183</v>
      </c>
      <c r="I12" s="108" t="s">
        <v>235</v>
      </c>
      <c r="J12" s="109">
        <v>1</v>
      </c>
      <c r="K12" s="110">
        <v>155.875</v>
      </c>
      <c r="L12" s="111">
        <v>155.875</v>
      </c>
      <c r="M12" s="100">
        <v>0</v>
      </c>
      <c r="N12" s="112">
        <v>0</v>
      </c>
      <c r="O12" s="112">
        <v>0</v>
      </c>
      <c r="P12" s="112">
        <v>0</v>
      </c>
      <c r="Q12" s="102">
        <v>155.875</v>
      </c>
      <c r="R12" s="102">
        <v>155.875</v>
      </c>
      <c r="S12" s="102">
        <f t="shared" si="1"/>
        <v>5995.1923076923076</v>
      </c>
      <c r="T12" s="107" t="s">
        <v>236</v>
      </c>
      <c r="U12" s="107" t="s">
        <v>50</v>
      </c>
      <c r="V12" s="107"/>
      <c r="W12" s="113" t="s">
        <v>187</v>
      </c>
    </row>
    <row r="13" spans="1:23" ht="46.5" x14ac:dyDescent="0.3">
      <c r="A13" s="104">
        <f t="shared" si="2"/>
        <v>11</v>
      </c>
      <c r="B13" s="20" t="s">
        <v>16</v>
      </c>
      <c r="C13" s="93" t="s">
        <v>5</v>
      </c>
      <c r="D13" s="115" t="s">
        <v>237</v>
      </c>
      <c r="E13" s="115" t="s">
        <v>238</v>
      </c>
      <c r="F13" s="95" t="s">
        <v>51</v>
      </c>
      <c r="G13" s="116" t="s">
        <v>200</v>
      </c>
      <c r="H13" s="117" t="s">
        <v>183</v>
      </c>
      <c r="I13" s="117" t="s">
        <v>239</v>
      </c>
      <c r="J13" s="118">
        <v>2</v>
      </c>
      <c r="K13" s="119">
        <v>0</v>
      </c>
      <c r="L13" s="99">
        <v>1926</v>
      </c>
      <c r="M13" s="100">
        <v>1926</v>
      </c>
      <c r="N13" s="120">
        <v>181.54367999999999</v>
      </c>
      <c r="O13" s="120">
        <v>181.54367999999999</v>
      </c>
      <c r="P13" s="120">
        <v>0</v>
      </c>
      <c r="Q13" s="102">
        <v>1744.45632</v>
      </c>
      <c r="R13" s="102">
        <v>1926</v>
      </c>
      <c r="S13" s="102">
        <f t="shared" si="1"/>
        <v>74076.923076923078</v>
      </c>
      <c r="T13" s="116" t="s">
        <v>240</v>
      </c>
      <c r="U13" s="116" t="s">
        <v>46</v>
      </c>
      <c r="V13" s="116" t="s">
        <v>186</v>
      </c>
      <c r="W13" s="103" t="s">
        <v>209</v>
      </c>
    </row>
    <row r="14" spans="1:23" ht="62" x14ac:dyDescent="0.3">
      <c r="A14" s="104">
        <f t="shared" si="2"/>
        <v>12</v>
      </c>
      <c r="B14" s="2" t="s">
        <v>16</v>
      </c>
      <c r="C14" s="93" t="s">
        <v>5</v>
      </c>
      <c r="D14" s="115" t="s">
        <v>241</v>
      </c>
      <c r="E14" s="115" t="s">
        <v>242</v>
      </c>
      <c r="F14" s="95" t="s">
        <v>51</v>
      </c>
      <c r="G14" s="116" t="s">
        <v>182</v>
      </c>
      <c r="H14" s="117" t="s">
        <v>214</v>
      </c>
      <c r="I14" s="117" t="s">
        <v>243</v>
      </c>
      <c r="J14" s="118">
        <v>1</v>
      </c>
      <c r="K14" s="119">
        <v>0</v>
      </c>
      <c r="L14" s="99">
        <v>150</v>
      </c>
      <c r="M14" s="100">
        <v>150</v>
      </c>
      <c r="N14" s="120">
        <v>0</v>
      </c>
      <c r="O14" s="120">
        <v>0</v>
      </c>
      <c r="P14" s="120">
        <v>0</v>
      </c>
      <c r="Q14" s="102">
        <v>150</v>
      </c>
      <c r="R14" s="102">
        <v>150</v>
      </c>
      <c r="S14" s="102">
        <f t="shared" si="1"/>
        <v>5769.2307692307695</v>
      </c>
      <c r="T14" s="116" t="s">
        <v>244</v>
      </c>
      <c r="U14" s="116" t="s">
        <v>50</v>
      </c>
      <c r="V14" s="116" t="s">
        <v>186</v>
      </c>
      <c r="W14" s="103" t="s">
        <v>187</v>
      </c>
    </row>
    <row r="15" spans="1:23" ht="46.5" x14ac:dyDescent="0.3">
      <c r="A15" s="104">
        <f t="shared" si="2"/>
        <v>13</v>
      </c>
      <c r="B15" s="2" t="s">
        <v>16</v>
      </c>
      <c r="C15" s="93" t="s">
        <v>5</v>
      </c>
      <c r="D15" s="115" t="s">
        <v>245</v>
      </c>
      <c r="E15" s="115" t="s">
        <v>246</v>
      </c>
      <c r="F15" s="95" t="s">
        <v>190</v>
      </c>
      <c r="G15" s="116" t="s">
        <v>191</v>
      </c>
      <c r="H15" s="117" t="s">
        <v>183</v>
      </c>
      <c r="I15" s="117" t="s">
        <v>247</v>
      </c>
      <c r="J15" s="118">
        <v>1</v>
      </c>
      <c r="K15" s="119">
        <v>0</v>
      </c>
      <c r="L15" s="99">
        <v>426.61751099999998</v>
      </c>
      <c r="M15" s="100">
        <v>426.61751099999998</v>
      </c>
      <c r="N15" s="120">
        <v>367</v>
      </c>
      <c r="O15" s="120">
        <v>293.60000000000002</v>
      </c>
      <c r="P15" s="120">
        <v>73.399999999999977</v>
      </c>
      <c r="Q15" s="102">
        <v>59.617510999999979</v>
      </c>
      <c r="R15" s="102">
        <v>426.61751099999998</v>
      </c>
      <c r="S15" s="102">
        <f t="shared" si="1"/>
        <v>16408.365807692309</v>
      </c>
      <c r="T15" s="116" t="s">
        <v>248</v>
      </c>
      <c r="U15" s="116" t="s">
        <v>208</v>
      </c>
      <c r="V15" s="116" t="s">
        <v>186</v>
      </c>
      <c r="W15" s="103" t="s">
        <v>209</v>
      </c>
    </row>
    <row r="16" spans="1:23" ht="62" x14ac:dyDescent="0.3">
      <c r="A16" s="104">
        <f t="shared" si="2"/>
        <v>14</v>
      </c>
      <c r="B16" s="127" t="s">
        <v>16</v>
      </c>
      <c r="C16" s="93" t="s">
        <v>6</v>
      </c>
      <c r="D16" s="115" t="s">
        <v>249</v>
      </c>
      <c r="E16" s="115" t="s">
        <v>250</v>
      </c>
      <c r="F16" s="95" t="s">
        <v>51</v>
      </c>
      <c r="G16" s="116" t="s">
        <v>200</v>
      </c>
      <c r="H16" s="117" t="s">
        <v>214</v>
      </c>
      <c r="I16" s="117" t="s">
        <v>251</v>
      </c>
      <c r="J16" s="118">
        <v>1</v>
      </c>
      <c r="K16" s="119">
        <v>0</v>
      </c>
      <c r="L16" s="99">
        <v>410.86564900000002</v>
      </c>
      <c r="M16" s="100">
        <v>410.86564900000002</v>
      </c>
      <c r="N16" s="120">
        <v>0</v>
      </c>
      <c r="O16" s="120">
        <v>0</v>
      </c>
      <c r="P16" s="120">
        <v>0</v>
      </c>
      <c r="Q16" s="102">
        <v>410.86564900000002</v>
      </c>
      <c r="R16" s="102">
        <v>410.86564900000002</v>
      </c>
      <c r="S16" s="102">
        <f t="shared" si="1"/>
        <v>15802.524961538462</v>
      </c>
      <c r="T16" s="116" t="s">
        <v>110</v>
      </c>
      <c r="U16" s="116" t="s">
        <v>50</v>
      </c>
      <c r="V16" s="116" t="s">
        <v>186</v>
      </c>
      <c r="W16" s="103" t="s">
        <v>187</v>
      </c>
    </row>
    <row r="17" spans="1:23" ht="62" x14ac:dyDescent="0.3">
      <c r="A17" s="104">
        <f t="shared" si="2"/>
        <v>15</v>
      </c>
      <c r="B17" s="2" t="s">
        <v>10</v>
      </c>
      <c r="C17" s="93" t="s">
        <v>5</v>
      </c>
      <c r="D17" s="115" t="s">
        <v>252</v>
      </c>
      <c r="E17" s="115" t="s">
        <v>253</v>
      </c>
      <c r="F17" s="95" t="s">
        <v>51</v>
      </c>
      <c r="G17" s="116" t="s">
        <v>200</v>
      </c>
      <c r="H17" s="117" t="s">
        <v>183</v>
      </c>
      <c r="I17" s="117" t="s">
        <v>254</v>
      </c>
      <c r="J17" s="118">
        <v>3</v>
      </c>
      <c r="K17" s="119">
        <v>0</v>
      </c>
      <c r="L17" s="99">
        <v>2376</v>
      </c>
      <c r="M17" s="100">
        <v>2376</v>
      </c>
      <c r="N17" s="120">
        <v>4290</v>
      </c>
      <c r="O17" s="120">
        <v>3479.355</v>
      </c>
      <c r="P17" s="120">
        <v>810.64499999999998</v>
      </c>
      <c r="Q17" s="102"/>
      <c r="R17" s="102">
        <v>2376</v>
      </c>
      <c r="S17" s="102">
        <f t="shared" si="1"/>
        <v>91384.61538461539</v>
      </c>
      <c r="T17" s="116" t="s">
        <v>255</v>
      </c>
      <c r="U17" s="116" t="s">
        <v>46</v>
      </c>
      <c r="V17" s="116" t="s">
        <v>186</v>
      </c>
      <c r="W17" s="103" t="s">
        <v>209</v>
      </c>
    </row>
    <row r="18" spans="1:23" ht="77.5" x14ac:dyDescent="0.3">
      <c r="A18" s="104">
        <f t="shared" si="2"/>
        <v>16</v>
      </c>
      <c r="B18" s="2" t="s">
        <v>10</v>
      </c>
      <c r="C18" s="93" t="s">
        <v>5</v>
      </c>
      <c r="D18" s="128" t="s">
        <v>256</v>
      </c>
      <c r="E18" s="128" t="s">
        <v>257</v>
      </c>
      <c r="F18" s="95" t="s">
        <v>51</v>
      </c>
      <c r="G18" s="116" t="s">
        <v>200</v>
      </c>
      <c r="H18" s="96" t="s">
        <v>183</v>
      </c>
      <c r="I18" s="96" t="s">
        <v>258</v>
      </c>
      <c r="J18" s="97">
        <v>3</v>
      </c>
      <c r="K18" s="119">
        <v>0</v>
      </c>
      <c r="L18" s="99">
        <v>2016</v>
      </c>
      <c r="M18" s="100">
        <v>2016</v>
      </c>
      <c r="N18" s="120">
        <v>0</v>
      </c>
      <c r="O18" s="120">
        <v>0</v>
      </c>
      <c r="P18" s="120">
        <v>0</v>
      </c>
      <c r="Q18" s="102">
        <v>2016</v>
      </c>
      <c r="R18" s="102">
        <v>2016</v>
      </c>
      <c r="S18" s="102">
        <f t="shared" si="1"/>
        <v>77538.461538461532</v>
      </c>
      <c r="T18" s="116"/>
      <c r="U18" s="116"/>
      <c r="V18" s="116"/>
      <c r="W18" s="103" t="s">
        <v>187</v>
      </c>
    </row>
    <row r="19" spans="1:23" ht="62" x14ac:dyDescent="0.3">
      <c r="A19" s="104">
        <f t="shared" si="2"/>
        <v>17</v>
      </c>
      <c r="B19" s="2" t="s">
        <v>10</v>
      </c>
      <c r="C19" s="93" t="s">
        <v>5</v>
      </c>
      <c r="D19" s="128" t="s">
        <v>259</v>
      </c>
      <c r="E19" s="128" t="s">
        <v>260</v>
      </c>
      <c r="F19" s="95" t="s">
        <v>51</v>
      </c>
      <c r="G19" s="116" t="s">
        <v>182</v>
      </c>
      <c r="H19" s="117" t="s">
        <v>183</v>
      </c>
      <c r="I19" s="117" t="s">
        <v>261</v>
      </c>
      <c r="J19" s="118">
        <v>1</v>
      </c>
      <c r="K19" s="119">
        <v>0</v>
      </c>
      <c r="L19" s="99">
        <v>100</v>
      </c>
      <c r="M19" s="100">
        <v>100</v>
      </c>
      <c r="N19" s="120">
        <v>0</v>
      </c>
      <c r="O19" s="120">
        <v>0</v>
      </c>
      <c r="P19" s="120">
        <v>0</v>
      </c>
      <c r="Q19" s="102">
        <v>100</v>
      </c>
      <c r="R19" s="102">
        <v>100</v>
      </c>
      <c r="S19" s="102">
        <f t="shared" si="1"/>
        <v>3846.1538461538462</v>
      </c>
      <c r="T19" s="116"/>
      <c r="U19" s="116"/>
      <c r="V19" s="116"/>
      <c r="W19" s="103" t="s">
        <v>187</v>
      </c>
    </row>
    <row r="20" spans="1:23" ht="62" x14ac:dyDescent="0.3">
      <c r="A20" s="104">
        <f t="shared" si="2"/>
        <v>18</v>
      </c>
      <c r="B20" s="2" t="s">
        <v>16</v>
      </c>
      <c r="C20" s="93" t="s">
        <v>5</v>
      </c>
      <c r="D20" s="115" t="s">
        <v>262</v>
      </c>
      <c r="E20" s="115" t="s">
        <v>263</v>
      </c>
      <c r="F20" s="95" t="s">
        <v>51</v>
      </c>
      <c r="G20" s="116" t="s">
        <v>182</v>
      </c>
      <c r="H20" s="117" t="s">
        <v>183</v>
      </c>
      <c r="I20" s="117" t="s">
        <v>264</v>
      </c>
      <c r="J20" s="118">
        <v>3</v>
      </c>
      <c r="K20" s="119">
        <v>0</v>
      </c>
      <c r="L20" s="129">
        <v>5486.884</v>
      </c>
      <c r="M20" s="100">
        <v>5486.884</v>
      </c>
      <c r="N20" s="120">
        <v>5486.884</v>
      </c>
      <c r="O20" s="120">
        <v>0</v>
      </c>
      <c r="P20" s="120">
        <v>0</v>
      </c>
      <c r="Q20" s="130">
        <v>5486.884</v>
      </c>
      <c r="R20" s="130">
        <v>5486.884</v>
      </c>
      <c r="S20" s="102">
        <f t="shared" si="1"/>
        <v>211034</v>
      </c>
      <c r="T20" s="116" t="s">
        <v>124</v>
      </c>
      <c r="U20" s="116" t="s">
        <v>50</v>
      </c>
      <c r="V20" s="116" t="s">
        <v>186</v>
      </c>
      <c r="W20" s="103" t="s">
        <v>187</v>
      </c>
    </row>
    <row r="21" spans="1:23" ht="62" x14ac:dyDescent="0.3">
      <c r="A21" s="104">
        <f t="shared" si="2"/>
        <v>19</v>
      </c>
      <c r="B21" s="2" t="s">
        <v>16</v>
      </c>
      <c r="C21" s="131" t="s">
        <v>5</v>
      </c>
      <c r="D21" s="115" t="s">
        <v>265</v>
      </c>
      <c r="E21" s="115" t="s">
        <v>266</v>
      </c>
      <c r="F21" s="95" t="s">
        <v>51</v>
      </c>
      <c r="G21" s="116" t="s">
        <v>200</v>
      </c>
      <c r="H21" s="117" t="s">
        <v>183</v>
      </c>
      <c r="I21" s="117" t="s">
        <v>267</v>
      </c>
      <c r="J21" s="118">
        <v>3</v>
      </c>
      <c r="K21" s="119">
        <v>0</v>
      </c>
      <c r="L21" s="129">
        <v>680</v>
      </c>
      <c r="M21" s="100">
        <v>680</v>
      </c>
      <c r="N21" s="120">
        <v>0</v>
      </c>
      <c r="O21" s="120">
        <v>0</v>
      </c>
      <c r="P21" s="120">
        <v>0</v>
      </c>
      <c r="Q21" s="130">
        <v>680</v>
      </c>
      <c r="R21" s="130">
        <v>680</v>
      </c>
      <c r="S21" s="102">
        <f t="shared" si="1"/>
        <v>26153.846153846152</v>
      </c>
      <c r="T21" s="120" t="s">
        <v>268</v>
      </c>
      <c r="U21" s="120" t="s">
        <v>269</v>
      </c>
      <c r="V21" s="120" t="s">
        <v>186</v>
      </c>
      <c r="W21" s="103" t="s">
        <v>187</v>
      </c>
    </row>
    <row r="22" spans="1:23" ht="46.5" x14ac:dyDescent="0.3">
      <c r="A22" s="104">
        <f t="shared" si="2"/>
        <v>20</v>
      </c>
      <c r="B22" s="20" t="s">
        <v>9</v>
      </c>
      <c r="C22" s="131" t="s">
        <v>5</v>
      </c>
      <c r="D22" s="105" t="s">
        <v>270</v>
      </c>
      <c r="E22" s="105" t="s">
        <v>271</v>
      </c>
      <c r="F22" s="106" t="s">
        <v>190</v>
      </c>
      <c r="G22" s="107" t="s">
        <v>272</v>
      </c>
      <c r="H22" s="108" t="s">
        <v>214</v>
      </c>
      <c r="I22" s="108" t="s">
        <v>273</v>
      </c>
      <c r="J22" s="109">
        <v>5</v>
      </c>
      <c r="K22" s="110">
        <v>273</v>
      </c>
      <c r="L22" s="132">
        <v>273</v>
      </c>
      <c r="M22" s="100">
        <v>0</v>
      </c>
      <c r="N22" s="112">
        <v>112.2599</v>
      </c>
      <c r="O22" s="112">
        <v>75.925926000000004</v>
      </c>
      <c r="P22" s="112">
        <v>36.333973999999998</v>
      </c>
      <c r="Q22" s="130">
        <v>160.74009999999998</v>
      </c>
      <c r="R22" s="130">
        <v>112.2599</v>
      </c>
      <c r="S22" s="102">
        <f t="shared" si="1"/>
        <v>4317.6884615384615</v>
      </c>
      <c r="T22" s="107" t="s">
        <v>274</v>
      </c>
      <c r="U22" s="107" t="s">
        <v>46</v>
      </c>
      <c r="V22" s="107" t="s">
        <v>186</v>
      </c>
      <c r="W22" s="113" t="s">
        <v>209</v>
      </c>
    </row>
    <row r="23" spans="1:23" ht="31" x14ac:dyDescent="0.3">
      <c r="A23" s="104">
        <f t="shared" si="2"/>
        <v>21</v>
      </c>
      <c r="B23" s="20" t="s">
        <v>15</v>
      </c>
      <c r="C23" s="93" t="s">
        <v>5</v>
      </c>
      <c r="D23" s="105" t="s">
        <v>275</v>
      </c>
      <c r="E23" s="105" t="s">
        <v>276</v>
      </c>
      <c r="F23" s="106" t="s">
        <v>190</v>
      </c>
      <c r="G23" s="107" t="s">
        <v>272</v>
      </c>
      <c r="H23" s="108" t="s">
        <v>214</v>
      </c>
      <c r="I23" s="108" t="s">
        <v>277</v>
      </c>
      <c r="J23" s="109">
        <v>1</v>
      </c>
      <c r="K23" s="110">
        <v>200</v>
      </c>
      <c r="L23" s="132">
        <v>200</v>
      </c>
      <c r="M23" s="100">
        <v>0</v>
      </c>
      <c r="N23" s="112">
        <v>290</v>
      </c>
      <c r="O23" s="112">
        <v>290</v>
      </c>
      <c r="P23" s="112">
        <v>0</v>
      </c>
      <c r="Q23" s="130"/>
      <c r="R23" s="130">
        <v>290</v>
      </c>
      <c r="S23" s="102">
        <f t="shared" si="1"/>
        <v>11153.846153846154</v>
      </c>
      <c r="T23" s="107" t="s">
        <v>278</v>
      </c>
      <c r="U23" s="107" t="s">
        <v>46</v>
      </c>
      <c r="V23" s="107" t="s">
        <v>186</v>
      </c>
      <c r="W23" s="113" t="s">
        <v>196</v>
      </c>
    </row>
    <row r="24" spans="1:23" ht="46.5" x14ac:dyDescent="0.3">
      <c r="A24" s="104">
        <f t="shared" si="2"/>
        <v>22</v>
      </c>
      <c r="B24" s="20" t="s">
        <v>9</v>
      </c>
      <c r="C24" s="133" t="s">
        <v>6</v>
      </c>
      <c r="D24" s="115" t="s">
        <v>279</v>
      </c>
      <c r="E24" s="115" t="s">
        <v>280</v>
      </c>
      <c r="F24" s="95" t="s">
        <v>51</v>
      </c>
      <c r="G24" s="116" t="s">
        <v>200</v>
      </c>
      <c r="H24" s="117" t="s">
        <v>183</v>
      </c>
      <c r="I24" s="117" t="s">
        <v>281</v>
      </c>
      <c r="J24" s="118">
        <v>1</v>
      </c>
      <c r="K24" s="119">
        <v>0</v>
      </c>
      <c r="L24" s="129">
        <v>500</v>
      </c>
      <c r="M24" s="100">
        <v>500</v>
      </c>
      <c r="N24" s="120">
        <v>530</v>
      </c>
      <c r="O24" s="120">
        <v>530</v>
      </c>
      <c r="P24" s="120">
        <v>0</v>
      </c>
      <c r="Q24" s="130"/>
      <c r="R24" s="130">
        <v>530</v>
      </c>
      <c r="S24" s="102">
        <f t="shared" si="1"/>
        <v>20384.615384615383</v>
      </c>
      <c r="T24" s="116" t="s">
        <v>282</v>
      </c>
      <c r="U24" s="116" t="s">
        <v>50</v>
      </c>
      <c r="V24" s="116" t="s">
        <v>186</v>
      </c>
      <c r="W24" s="103" t="s">
        <v>196</v>
      </c>
    </row>
    <row r="25" spans="1:23" ht="46.5" x14ac:dyDescent="0.3">
      <c r="A25" s="104">
        <f t="shared" si="2"/>
        <v>23</v>
      </c>
      <c r="B25" s="20" t="s">
        <v>9</v>
      </c>
      <c r="C25" s="93" t="s">
        <v>5</v>
      </c>
      <c r="D25" s="115" t="s">
        <v>283</v>
      </c>
      <c r="E25" s="115" t="s">
        <v>284</v>
      </c>
      <c r="F25" s="95" t="s">
        <v>51</v>
      </c>
      <c r="G25" s="116" t="s">
        <v>182</v>
      </c>
      <c r="H25" s="117" t="s">
        <v>183</v>
      </c>
      <c r="I25" s="117" t="s">
        <v>285</v>
      </c>
      <c r="J25" s="118">
        <v>1</v>
      </c>
      <c r="K25" s="119">
        <v>0</v>
      </c>
      <c r="L25" s="129">
        <v>13358.384</v>
      </c>
      <c r="M25" s="100">
        <v>13358.384</v>
      </c>
      <c r="N25" s="120">
        <v>12000</v>
      </c>
      <c r="O25" s="120">
        <v>2485.84</v>
      </c>
      <c r="P25" s="120">
        <v>9514.16</v>
      </c>
      <c r="Q25" s="130"/>
      <c r="R25" s="130">
        <v>13358.384</v>
      </c>
      <c r="S25" s="102">
        <f t="shared" si="1"/>
        <v>513784</v>
      </c>
      <c r="T25" s="116" t="s">
        <v>286</v>
      </c>
      <c r="U25" s="116" t="s">
        <v>46</v>
      </c>
      <c r="V25" s="116" t="s">
        <v>186</v>
      </c>
      <c r="W25" s="103" t="s">
        <v>209</v>
      </c>
    </row>
    <row r="26" spans="1:23" ht="62" x14ac:dyDescent="0.3">
      <c r="A26" s="104">
        <f t="shared" si="2"/>
        <v>24</v>
      </c>
      <c r="B26" s="2" t="s">
        <v>16</v>
      </c>
      <c r="C26" s="133" t="s">
        <v>5</v>
      </c>
      <c r="D26" s="115" t="s">
        <v>287</v>
      </c>
      <c r="E26" s="115" t="s">
        <v>288</v>
      </c>
      <c r="F26" s="95" t="s">
        <v>212</v>
      </c>
      <c r="G26" s="116" t="s">
        <v>213</v>
      </c>
      <c r="H26" s="117" t="s">
        <v>214</v>
      </c>
      <c r="I26" s="117" t="s">
        <v>289</v>
      </c>
      <c r="J26" s="118">
        <v>1</v>
      </c>
      <c r="K26" s="119">
        <v>0</v>
      </c>
      <c r="L26" s="129">
        <v>775.75</v>
      </c>
      <c r="M26" s="100">
        <v>775.75</v>
      </c>
      <c r="N26" s="120">
        <v>0</v>
      </c>
      <c r="O26" s="120">
        <v>0</v>
      </c>
      <c r="P26" s="120">
        <v>0</v>
      </c>
      <c r="Q26" s="130">
        <v>775.75</v>
      </c>
      <c r="R26" s="130">
        <v>775.75</v>
      </c>
      <c r="S26" s="102">
        <f t="shared" si="1"/>
        <v>29836.538461538461</v>
      </c>
      <c r="T26" s="117" t="s">
        <v>290</v>
      </c>
      <c r="U26" s="117" t="s">
        <v>291</v>
      </c>
      <c r="V26" s="116" t="s">
        <v>186</v>
      </c>
      <c r="W26" s="103" t="s">
        <v>187</v>
      </c>
    </row>
    <row r="27" spans="1:23" ht="46.5" x14ac:dyDescent="0.3">
      <c r="A27" s="104">
        <f t="shared" si="2"/>
        <v>25</v>
      </c>
      <c r="B27" s="134" t="s">
        <v>9</v>
      </c>
      <c r="C27" s="93" t="s">
        <v>5</v>
      </c>
      <c r="D27" s="115" t="s">
        <v>292</v>
      </c>
      <c r="E27" s="115" t="s">
        <v>293</v>
      </c>
      <c r="F27" s="95" t="s">
        <v>51</v>
      </c>
      <c r="G27" s="116" t="s">
        <v>294</v>
      </c>
      <c r="H27" s="117" t="s">
        <v>17</v>
      </c>
      <c r="I27" s="117" t="s">
        <v>295</v>
      </c>
      <c r="J27" s="118">
        <v>1</v>
      </c>
      <c r="K27" s="119">
        <v>0</v>
      </c>
      <c r="L27" s="129">
        <v>54374.64</v>
      </c>
      <c r="M27" s="100">
        <v>54374.64</v>
      </c>
      <c r="N27" s="120">
        <v>54374.64</v>
      </c>
      <c r="O27" s="120">
        <v>2192.75</v>
      </c>
      <c r="P27" s="120">
        <v>41662.25</v>
      </c>
      <c r="Q27" s="130"/>
      <c r="R27" s="130">
        <v>54374.64</v>
      </c>
      <c r="S27" s="102">
        <f t="shared" si="1"/>
        <v>2091332.3076923077</v>
      </c>
      <c r="T27" s="116" t="s">
        <v>296</v>
      </c>
      <c r="U27" s="116" t="s">
        <v>50</v>
      </c>
      <c r="V27" s="116" t="s">
        <v>186</v>
      </c>
      <c r="W27" s="103" t="s">
        <v>209</v>
      </c>
    </row>
    <row r="28" spans="1:23" ht="62" x14ac:dyDescent="0.3">
      <c r="A28" s="104">
        <f t="shared" si="2"/>
        <v>26</v>
      </c>
      <c r="B28" s="20" t="s">
        <v>9</v>
      </c>
      <c r="C28" s="93" t="s">
        <v>5</v>
      </c>
      <c r="D28" s="115" t="s">
        <v>297</v>
      </c>
      <c r="E28" s="115" t="s">
        <v>298</v>
      </c>
      <c r="F28" s="95" t="s">
        <v>51</v>
      </c>
      <c r="G28" s="116" t="s">
        <v>200</v>
      </c>
      <c r="H28" s="117" t="s">
        <v>183</v>
      </c>
      <c r="I28" s="117" t="s">
        <v>299</v>
      </c>
      <c r="J28" s="118">
        <v>1</v>
      </c>
      <c r="K28" s="119">
        <v>0</v>
      </c>
      <c r="L28" s="129">
        <v>189.5</v>
      </c>
      <c r="M28" s="100">
        <v>189.5</v>
      </c>
      <c r="N28" s="120">
        <v>0</v>
      </c>
      <c r="O28" s="120">
        <v>0</v>
      </c>
      <c r="P28" s="120">
        <v>0</v>
      </c>
      <c r="Q28" s="130">
        <v>189.5</v>
      </c>
      <c r="R28" s="130">
        <v>189.5</v>
      </c>
      <c r="S28" s="102">
        <f t="shared" si="1"/>
        <v>7288.4615384615381</v>
      </c>
      <c r="T28" s="120" t="s">
        <v>300</v>
      </c>
      <c r="U28" s="120" t="s">
        <v>50</v>
      </c>
      <c r="V28" s="120" t="s">
        <v>186</v>
      </c>
      <c r="W28" s="103" t="s">
        <v>187</v>
      </c>
    </row>
    <row r="29" spans="1:23" ht="62" x14ac:dyDescent="0.3">
      <c r="A29" s="104">
        <f t="shared" si="2"/>
        <v>27</v>
      </c>
      <c r="B29" s="123" t="s">
        <v>8</v>
      </c>
      <c r="C29" s="93" t="s">
        <v>5</v>
      </c>
      <c r="D29" s="105" t="s">
        <v>301</v>
      </c>
      <c r="E29" s="105" t="s">
        <v>302</v>
      </c>
      <c r="F29" s="106" t="s">
        <v>51</v>
      </c>
      <c r="G29" s="107" t="s">
        <v>200</v>
      </c>
      <c r="H29" s="108" t="s">
        <v>183</v>
      </c>
      <c r="I29" s="108" t="s">
        <v>303</v>
      </c>
      <c r="J29" s="109">
        <v>1</v>
      </c>
      <c r="K29" s="132">
        <v>242676</v>
      </c>
      <c r="L29" s="132">
        <v>163986</v>
      </c>
      <c r="M29" s="100">
        <v>-78690</v>
      </c>
      <c r="N29" s="112">
        <v>163986</v>
      </c>
      <c r="O29" s="112">
        <v>36361.671999999999</v>
      </c>
      <c r="P29" s="112">
        <v>77624.328000000009</v>
      </c>
      <c r="Q29" s="130">
        <v>50000</v>
      </c>
      <c r="R29" s="130">
        <v>163986</v>
      </c>
      <c r="S29" s="102">
        <f t="shared" si="1"/>
        <v>6307153.846153846</v>
      </c>
      <c r="T29" s="107" t="s">
        <v>304</v>
      </c>
      <c r="U29" s="107" t="s">
        <v>232</v>
      </c>
      <c r="V29" s="107" t="s">
        <v>186</v>
      </c>
      <c r="W29" s="113" t="s">
        <v>209</v>
      </c>
    </row>
    <row r="30" spans="1:23" ht="46.5" x14ac:dyDescent="0.3">
      <c r="A30" s="104">
        <f t="shared" si="2"/>
        <v>28</v>
      </c>
      <c r="B30" s="123" t="s">
        <v>10</v>
      </c>
      <c r="C30" s="93" t="s">
        <v>5</v>
      </c>
      <c r="D30" s="105" t="s">
        <v>305</v>
      </c>
      <c r="E30" s="105" t="s">
        <v>306</v>
      </c>
      <c r="F30" s="106" t="s">
        <v>51</v>
      </c>
      <c r="G30" s="107" t="s">
        <v>200</v>
      </c>
      <c r="H30" s="108" t="s">
        <v>183</v>
      </c>
      <c r="I30" s="108" t="s">
        <v>307</v>
      </c>
      <c r="J30" s="109">
        <v>3</v>
      </c>
      <c r="K30" s="110">
        <v>1958</v>
      </c>
      <c r="L30" s="132">
        <v>1958</v>
      </c>
      <c r="M30" s="100">
        <v>0</v>
      </c>
      <c r="N30" s="112">
        <v>1273.7951459999999</v>
      </c>
      <c r="O30" s="112">
        <v>1273.7951459999999</v>
      </c>
      <c r="P30" s="112">
        <v>0</v>
      </c>
      <c r="Q30" s="130">
        <v>684.20485400000007</v>
      </c>
      <c r="R30" s="130">
        <v>1273.7951459999999</v>
      </c>
      <c r="S30" s="102">
        <f t="shared" si="1"/>
        <v>48992.120999999999</v>
      </c>
      <c r="T30" s="107" t="s">
        <v>304</v>
      </c>
      <c r="U30" s="107" t="s">
        <v>232</v>
      </c>
      <c r="V30" s="107" t="s">
        <v>186</v>
      </c>
      <c r="W30" s="113" t="s">
        <v>209</v>
      </c>
    </row>
    <row r="31" spans="1:23" ht="46.5" x14ac:dyDescent="0.3">
      <c r="A31" s="104">
        <f t="shared" si="2"/>
        <v>29</v>
      </c>
      <c r="B31" s="20" t="s">
        <v>9</v>
      </c>
      <c r="C31" s="93" t="s">
        <v>5</v>
      </c>
      <c r="D31" s="115" t="s">
        <v>308</v>
      </c>
      <c r="E31" s="115" t="s">
        <v>309</v>
      </c>
      <c r="F31" s="95" t="s">
        <v>51</v>
      </c>
      <c r="G31" s="116" t="s">
        <v>200</v>
      </c>
      <c r="H31" s="117" t="s">
        <v>183</v>
      </c>
      <c r="I31" s="117" t="s">
        <v>310</v>
      </c>
      <c r="J31" s="118">
        <v>1</v>
      </c>
      <c r="K31" s="119">
        <v>0</v>
      </c>
      <c r="L31" s="129">
        <v>2580</v>
      </c>
      <c r="M31" s="100">
        <v>2580</v>
      </c>
      <c r="N31" s="120">
        <v>680</v>
      </c>
      <c r="O31" s="120">
        <v>680</v>
      </c>
      <c r="P31" s="120">
        <v>0</v>
      </c>
      <c r="Q31" s="130">
        <v>1900</v>
      </c>
      <c r="R31" s="130">
        <v>680</v>
      </c>
      <c r="S31" s="102">
        <f t="shared" si="1"/>
        <v>26153.846153846152</v>
      </c>
      <c r="T31" s="116" t="s">
        <v>129</v>
      </c>
      <c r="U31" s="116" t="s">
        <v>50</v>
      </c>
      <c r="V31" s="116" t="s">
        <v>186</v>
      </c>
      <c r="W31" s="103" t="s">
        <v>209</v>
      </c>
    </row>
    <row r="32" spans="1:23" ht="46.5" x14ac:dyDescent="0.3">
      <c r="A32" s="104">
        <f t="shared" si="2"/>
        <v>30</v>
      </c>
      <c r="B32" s="20" t="s">
        <v>9</v>
      </c>
      <c r="C32" s="93" t="s">
        <v>5</v>
      </c>
      <c r="D32" s="115" t="s">
        <v>311</v>
      </c>
      <c r="E32" s="115" t="s">
        <v>312</v>
      </c>
      <c r="F32" s="95" t="s">
        <v>51</v>
      </c>
      <c r="G32" s="116" t="s">
        <v>200</v>
      </c>
      <c r="H32" s="117" t="s">
        <v>183</v>
      </c>
      <c r="I32" s="117" t="s">
        <v>313</v>
      </c>
      <c r="J32" s="118">
        <v>2</v>
      </c>
      <c r="K32" s="119">
        <v>0</v>
      </c>
      <c r="L32" s="129">
        <v>5253</v>
      </c>
      <c r="M32" s="100">
        <v>5253</v>
      </c>
      <c r="N32" s="120">
        <v>3250</v>
      </c>
      <c r="O32" s="120">
        <v>1019.07</v>
      </c>
      <c r="P32" s="120">
        <v>2230.9299999999998</v>
      </c>
      <c r="Q32" s="130">
        <v>2003</v>
      </c>
      <c r="R32" s="130">
        <v>3250</v>
      </c>
      <c r="S32" s="102">
        <f t="shared" si="1"/>
        <v>125000</v>
      </c>
      <c r="T32" s="116" t="s">
        <v>227</v>
      </c>
      <c r="U32" s="116" t="s">
        <v>195</v>
      </c>
      <c r="V32" s="116" t="s">
        <v>186</v>
      </c>
      <c r="W32" s="103" t="s">
        <v>209</v>
      </c>
    </row>
    <row r="33" spans="1:23" ht="15.5" x14ac:dyDescent="0.3">
      <c r="A33" s="104">
        <f t="shared" si="2"/>
        <v>31</v>
      </c>
      <c r="B33" s="20" t="s">
        <v>8</v>
      </c>
      <c r="C33" s="93" t="s">
        <v>5</v>
      </c>
      <c r="D33" s="115"/>
      <c r="E33" s="115"/>
      <c r="F33" s="95" t="s">
        <v>51</v>
      </c>
      <c r="G33" s="116"/>
      <c r="H33" s="117" t="s">
        <v>183</v>
      </c>
      <c r="I33" s="117" t="s">
        <v>314</v>
      </c>
      <c r="J33" s="118">
        <v>1</v>
      </c>
      <c r="K33" s="119"/>
      <c r="L33" s="120"/>
      <c r="M33" s="100"/>
      <c r="N33" s="120">
        <v>19466</v>
      </c>
      <c r="O33" s="120"/>
      <c r="P33" s="120"/>
      <c r="Q33" s="130"/>
      <c r="R33" s="130">
        <v>19466</v>
      </c>
      <c r="S33" s="102">
        <f t="shared" si="1"/>
        <v>748692.30769230775</v>
      </c>
      <c r="T33" s="120"/>
      <c r="U33" s="120"/>
      <c r="V33" s="120"/>
      <c r="W33" s="103"/>
    </row>
    <row r="34" spans="1:23" ht="46.5" x14ac:dyDescent="0.3">
      <c r="A34" s="104">
        <f t="shared" si="2"/>
        <v>32</v>
      </c>
      <c r="B34" s="20" t="s">
        <v>12</v>
      </c>
      <c r="C34" s="93" t="s">
        <v>5</v>
      </c>
      <c r="D34" s="105" t="s">
        <v>315</v>
      </c>
      <c r="E34" s="105" t="s">
        <v>316</v>
      </c>
      <c r="F34" s="106" t="s">
        <v>81</v>
      </c>
      <c r="G34" s="107" t="s">
        <v>205</v>
      </c>
      <c r="H34" s="108" t="s">
        <v>214</v>
      </c>
      <c r="I34" s="108" t="s">
        <v>317</v>
      </c>
      <c r="J34" s="109">
        <v>40</v>
      </c>
      <c r="K34" s="110">
        <v>273.77</v>
      </c>
      <c r="L34" s="132">
        <v>273.77</v>
      </c>
      <c r="M34" s="100">
        <v>0</v>
      </c>
      <c r="N34" s="112">
        <v>112.2599</v>
      </c>
      <c r="O34" s="112">
        <v>112.2599</v>
      </c>
      <c r="P34" s="112">
        <v>0</v>
      </c>
      <c r="Q34" s="130">
        <v>161.51009999999997</v>
      </c>
      <c r="R34" s="130">
        <v>112.2599</v>
      </c>
      <c r="S34" s="102">
        <f t="shared" si="1"/>
        <v>4317.6884615384615</v>
      </c>
      <c r="T34" s="107" t="s">
        <v>318</v>
      </c>
      <c r="U34" s="107" t="s">
        <v>208</v>
      </c>
      <c r="V34" s="107" t="s">
        <v>186</v>
      </c>
      <c r="W34" s="113" t="s">
        <v>209</v>
      </c>
    </row>
    <row r="35" spans="1:23" ht="46.5" x14ac:dyDescent="0.3">
      <c r="A35" s="104">
        <f t="shared" si="2"/>
        <v>33</v>
      </c>
      <c r="B35" s="123" t="s">
        <v>12</v>
      </c>
      <c r="C35" s="93" t="s">
        <v>5</v>
      </c>
      <c r="D35" s="105" t="s">
        <v>319</v>
      </c>
      <c r="E35" s="105" t="s">
        <v>320</v>
      </c>
      <c r="F35" s="106" t="s">
        <v>81</v>
      </c>
      <c r="G35" s="107" t="s">
        <v>205</v>
      </c>
      <c r="H35" s="108" t="s">
        <v>214</v>
      </c>
      <c r="I35" s="108" t="s">
        <v>321</v>
      </c>
      <c r="J35" s="109">
        <v>10</v>
      </c>
      <c r="K35" s="110">
        <v>56.16</v>
      </c>
      <c r="L35" s="132">
        <v>56.16</v>
      </c>
      <c r="M35" s="100">
        <v>0</v>
      </c>
      <c r="N35" s="112">
        <v>76.531000000000006</v>
      </c>
      <c r="O35" s="112">
        <v>76.531000000000006</v>
      </c>
      <c r="P35" s="112">
        <v>0</v>
      </c>
      <c r="Q35" s="130"/>
      <c r="R35" s="130">
        <v>76.531000000000006</v>
      </c>
      <c r="S35" s="102">
        <f t="shared" si="1"/>
        <v>2943.5</v>
      </c>
      <c r="T35" s="107" t="s">
        <v>322</v>
      </c>
      <c r="U35" s="107" t="s">
        <v>208</v>
      </c>
      <c r="V35" s="107"/>
      <c r="W35" s="113" t="s">
        <v>209</v>
      </c>
    </row>
    <row r="36" spans="1:23" ht="31" x14ac:dyDescent="0.3">
      <c r="A36" s="104">
        <f t="shared" si="2"/>
        <v>34</v>
      </c>
      <c r="B36" s="123" t="s">
        <v>12</v>
      </c>
      <c r="C36" s="93" t="s">
        <v>5</v>
      </c>
      <c r="D36" s="105" t="s">
        <v>323</v>
      </c>
      <c r="E36" s="105" t="s">
        <v>324</v>
      </c>
      <c r="F36" s="106" t="s">
        <v>81</v>
      </c>
      <c r="G36" s="107" t="s">
        <v>205</v>
      </c>
      <c r="H36" s="108" t="s">
        <v>214</v>
      </c>
      <c r="I36" s="108" t="s">
        <v>325</v>
      </c>
      <c r="J36" s="109">
        <v>1</v>
      </c>
      <c r="K36" s="110">
        <v>33.189500000000002</v>
      </c>
      <c r="L36" s="132">
        <v>33.189500000000002</v>
      </c>
      <c r="M36" s="100">
        <v>0</v>
      </c>
      <c r="N36" s="112">
        <v>45.347499999999997</v>
      </c>
      <c r="O36" s="112">
        <v>45.347499999999997</v>
      </c>
      <c r="P36" s="112">
        <v>0</v>
      </c>
      <c r="Q36" s="130"/>
      <c r="R36" s="130">
        <v>45.347499999999997</v>
      </c>
      <c r="S36" s="102">
        <f t="shared" si="1"/>
        <v>1744.1346153846155</v>
      </c>
      <c r="T36" s="107" t="s">
        <v>326</v>
      </c>
      <c r="U36" s="107" t="s">
        <v>50</v>
      </c>
      <c r="V36" s="107" t="s">
        <v>186</v>
      </c>
      <c r="W36" s="113" t="s">
        <v>196</v>
      </c>
    </row>
    <row r="37" spans="1:23" ht="62" x14ac:dyDescent="0.3">
      <c r="A37" s="104">
        <f t="shared" si="2"/>
        <v>35</v>
      </c>
      <c r="B37" s="127" t="s">
        <v>12</v>
      </c>
      <c r="C37" s="135" t="s">
        <v>5</v>
      </c>
      <c r="D37" s="115" t="s">
        <v>327</v>
      </c>
      <c r="E37" s="115" t="s">
        <v>328</v>
      </c>
      <c r="F37" s="95" t="s">
        <v>81</v>
      </c>
      <c r="G37" s="116"/>
      <c r="H37" s="117" t="s">
        <v>214</v>
      </c>
      <c r="I37" s="117" t="s">
        <v>329</v>
      </c>
      <c r="J37" s="118">
        <v>2</v>
      </c>
      <c r="K37" s="119">
        <v>0</v>
      </c>
      <c r="L37" s="129">
        <v>139.86000000000001</v>
      </c>
      <c r="M37" s="100">
        <v>139.86000000000001</v>
      </c>
      <c r="N37" s="120">
        <v>0</v>
      </c>
      <c r="O37" s="120">
        <v>0</v>
      </c>
      <c r="P37" s="120">
        <v>0</v>
      </c>
      <c r="Q37" s="130">
        <v>139.86000000000001</v>
      </c>
      <c r="R37" s="130">
        <v>139.86000000000001</v>
      </c>
      <c r="S37" s="102">
        <f t="shared" si="1"/>
        <v>5379.2307692307695</v>
      </c>
      <c r="T37" s="117"/>
      <c r="U37" s="117"/>
      <c r="V37" s="116"/>
      <c r="W37" s="103" t="s">
        <v>187</v>
      </c>
    </row>
    <row r="38" spans="1:23" ht="46.5" x14ac:dyDescent="0.3">
      <c r="A38" s="104">
        <f t="shared" si="2"/>
        <v>36</v>
      </c>
      <c r="B38" s="2" t="s">
        <v>16</v>
      </c>
      <c r="C38" s="93" t="s">
        <v>5</v>
      </c>
      <c r="D38" s="105" t="s">
        <v>330</v>
      </c>
      <c r="E38" s="105" t="s">
        <v>331</v>
      </c>
      <c r="F38" s="106" t="s">
        <v>51</v>
      </c>
      <c r="G38" s="107" t="s">
        <v>200</v>
      </c>
      <c r="H38" s="108" t="s">
        <v>183</v>
      </c>
      <c r="I38" s="108" t="s">
        <v>332</v>
      </c>
      <c r="J38" s="109">
        <v>1</v>
      </c>
      <c r="K38" s="110">
        <v>12261.11</v>
      </c>
      <c r="L38" s="132">
        <v>12261.11</v>
      </c>
      <c r="M38" s="100">
        <v>0</v>
      </c>
      <c r="N38" s="112">
        <v>2798</v>
      </c>
      <c r="O38" s="112">
        <v>2798</v>
      </c>
      <c r="P38" s="112">
        <v>0</v>
      </c>
      <c r="Q38" s="130">
        <v>9463.11</v>
      </c>
      <c r="R38" s="130">
        <v>2798</v>
      </c>
      <c r="S38" s="102">
        <f t="shared" si="1"/>
        <v>107615.38461538461</v>
      </c>
      <c r="T38" s="107" t="s">
        <v>286</v>
      </c>
      <c r="U38" s="107" t="s">
        <v>46</v>
      </c>
      <c r="V38" s="107" t="s">
        <v>186</v>
      </c>
      <c r="W38" s="113" t="s">
        <v>209</v>
      </c>
    </row>
    <row r="39" spans="1:23" ht="31" x14ac:dyDescent="0.3">
      <c r="A39" s="104">
        <f t="shared" si="2"/>
        <v>37</v>
      </c>
      <c r="B39" s="114" t="s">
        <v>14</v>
      </c>
      <c r="C39" s="93" t="s">
        <v>5</v>
      </c>
      <c r="D39" s="105" t="s">
        <v>333</v>
      </c>
      <c r="E39" s="105" t="s">
        <v>334</v>
      </c>
      <c r="F39" s="106" t="s">
        <v>212</v>
      </c>
      <c r="G39" s="107" t="s">
        <v>213</v>
      </c>
      <c r="H39" s="108" t="s">
        <v>214</v>
      </c>
      <c r="I39" s="108" t="s">
        <v>335</v>
      </c>
      <c r="J39" s="109">
        <v>3</v>
      </c>
      <c r="K39" s="110">
        <v>150</v>
      </c>
      <c r="L39" s="132">
        <v>150</v>
      </c>
      <c r="M39" s="100">
        <v>0</v>
      </c>
      <c r="N39" s="112">
        <v>32.22</v>
      </c>
      <c r="O39" s="112">
        <v>32.22</v>
      </c>
      <c r="P39" s="112">
        <v>0</v>
      </c>
      <c r="Q39" s="130"/>
      <c r="R39" s="130">
        <v>150</v>
      </c>
      <c r="S39" s="102">
        <f t="shared" si="1"/>
        <v>5769.2307692307695</v>
      </c>
      <c r="T39" s="107" t="s">
        <v>336</v>
      </c>
      <c r="U39" s="107" t="s">
        <v>50</v>
      </c>
      <c r="V39" s="107" t="s">
        <v>186</v>
      </c>
      <c r="W39" s="113" t="s">
        <v>196</v>
      </c>
    </row>
    <row r="40" spans="1:23" ht="62" x14ac:dyDescent="0.3">
      <c r="A40" s="104">
        <f t="shared" si="2"/>
        <v>38</v>
      </c>
      <c r="B40" s="2" t="s">
        <v>16</v>
      </c>
      <c r="C40" s="93" t="s">
        <v>5</v>
      </c>
      <c r="D40" s="115" t="s">
        <v>337</v>
      </c>
      <c r="E40" s="115" t="s">
        <v>338</v>
      </c>
      <c r="F40" s="95" t="s">
        <v>51</v>
      </c>
      <c r="G40" s="116" t="s">
        <v>200</v>
      </c>
      <c r="H40" s="117" t="s">
        <v>192</v>
      </c>
      <c r="I40" s="117" t="s">
        <v>339</v>
      </c>
      <c r="J40" s="118">
        <v>1</v>
      </c>
      <c r="K40" s="119">
        <v>0</v>
      </c>
      <c r="L40" s="129">
        <v>339.06</v>
      </c>
      <c r="M40" s="100">
        <v>339.06</v>
      </c>
      <c r="N40" s="120">
        <v>0</v>
      </c>
      <c r="O40" s="120">
        <v>0</v>
      </c>
      <c r="P40" s="120">
        <v>0</v>
      </c>
      <c r="Q40" s="130">
        <v>339.06</v>
      </c>
      <c r="R40" s="130">
        <v>339.06</v>
      </c>
      <c r="S40" s="102">
        <f t="shared" si="1"/>
        <v>13040.76923076923</v>
      </c>
      <c r="T40" s="116" t="s">
        <v>340</v>
      </c>
      <c r="U40" s="116" t="s">
        <v>50</v>
      </c>
      <c r="V40" s="116" t="s">
        <v>186</v>
      </c>
      <c r="W40" s="103" t="s">
        <v>187</v>
      </c>
    </row>
    <row r="41" spans="1:23" ht="62" x14ac:dyDescent="0.3">
      <c r="A41" s="104">
        <f t="shared" si="2"/>
        <v>39</v>
      </c>
      <c r="B41" s="20" t="s">
        <v>9</v>
      </c>
      <c r="C41" s="135" t="s">
        <v>5</v>
      </c>
      <c r="D41" s="128" t="s">
        <v>341</v>
      </c>
      <c r="E41" s="128" t="s">
        <v>342</v>
      </c>
      <c r="F41" s="116" t="s">
        <v>190</v>
      </c>
      <c r="G41" s="116" t="s">
        <v>294</v>
      </c>
      <c r="H41" s="117" t="s">
        <v>192</v>
      </c>
      <c r="I41" s="117" t="s">
        <v>343</v>
      </c>
      <c r="J41" s="118">
        <v>1</v>
      </c>
      <c r="K41" s="119">
        <v>0</v>
      </c>
      <c r="L41" s="129">
        <v>316.92764199999999</v>
      </c>
      <c r="M41" s="136">
        <v>316.92764199999999</v>
      </c>
      <c r="N41" s="120">
        <v>0</v>
      </c>
      <c r="O41" s="120">
        <v>0</v>
      </c>
      <c r="P41" s="120">
        <v>0</v>
      </c>
      <c r="Q41" s="130">
        <v>316.92764199999999</v>
      </c>
      <c r="R41" s="130">
        <v>316.92764199999999</v>
      </c>
      <c r="S41" s="102">
        <f t="shared" si="1"/>
        <v>12189.524692307692</v>
      </c>
      <c r="T41" s="116"/>
      <c r="U41" s="116"/>
      <c r="V41" s="116"/>
      <c r="W41" s="103" t="s">
        <v>187</v>
      </c>
    </row>
    <row r="42" spans="1:23" ht="62" x14ac:dyDescent="0.3">
      <c r="A42" s="104">
        <f t="shared" si="2"/>
        <v>40</v>
      </c>
      <c r="B42" s="2" t="s">
        <v>16</v>
      </c>
      <c r="C42" s="131" t="s">
        <v>5</v>
      </c>
      <c r="D42" s="128" t="s">
        <v>344</v>
      </c>
      <c r="E42" s="128" t="s">
        <v>345</v>
      </c>
      <c r="F42" s="116" t="s">
        <v>51</v>
      </c>
      <c r="G42" s="116" t="s">
        <v>200</v>
      </c>
      <c r="H42" s="117" t="s">
        <v>183</v>
      </c>
      <c r="I42" s="117" t="s">
        <v>346</v>
      </c>
      <c r="J42" s="118">
        <v>1</v>
      </c>
      <c r="K42" s="119">
        <v>0</v>
      </c>
      <c r="L42" s="129">
        <v>182.095</v>
      </c>
      <c r="M42" s="136">
        <v>182.095</v>
      </c>
      <c r="N42" s="120">
        <v>0</v>
      </c>
      <c r="O42" s="120">
        <v>0</v>
      </c>
      <c r="P42" s="120">
        <v>0</v>
      </c>
      <c r="Q42" s="130">
        <v>182.095</v>
      </c>
      <c r="R42" s="130">
        <v>182.095</v>
      </c>
      <c r="S42" s="102">
        <f t="shared" si="1"/>
        <v>7003.6538461538457</v>
      </c>
      <c r="T42" s="120" t="s">
        <v>347</v>
      </c>
      <c r="U42" s="120" t="s">
        <v>50</v>
      </c>
      <c r="V42" s="120"/>
      <c r="W42" s="103" t="s">
        <v>187</v>
      </c>
    </row>
    <row r="43" spans="1:23" ht="15.5" x14ac:dyDescent="0.3">
      <c r="A43" s="104">
        <f t="shared" si="2"/>
        <v>41</v>
      </c>
      <c r="B43" s="20" t="s">
        <v>9</v>
      </c>
      <c r="C43" s="93" t="s">
        <v>5</v>
      </c>
      <c r="D43" s="128"/>
      <c r="E43" s="128"/>
      <c r="F43" s="116" t="s">
        <v>348</v>
      </c>
      <c r="G43" s="116"/>
      <c r="H43" s="117" t="s">
        <v>349</v>
      </c>
      <c r="I43" s="117" t="s">
        <v>350</v>
      </c>
      <c r="J43" s="118">
        <v>3</v>
      </c>
      <c r="K43" s="119"/>
      <c r="L43" s="129">
        <v>4665</v>
      </c>
      <c r="M43" s="136"/>
      <c r="N43" s="120">
        <v>4665</v>
      </c>
      <c r="O43" s="120"/>
      <c r="P43" s="120"/>
      <c r="Q43" s="130"/>
      <c r="R43" s="130">
        <v>4665</v>
      </c>
      <c r="S43" s="102">
        <f t="shared" si="1"/>
        <v>179423.07692307694</v>
      </c>
      <c r="T43" s="120"/>
      <c r="U43" s="120"/>
      <c r="V43" s="120"/>
      <c r="W43" s="103"/>
    </row>
    <row r="44" spans="1:23" ht="46.5" x14ac:dyDescent="0.3">
      <c r="A44" s="104">
        <f t="shared" si="2"/>
        <v>42</v>
      </c>
      <c r="B44" s="2" t="s">
        <v>16</v>
      </c>
      <c r="C44" s="93" t="s">
        <v>5</v>
      </c>
      <c r="D44" s="124" t="s">
        <v>351</v>
      </c>
      <c r="E44" s="124" t="s">
        <v>352</v>
      </c>
      <c r="F44" s="107" t="s">
        <v>353</v>
      </c>
      <c r="G44" s="107" t="s">
        <v>200</v>
      </c>
      <c r="H44" s="108" t="s">
        <v>183</v>
      </c>
      <c r="I44" s="108" t="s">
        <v>354</v>
      </c>
      <c r="J44" s="109">
        <v>1</v>
      </c>
      <c r="K44" s="110">
        <v>100</v>
      </c>
      <c r="L44" s="132">
        <v>100</v>
      </c>
      <c r="M44" s="136">
        <v>0</v>
      </c>
      <c r="N44" s="112">
        <v>34</v>
      </c>
      <c r="O44" s="112">
        <v>34</v>
      </c>
      <c r="P44" s="112">
        <v>0</v>
      </c>
      <c r="Q44" s="130"/>
      <c r="R44" s="130">
        <v>100</v>
      </c>
      <c r="S44" s="102">
        <f t="shared" si="1"/>
        <v>3846.1538461538462</v>
      </c>
      <c r="T44" s="107" t="s">
        <v>154</v>
      </c>
      <c r="U44" s="107" t="s">
        <v>50</v>
      </c>
      <c r="V44" s="107" t="s">
        <v>355</v>
      </c>
      <c r="W44" s="113" t="s">
        <v>196</v>
      </c>
    </row>
    <row r="45" spans="1:23" ht="62" x14ac:dyDescent="0.3">
      <c r="A45" s="104">
        <f t="shared" si="2"/>
        <v>43</v>
      </c>
      <c r="B45" s="2" t="s">
        <v>16</v>
      </c>
      <c r="C45" s="93" t="s">
        <v>5</v>
      </c>
      <c r="D45" s="128" t="s">
        <v>356</v>
      </c>
      <c r="E45" s="128" t="s">
        <v>357</v>
      </c>
      <c r="F45" s="116" t="s">
        <v>190</v>
      </c>
      <c r="G45" s="116" t="s">
        <v>191</v>
      </c>
      <c r="H45" s="117" t="s">
        <v>183</v>
      </c>
      <c r="I45" s="117" t="s">
        <v>358</v>
      </c>
      <c r="J45" s="118">
        <v>1</v>
      </c>
      <c r="K45" s="119">
        <v>0</v>
      </c>
      <c r="L45" s="129">
        <v>345.13137999999998</v>
      </c>
      <c r="M45" s="136">
        <v>345.13137999999998</v>
      </c>
      <c r="N45" s="120">
        <v>0</v>
      </c>
      <c r="O45" s="120">
        <v>0</v>
      </c>
      <c r="P45" s="120">
        <v>0</v>
      </c>
      <c r="Q45" s="130">
        <v>345.13137999999998</v>
      </c>
      <c r="R45" s="130">
        <v>345.13137999999998</v>
      </c>
      <c r="S45" s="102">
        <f t="shared" si="1"/>
        <v>13274.283846153847</v>
      </c>
      <c r="T45" s="116" t="s">
        <v>359</v>
      </c>
      <c r="U45" s="116" t="s">
        <v>50</v>
      </c>
      <c r="V45" s="116" t="s">
        <v>186</v>
      </c>
      <c r="W45" s="103" t="s">
        <v>187</v>
      </c>
    </row>
    <row r="46" spans="1:23" ht="62" x14ac:dyDescent="0.3">
      <c r="A46" s="104">
        <f t="shared" si="2"/>
        <v>44</v>
      </c>
      <c r="B46" s="137" t="s">
        <v>10</v>
      </c>
      <c r="C46" s="93" t="s">
        <v>5</v>
      </c>
      <c r="D46" s="128" t="s">
        <v>360</v>
      </c>
      <c r="E46" s="128" t="s">
        <v>361</v>
      </c>
      <c r="F46" s="116" t="s">
        <v>51</v>
      </c>
      <c r="G46" s="116" t="s">
        <v>182</v>
      </c>
      <c r="H46" s="117" t="s">
        <v>183</v>
      </c>
      <c r="I46" s="117" t="s">
        <v>362</v>
      </c>
      <c r="J46" s="118">
        <v>4</v>
      </c>
      <c r="K46" s="119">
        <v>0</v>
      </c>
      <c r="L46" s="129">
        <v>114</v>
      </c>
      <c r="M46" s="136">
        <v>114</v>
      </c>
      <c r="N46" s="120">
        <v>0</v>
      </c>
      <c r="O46" s="120">
        <v>0</v>
      </c>
      <c r="P46" s="120">
        <v>0</v>
      </c>
      <c r="Q46" s="130">
        <v>114</v>
      </c>
      <c r="R46" s="130">
        <v>114</v>
      </c>
      <c r="S46" s="102">
        <f t="shared" si="1"/>
        <v>4384.6153846153848</v>
      </c>
      <c r="T46" s="116"/>
      <c r="U46" s="116"/>
      <c r="V46" s="116"/>
      <c r="W46" s="103" t="s">
        <v>187</v>
      </c>
    </row>
    <row r="47" spans="1:23" ht="62" x14ac:dyDescent="0.3">
      <c r="A47" s="104">
        <f t="shared" si="2"/>
        <v>45</v>
      </c>
      <c r="B47" s="2" t="s">
        <v>10</v>
      </c>
      <c r="C47" s="93" t="s">
        <v>5</v>
      </c>
      <c r="D47" s="128" t="s">
        <v>363</v>
      </c>
      <c r="E47" s="128" t="s">
        <v>364</v>
      </c>
      <c r="F47" s="116" t="s">
        <v>190</v>
      </c>
      <c r="G47" s="116" t="s">
        <v>191</v>
      </c>
      <c r="H47" s="117" t="s">
        <v>214</v>
      </c>
      <c r="I47" s="117" t="s">
        <v>365</v>
      </c>
      <c r="J47" s="118">
        <v>1</v>
      </c>
      <c r="K47" s="119">
        <v>0</v>
      </c>
      <c r="L47" s="129">
        <v>498.95</v>
      </c>
      <c r="M47" s="136">
        <v>498.95</v>
      </c>
      <c r="N47" s="120">
        <v>0</v>
      </c>
      <c r="O47" s="120">
        <v>0</v>
      </c>
      <c r="P47" s="120">
        <v>0</v>
      </c>
      <c r="Q47" s="130">
        <v>498.95</v>
      </c>
      <c r="R47" s="130">
        <v>498.95</v>
      </c>
      <c r="S47" s="102">
        <f t="shared" si="1"/>
        <v>19190.384615384617</v>
      </c>
      <c r="T47" s="116" t="s">
        <v>129</v>
      </c>
      <c r="U47" s="116" t="s">
        <v>50</v>
      </c>
      <c r="V47" s="116" t="s">
        <v>186</v>
      </c>
      <c r="W47" s="103" t="s">
        <v>187</v>
      </c>
    </row>
    <row r="48" spans="1:23" ht="62" x14ac:dyDescent="0.3">
      <c r="A48" s="104">
        <f t="shared" si="2"/>
        <v>46</v>
      </c>
      <c r="B48" s="2" t="s">
        <v>10</v>
      </c>
      <c r="C48" s="93" t="s">
        <v>5</v>
      </c>
      <c r="D48" s="128" t="s">
        <v>366</v>
      </c>
      <c r="E48" s="128" t="s">
        <v>367</v>
      </c>
      <c r="F48" s="116" t="s">
        <v>51</v>
      </c>
      <c r="G48" s="116" t="s">
        <v>182</v>
      </c>
      <c r="H48" s="117" t="s">
        <v>214</v>
      </c>
      <c r="I48" s="117" t="s">
        <v>368</v>
      </c>
      <c r="J48" s="118">
        <v>1</v>
      </c>
      <c r="K48" s="119">
        <v>0</v>
      </c>
      <c r="L48" s="129">
        <v>715</v>
      </c>
      <c r="M48" s="136">
        <v>715</v>
      </c>
      <c r="N48" s="120">
        <v>0</v>
      </c>
      <c r="O48" s="120">
        <v>0</v>
      </c>
      <c r="P48" s="120">
        <v>0</v>
      </c>
      <c r="Q48" s="130">
        <v>715</v>
      </c>
      <c r="R48" s="130">
        <v>715</v>
      </c>
      <c r="S48" s="102">
        <f t="shared" si="1"/>
        <v>27500</v>
      </c>
      <c r="T48" s="116"/>
      <c r="U48" s="116"/>
      <c r="V48" s="116"/>
      <c r="W48" s="103" t="s">
        <v>187</v>
      </c>
    </row>
    <row r="49" spans="1:23" ht="62" x14ac:dyDescent="0.3">
      <c r="A49" s="104">
        <f t="shared" si="2"/>
        <v>47</v>
      </c>
      <c r="B49" s="2" t="s">
        <v>10</v>
      </c>
      <c r="C49" s="93" t="s">
        <v>5</v>
      </c>
      <c r="D49" s="128" t="s">
        <v>369</v>
      </c>
      <c r="E49" s="128" t="s">
        <v>370</v>
      </c>
      <c r="F49" s="116" t="s">
        <v>51</v>
      </c>
      <c r="G49" s="116" t="s">
        <v>200</v>
      </c>
      <c r="H49" s="117" t="s">
        <v>214</v>
      </c>
      <c r="I49" s="117" t="s">
        <v>371</v>
      </c>
      <c r="J49" s="118">
        <v>1</v>
      </c>
      <c r="K49" s="119">
        <v>0</v>
      </c>
      <c r="L49" s="129">
        <v>912</v>
      </c>
      <c r="M49" s="136">
        <v>912</v>
      </c>
      <c r="N49" s="120">
        <v>0</v>
      </c>
      <c r="O49" s="120">
        <v>0</v>
      </c>
      <c r="P49" s="120">
        <v>0</v>
      </c>
      <c r="Q49" s="130">
        <v>912</v>
      </c>
      <c r="R49" s="130">
        <v>912</v>
      </c>
      <c r="S49" s="102">
        <f t="shared" si="1"/>
        <v>35076.923076923078</v>
      </c>
      <c r="T49" s="120">
        <v>912</v>
      </c>
      <c r="U49" s="120">
        <v>0</v>
      </c>
      <c r="V49" s="120">
        <v>-912</v>
      </c>
      <c r="W49" s="103" t="s">
        <v>187</v>
      </c>
    </row>
  </sheetData>
  <autoFilter ref="A1:W1" xr:uid="{D41452A1-9AD5-41A9-9741-F4D8EE48F379}"/>
  <conditionalFormatting sqref="A1:G1 K1:M1">
    <cfRule type="containsText" dxfId="3" priority="2" operator="containsText" text="xxx">
      <formula>NOT(ISERROR(SEARCH("xxx",A1)))</formula>
    </cfRule>
  </conditionalFormatting>
  <conditionalFormatting sqref="H19:J19">
    <cfRule type="duplicateValues" dxfId="2" priority="1"/>
  </conditionalFormatting>
  <conditionalFormatting sqref="M3:M49">
    <cfRule type="cellIs" dxfId="1" priority="3" operator="lessThanOrEqual">
      <formula>0</formula>
    </cfRule>
    <cfRule type="cellIs" dxfId="0" priority="4" operator="greaterThan">
      <formula>0</formula>
    </cfRule>
    <cfRule type="iconSet" priority="10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D2F7589A-FBA7-4984-A6C0-AF1B2FD3888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14:cfRule type="iconSet" priority="6" id="{9D5296CA-13AC-485D-A8B8-8DD2A0BD19CB}">
            <x14:iconSet custom="1">
              <x14:cfvo type="percent">
                <xm:f>0</xm:f>
              </x14:cfvo>
              <x14:cfvo type="percent">
                <xm:f>0</xm:f>
              </x14:cfvo>
              <x14:cfvo type="percent" gte="0">
                <xm:f>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14:cfRule type="iconSet" priority="7" id="{B494D17E-698F-46C9-A841-A6E8E5B06CD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14:cfRule type="iconSet" priority="8" id="{1419BB86-E549-49DE-A641-EB404D370532}">
            <x14:iconSet custom="1">
              <x14:cfvo type="percent">
                <xm:f>0</xm:f>
              </x14:cfvo>
              <x14:cfvo type="percent">
                <xm:f>0</xm:f>
              </x14:cfvo>
              <x14:cfvo type="percent">
                <xm:f>0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14:cfRule type="iconSet" priority="9" id="{C7DA0DAB-7179-466E-B7BC-CDB6BBD294C7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M3:M49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Chi tiết đầu tư 2026</vt:lpstr>
      <vt:lpstr>TH 2026</vt:lpstr>
      <vt:lpstr>TH 2025</vt:lpstr>
      <vt:lpstr>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Cúc, Nguyễn Thị</dc:creator>
  <cp:lastModifiedBy>Cúc, Nguyễn Thị</cp:lastModifiedBy>
  <dcterms:created xsi:type="dcterms:W3CDTF">2025-12-09T05:34:18Z</dcterms:created>
  <dcterms:modified xsi:type="dcterms:W3CDTF">2025-12-10T08:06:01Z</dcterms:modified>
</cp:coreProperties>
</file>