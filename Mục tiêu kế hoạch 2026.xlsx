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Data\GĐ Tài chính\Báo cáo Hoàng Share\DTR\Bao cao ke hoach TCKT\Ke hoach KPIs đến 2030\"/>
    </mc:Choice>
  </mc:AlternateContent>
  <xr:revisionPtr revIDLastSave="0" documentId="13_ncr:1_{1AB7E163-FB58-4D71-B592-D089C462E2BE}" xr6:coauthVersionLast="47" xr6:coauthVersionMax="47" xr10:uidLastSave="{00000000-0000-0000-0000-000000000000}"/>
  <bookViews>
    <workbookView xWindow="-110" yWindow="-110" windowWidth="19420" windowHeight="10300" tabRatio="733" activeTab="1" xr2:uid="{00000000-000D-0000-FFFF-FFFF00000000}"/>
  </bookViews>
  <sheets>
    <sheet name="Strategy 1" sheetId="13" r:id="rId1"/>
    <sheet name="Strategy (2)" sheetId="14" r:id="rId2"/>
    <sheet name="KPI GĐĐH" sheetId="1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5" i="12" l="1"/>
  <c r="I42" i="12" l="1"/>
  <c r="H44" i="12" l="1"/>
  <c r="H45" i="12" s="1"/>
  <c r="H43" i="12"/>
  <c r="H40" i="12"/>
  <c r="H38" i="12"/>
  <c r="I38" i="12"/>
  <c r="I32" i="12"/>
  <c r="G45" i="12"/>
  <c r="F45" i="12"/>
  <c r="H32" i="12" l="1"/>
  <c r="F32" i="12"/>
  <c r="G32" i="12"/>
</calcChain>
</file>

<file path=xl/sharedStrings.xml><?xml version="1.0" encoding="utf-8"?>
<sst xmlns="http://schemas.openxmlformats.org/spreadsheetml/2006/main" count="213" uniqueCount="166">
  <si>
    <t>Kế hoạch hành động</t>
  </si>
  <si>
    <t>KPI</t>
  </si>
  <si>
    <t>(Thực tế)</t>
  </si>
  <si>
    <t>(Kế hoạch)</t>
  </si>
  <si>
    <t>(ước 8+4)</t>
  </si>
  <si>
    <t>Đơn vị</t>
  </si>
  <si>
    <t>tính</t>
  </si>
  <si>
    <t>Mục tiêu công ty 2026</t>
  </si>
  <si>
    <t>Kế hoạch hành động 2026</t>
  </si>
  <si>
    <t>%</t>
  </si>
  <si>
    <t>Lần</t>
  </si>
  <si>
    <t>Tuân thủ</t>
  </si>
  <si>
    <t>1. Đẩy mạnh hoạt động đào tạo</t>
  </si>
  <si>
    <t>Tối tưu hóa hiệu suất sử dụng máy</t>
  </si>
  <si>
    <t xml:space="preserve">Phát triển công ty bền vững </t>
  </si>
  <si>
    <t>PHÒNG BAN: BGĐ (GĐ, GĐĐH)</t>
  </si>
  <si>
    <t>Tinh thần gắn kết, gắn bó với công ty</t>
  </si>
  <si>
    <t>Sắp xếp, tối ưu thời gian máy móc hoạt động</t>
  </si>
  <si>
    <t>Đảm bảo thực hiện đúng quy định công ty, pháp luật</t>
  </si>
  <si>
    <t>Lợi nhuận sau thuế (LNST)</t>
  </si>
  <si>
    <t>Đào tạo nâng cao trình độ CMNV</t>
  </si>
  <si>
    <t>Tuân thủ thực hiện 5S, đảm bảo an toàn lao động, môi trường làm việc, và phòng chống cháy nổ tại nơi làm việc</t>
  </si>
  <si>
    <t>Doanh Thu Thuần (DTT)</t>
  </si>
  <si>
    <t>Hiệu suất sử dụng máy tạo hạt</t>
  </si>
  <si>
    <t>Sản lượng mua</t>
  </si>
  <si>
    <t>Tỷ lệ nhân sự kế thừa</t>
  </si>
  <si>
    <t>Doanh thu thuần trên người</t>
  </si>
  <si>
    <t>Tỷ lệ nhân sự gắn kết (CMNV trở lên)</t>
  </si>
  <si>
    <t>Giao hàng đầy đủ, đúng thời gian cam kết (OTIF1)</t>
  </si>
  <si>
    <t>Số ngày tồn kho bình quân (thành phẩm)</t>
  </si>
  <si>
    <t>Giá trị cải tiến, tiết kiệm</t>
  </si>
  <si>
    <t>Số giờ được đào tạo trung bình</t>
  </si>
  <si>
    <t>An toàn lao động và phòng chống cháy nổ</t>
  </si>
  <si>
    <t>Tập trung hoạt động kinh doanh cốt lõi và có hiệu quả</t>
  </si>
  <si>
    <t>Tập trung hoạt động kinh doanh, sản xuất với những ngành hàng và sản phẩm cốt lõi, có hiệu quả tài chính hoặc hiệu quả vận hành</t>
  </si>
  <si>
    <t>Không phát triển phân tán, dàn trải sang các ngành phụ và hiệu quả thấp (Ví dụ: PP, HD,...)</t>
  </si>
  <si>
    <t>Tập trung phát triển chiều dọc, không phát triển theo chiều rộng</t>
  </si>
  <si>
    <t>Kiểm soát hàng tồn kho</t>
  </si>
  <si>
    <t>Kiểm soát tồn kho và hàng chậm luân chuyển một cách hiệu quả. Tránh tình trạng hàng tồn lâu hoặc vượt định mức khiến chôn vốn.</t>
  </si>
  <si>
    <t>Có thể bán phó sản, nhưng bán với giá tốt</t>
  </si>
  <si>
    <t>Cần tìm nguồn nhập HD đạt chất lượng</t>
  </si>
  <si>
    <t>Tỷ VND</t>
  </si>
  <si>
    <t>Tấn</t>
  </si>
  <si>
    <t>Tỷ VND/ Người</t>
  </si>
  <si>
    <t>Tỷ lệ</t>
  </si>
  <si>
    <t>Số ngày</t>
  </si>
  <si>
    <t>Số lượng</t>
  </si>
  <si>
    <t>tiếng / người</t>
  </si>
  <si>
    <t>NA</t>
  </si>
  <si>
    <t>Số lần khiếu nại khách hàng</t>
  </si>
  <si>
    <t>Kiểm soát chi phí</t>
  </si>
  <si>
    <t>Giá thành sản phẩm</t>
  </si>
  <si>
    <t>USD/tấn</t>
  </si>
  <si>
    <t>Duy trì thực hiện cải tiến - tiết kiệm trong công ty</t>
  </si>
  <si>
    <t>Tỷ suất LNST/DTT</t>
  </si>
  <si>
    <t>STT</t>
  </si>
  <si>
    <t>%Tiết kiệm/DTT</t>
  </si>
  <si>
    <t>Mua hàng hiệu quả</t>
  </si>
  <si>
    <t>Nắm rõ mục đích mua hàng: mua từ outlet, giảm bớt các bước trung gian, giảm chi phí nguyên liệu</t>
  </si>
  <si>
    <t>Chỉ cam kết bán những gì có thể thực hiện và có hiệu quả tài chính. Công ty chỉ cam kết bán các sản phẩm với khách hàng khi có thể thực hiện được cam kết (ví dụ: có thể thu mua được nguyên liệu,...) và việc thực hiện không gây thiệt hại cho công ty (Ví dụ: không bị lỗ).</t>
  </si>
  <si>
    <t>Nguyên tắc mua hàng: không mua nguyên liệu cao hơn giá chính phẩm. Kiểm soát các khoảng chênh lệch giá của nguyên liệu chai, vảy, chính phẩm</t>
  </si>
  <si>
    <t>Quản lý giá vật tư, kiểm soát giảm giá</t>
  </si>
  <si>
    <t>Theo dõi, kiểm soát, bám sát mục tiêu giảm giá thành</t>
  </si>
  <si>
    <t>Thiết lập định mức phù hợp và Kiểm soát chặt chi phí vận hành, giảm chi phí tài chính</t>
  </si>
  <si>
    <t>Tăng cường hiệu quả xử lý phó sản, kết hợp giảm phó sản phát sinh</t>
  </si>
  <si>
    <t xml:space="preserve">Giảm hao hụt do chất lượng nguyên liệu. Cải tiến chất lượng sản phẩm trong quy trình sản xuất, tăng tỷ lệ đạt trên mục tiêu </t>
  </si>
  <si>
    <t>Tăng cường tối ưu hóa, tự động hóa, tăng năng suất, giảm nhân công lao động</t>
  </si>
  <si>
    <t>Tối ưu hoá công thức pha trộn sản xuất đảm bảo chất lượng hạt đầu ra và nguồn nguyên liệu đầu vào. Cải tiến liên tục nhằm giảm số lượng công thức lại để tối ưu nguồn nguyên liệu đầu vào</t>
  </si>
  <si>
    <t>Nghiên cứu các giải pháp xử lý phó sản. Chia ra làm 5 nhóm giải pháp, tiếp tục theo đuổi 5 nhóm giải pháp hiện tại để hoàn thiện</t>
  </si>
  <si>
    <t>Đặt mục tiêu xử lý phó sản cụ thể hàng tháng, với vai trò trách nhiệm cụ thể</t>
  </si>
  <si>
    <t>1. KINH DOANH</t>
  </si>
  <si>
    <t>3. TỒN KHO VÀ PHÓ SẢN</t>
  </si>
  <si>
    <t>5. PHÁT TRIỂN BỀN VỮNG</t>
  </si>
  <si>
    <t>1. Giữ chân khách hàng cũ</t>
  </si>
  <si>
    <t>2. Tập trung hoạt động kinh doanh, sản xuất với những ngành hàng và sản phẩm cốt lõi, có hiệu quả tài chính hoặc hiệu quả vận hành</t>
  </si>
  <si>
    <t>1. Kiểm soát tồn kho và hàng chậm luân chuyển một cách hiệu quả. Tránh tình trạng hàng tồn lâu hoặc vượt định mức khiến chôn vốn.</t>
  </si>
  <si>
    <t xml:space="preserve">2. Giảm hao hụt do chất lượng nguyên liệu. Cải tiến chất lượng sản phẩm trong quy trình sản xuất, tăng tỷ lệ đạt trên mục tiêu </t>
  </si>
  <si>
    <t>3. Tối ưu hoá công thức pha trộn sản xuất đảm bảo chất lượng hạt đầu ra và nguồn nguyên liệu đầu vào. Cải tiến liên tục nhằm giảm số lượng công thức lại để tối ưu nguồn nguyên liệu đầu vào</t>
  </si>
  <si>
    <t>4. Theo đuổi và hoàn thiện 5 nhóm giải pháp xử lý phó sản hiện tại để giải quyết phó sản tồn kho và phát sinh định kỳ</t>
  </si>
  <si>
    <t>5. Đặt mục tiêu xử lý phó sản cụ thể hàng tháng, với vai trò trách nhiệm cụ thể</t>
  </si>
  <si>
    <t>Kiểm soát máy không để máy chạy không tải, dừng chờ liệu.</t>
  </si>
  <si>
    <t>Kết hợp dùng máy vệ sinh các chuyền băm rửa vào thời gian cao điểm sáng, tối.</t>
  </si>
  <si>
    <t>4. CHI PHÍ &amp; VẬN HÀNH</t>
  </si>
  <si>
    <t>1. Thiết lập định mức phù hợp và Kiểm soát chặt chi phí vận hành, bám sát mục tiêu giảm giá thành</t>
  </si>
  <si>
    <t>2. Rà soát, đề xuất các phương án giảm chi phí tài chính</t>
  </si>
  <si>
    <t>3. Tăng cường tối ưu hóa, tự động hóa, tăng năng suất, giảm nhân công lao động</t>
  </si>
  <si>
    <t>2. THU MUA</t>
  </si>
  <si>
    <t>1. Nắm rõ mục đích mua hàng: mua từ outlet, giảm bớt các bước trung gian, giảm chi phí nguyên liệu</t>
  </si>
  <si>
    <t>2. Nguyên tắc mua hàng: không mua nguyên liệu cao hơn giá chính phẩm. Kiểm soát các khoảng chênh lệch giá của nguyên liệu chai, vảy, chính phẩm</t>
  </si>
  <si>
    <t>3. Tổ chức các kênh thông tin thị trường, nắm bắt các biến động thị trường. Linh động điều tiết sản lượng và giá phù hợp</t>
  </si>
  <si>
    <t>1. Duy trì thực hiện cải tiến - tiết kiệm trong công ty</t>
  </si>
  <si>
    <t>2. Đào tạo nâng cao trình độ CMNV</t>
  </si>
  <si>
    <t>3. Đảm bảo thực hiện đúng quy định công ty, pháp luật</t>
  </si>
  <si>
    <t>5. Tuân thủ thực hiện 5S, đảm bảo an toàn lao động, môi trường làm việc, và phòng chống cháy nổ tại nơi làm việc</t>
  </si>
  <si>
    <t>4. Nâng cao tinh thần gắn kết, gắn bó với công ty</t>
  </si>
  <si>
    <t>4. Đảm bảo sản lượng đáp ứng nhu cầu</t>
  </si>
  <si>
    <t>5. Hoàn thiện sơ đồ tuyến cung cấp thông tin kịp thời hỗ trợ ra quyết định</t>
  </si>
  <si>
    <t>6. Đánh giá, xếp loại nhà cung cấp định kỳ để có những đối sách phù hợp</t>
  </si>
  <si>
    <t>7. Tất cả vật tư mua hàng đều cần được quản lý chặt chẽ, kiểm soát giảm giá</t>
  </si>
  <si>
    <t>6. Thực hiện phân luồng dòng chảy nguyên liệu, xây dựng tiêu chuẩn chai đầu vào theo phân cấp chất lượng ABC từ đầu vào trạm đến đầu ra theo từng phân cấp khách hàng</t>
  </si>
  <si>
    <t>5. Sắp xếp, tối ưu thời gian máy móc hoạt động. Kiểm soát máy không để máy chạy không tải, dừng chờ liệu. Kết hợp dùng máy vệ sinh các chuyền băm rửa vào thời gian cao điểm sáng, tối.</t>
  </si>
  <si>
    <t>4. Tăng năng suất máy, hiệu suất tái sử dụng nước, cải tiến giảm tiêu thụ điện trên các chuyền máy</t>
  </si>
  <si>
    <t>7. Kiểm tra định kỳ các điểm phát sinh tạp chất, các máy có tần suất hư hỏng cao nhằm phát hiện và xử lý kịp thời hạn chế gâu lỗi sản phẩm, tăng thời gian dừng máy.</t>
  </si>
  <si>
    <t>6. Kiểm soát sử dụng khí nén sai mục đích, rò rỉ khí nén trên toàn bộ các chuyền máy. Cải tiến tăng tần suất thay dầu, vật tư,…</t>
  </si>
  <si>
    <t>2. Xây dựng đội ngũ kế thừa và nhân sự chủ chốt</t>
  </si>
  <si>
    <t>3. Phát triển các giá trị cốt lõi và giá trị văn hóa trong từng nhân viên</t>
  </si>
  <si>
    <t>NGUỒN NHÂN LỰC, HỆ THỐNG DỮ LIỆU, QUY TRÌNH, TUÂN THỦ</t>
  </si>
  <si>
    <t>3. Nâng cao tỉ lệ đặt hàng</t>
  </si>
  <si>
    <t>1. Giữ chân khách hàng cũ. Tập trung phát triển chiều dọc, không phát triển theo chiều rộng</t>
  </si>
  <si>
    <t>Mục tiêu</t>
  </si>
  <si>
    <t>4. Bán các mặt hàng tồn kho, chậm luân chuyển, đảm bảo</t>
  </si>
  <si>
    <t>5. Quảng bá rộng rãi thương hiệu, sản phẩm thông qua các buổi hội chợ, triển lãm</t>
  </si>
  <si>
    <t>6. Phân tích và xác định thị trường mục tiêu với khách hàng và sản phẩm phù hợp theo từng thị trường: Mexico, Canada, Anh, Úc, Trung Đông, Đông Nam Á</t>
  </si>
  <si>
    <t>1. Tỷ lệ giữ chân khách hàng cũ ≥ 78%</t>
  </si>
  <si>
    <t>3. Tỷ lệ đặt hàng</t>
  </si>
  <si>
    <t>3. Nâng cao tỷ lệ thử nghiệm mẫu đạt, tỷ lệ đặt hàng</t>
  </si>
  <si>
    <t>4. CHI PHÍ VÀ VẬN HÀNH</t>
  </si>
  <si>
    <t>6. Số lượng thị trường, khách hàng mới đã tiếp cận</t>
  </si>
  <si>
    <t>2. Giá bán thực tế/Giá bán kế hoạch ≥ 95%</t>
  </si>
  <si>
    <r>
      <t xml:space="preserve">2. Giá mua thực tế/Giá mua kế hoạch </t>
    </r>
    <r>
      <rPr>
        <sz val="12"/>
        <color theme="1"/>
        <rFont val="Aptos Narrow"/>
        <family val="2"/>
      </rPr>
      <t xml:space="preserve">≥ </t>
    </r>
    <r>
      <rPr>
        <sz val="12"/>
        <color theme="1"/>
        <rFont val="Times New Roman"/>
        <family val="1"/>
      </rPr>
      <t>98%</t>
    </r>
  </si>
  <si>
    <t>4. Đảm bảo sản lượng đáp ứng nhu cầu, chất lượng theo tiêu chuẩn, giá mua theo kế hoạch</t>
  </si>
  <si>
    <t>4. Tỷ lệ nguyên liệu đạt chất lượng ≥ 95%</t>
  </si>
  <si>
    <t>5. Tỷ lệ phó sản ≤ 12%</t>
  </si>
  <si>
    <t>6. Tỷ lệ nhà cung cấp xếp loại A</t>
  </si>
  <si>
    <t>1. Số ngày tồn kho bình quân (thành phẩm) ≤ 75</t>
  </si>
  <si>
    <t>2. Tỷ lệ hao hụt toàn group tái chế ≤ 18%</t>
  </si>
  <si>
    <t>3. Tỷ lệ thành phẩm đạt chất lượng ≥ 98%</t>
  </si>
  <si>
    <t>4. Số công thức cải tiến được nghiệm thu</t>
  </si>
  <si>
    <t>5. Khối lượng tồn kho</t>
  </si>
  <si>
    <t>6. Khối lượng phó sản đã xử lý</t>
  </si>
  <si>
    <t>3. Số nhân công đã giảm theo các dự án tự động hóa, tối ưu hóa</t>
  </si>
  <si>
    <t>4. Suất iêu hao điện, nước</t>
  </si>
  <si>
    <t>5. Số giờ dừng máy bị động</t>
  </si>
  <si>
    <t>2. Số giờ đào tạo trung bình</t>
  </si>
  <si>
    <t>3. Tuân thủ</t>
  </si>
  <si>
    <t>4. Tỷ lệ gắn kết 80%</t>
  </si>
  <si>
    <t>5. Số tai nạn lao động 0</t>
  </si>
  <si>
    <t>6. Hiệu suất máy tạo hạt</t>
  </si>
  <si>
    <t>NGUỒN NHÂN LỰC, HỆ THỐNG DỮ LIỆU, QUY TRÌNH, HỆ THỐNG KIỂM SOÁT NỘI BỘ</t>
  </si>
  <si>
    <t>2. Tỷ lệ thực hiện ngân sách 100%, chi phí tài chính trên doanh thu</t>
  </si>
  <si>
    <t xml:space="preserve">2. Xây dựng đội ngũ kế thừa, nhân sự chủ chốt, </t>
  </si>
  <si>
    <t>3. Xây dựng chương trình PIP: kế hoạch cải thiện hiệu suất</t>
  </si>
  <si>
    <t>4. Phát triển các giá trị cốt lõi và giá trị văn hóa trong từng nhân viên</t>
  </si>
  <si>
    <t>5. Chuẩn hóa hệ thống dữ liệu. Đồng bộ dữ liệu theo dõi</t>
  </si>
  <si>
    <t>6. Tăng cường kiểm soát nội bộ, đảm bảo tuân thủ</t>
  </si>
  <si>
    <t>2. Rà soát, đề xuất các phương án giảm chi phí vận hành, chi phí tài chính</t>
  </si>
  <si>
    <t>Dự án giảm giá thành 200 USD/tấn</t>
  </si>
  <si>
    <t>1. Giữ chân khách hàng cũ. Tập trung phát triển chiều dọc, không phát triển theo chiều rộng
2. Tập trung hoạt động kinh doanh, sản xuất với những ngành hàng và sản phẩm cốt lõi, có hiệu quả tài chính hoặc hiệu quả vận hành</t>
  </si>
  <si>
    <t>4. Bán các mặt hàng tồn kho, chậm luân chuyển</t>
  </si>
  <si>
    <t xml:space="preserve">1. Nắm rõ mục đích mua hàng: mua từ outlet, giảm bớt các bước trung gian, giảm chi phí nguyên liệu
2. Nguyên tắc mua hàng: không mua nguyên liệu cao hơn giá chính phẩm. Kiểm soát các khoảng chênh lệch giá của nguyên liệu chai, vảy, chính phẩm
3. Tổ chức các kênh thông tin thị trường, nắm bắt các biến động thị trường. Linh động điều tiết sản lượng và giá phù hợp
4. Đảm bảo sản lượng đáp ứng nhu cầu, chất lượng theo tiêu chuẩn, giá mua theo kế hoạch
</t>
  </si>
  <si>
    <t>1. Đẩy mạnh hoạt động đào tạo
2. Xây dựng đội ngũ kế thừa, nhân sự chủ chốt
3. Xây dựng chương trình PIP: kế hoạch cải thiện hiệu suất</t>
  </si>
  <si>
    <t>Đảm bảo quy trình nhận đơn, kiểm soát hàng hóa, tồn kho</t>
  </si>
  <si>
    <t>1. Kiểm soát tồn kho và hàng chậm luân chuyển một cách hiệu quả. Tránh tình trạng hàng tồn lâu hoặc vượt định mức khiến chôn vốn.
2. Tăng cường bán các mặt hàng tồn kho, chậm luân chuyển</t>
  </si>
  <si>
    <t>1. Đẩy mạnh hoạt động đào tạo, nâng cao trình độ CMNV</t>
  </si>
  <si>
    <t>Nâng cao năng lực chuyên môn, tăng cường tự động hóa, tối ưu hóa, cải tiến hiệu suất nhân sự</t>
  </si>
  <si>
    <t>1. Phát triển các giá trị cốt lõi và giá trị văn hóa trong từng nhân viên.
2. Duy trì đào tạo tuân thủ.
3. Tăng cường kiểm soát nội bộ, đảm bảo tuân thủ</t>
  </si>
  <si>
    <t>Xây dựng các chương trình phúc lợi cho nhân sự, nâng cao tinh thần gắn kết, gắn bó với công ty</t>
  </si>
  <si>
    <t>1. Cải tiến chất lượng sản phẩm trong quy trình sản xuất, tăng tỷ lệ đạt trên mục tiêu 
2. Kiểm soát các rủi ro liên quan đến vấn đề khiếu nại</t>
  </si>
  <si>
    <t>4. Sản lượng bán 55.000 tấn</t>
  </si>
  <si>
    <r>
      <t xml:space="preserve">1. Tỷ trọng mua hàng từ chai </t>
    </r>
    <r>
      <rPr>
        <sz val="12"/>
        <rFont val="Aptos Narrow"/>
        <family val="2"/>
      </rPr>
      <t xml:space="preserve">≤ </t>
    </r>
    <r>
      <rPr>
        <sz val="12"/>
        <rFont val="Times New Roman"/>
        <family val="1"/>
      </rPr>
      <t>40%</t>
    </r>
  </si>
  <si>
    <t>1. Giá trị cải tiến tiết kiệm 50 tỷ</t>
  </si>
  <si>
    <t>4. Tuân thủ thực hiện 5S, đảm bảo an toàn lao động, môi trường làm việc, và phòng chống cháy nổ tại nơi làm việc</t>
  </si>
  <si>
    <t>5. Nâng cao tinh thần gắn kết, gắn bó với công ty</t>
  </si>
  <si>
    <t>5. Doanh thu thuần 1,700 tỷ</t>
  </si>
  <si>
    <t>3. Sản lượng mua ≥ 57.500 tấn</t>
  </si>
  <si>
    <t>1. Giá thành giảm còn 1130 USD/Tấn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</si>
</sst>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
    <numFmt numFmtId="166" formatCode="#,##0.0"/>
  </numFmts>
  <fonts count="20" x14ac:knownFonts="1">
    <font>
      <sz val="11"/>
      <color theme="1"/>
      <name val="Calibri"/>
      <family val="2"/>
      <scheme val="minor"/>
    </font>
    <font>
      <sz val="11"/>
      <color theme="1"/>
      <name val="Calibri"/>
      <family val="2"/>
      <scheme val="minor"/>
    </font>
    <font>
      <sz val="11"/>
      <color rgb="FF000000"/>
      <name val="Times New Roman"/>
      <family val="1"/>
    </font>
    <font>
      <sz val="11"/>
      <color theme="1"/>
      <name val="Times New Roman"/>
      <family val="1"/>
    </font>
    <font>
      <b/>
      <sz val="11"/>
      <color theme="1"/>
      <name val="Times New Roman"/>
      <family val="1"/>
    </font>
    <font>
      <b/>
      <sz val="11"/>
      <color rgb="FF000000"/>
      <name val="Times New Roman"/>
      <family val="1"/>
    </font>
    <font>
      <b/>
      <sz val="11"/>
      <color rgb="FF00B050"/>
      <name val="Times New Roman"/>
      <family val="1"/>
    </font>
    <font>
      <b/>
      <sz val="11"/>
      <color rgb="FFC00000"/>
      <name val="Times New Roman"/>
      <family val="1"/>
    </font>
    <font>
      <b/>
      <sz val="11"/>
      <color theme="5"/>
      <name val="Times New Roman"/>
      <family val="1"/>
    </font>
    <font>
      <strike/>
      <sz val="11"/>
      <color theme="1"/>
      <name val="Times New Roman"/>
      <family val="1"/>
    </font>
    <font>
      <i/>
      <sz val="11"/>
      <color theme="0" tint="-0.499984740745262"/>
      <name val="Times New Roman"/>
      <family val="1"/>
    </font>
    <font>
      <b/>
      <i/>
      <sz val="11"/>
      <color theme="0" tint="-0.499984740745262"/>
      <name val="Times New Roman"/>
      <family val="1"/>
    </font>
    <font>
      <b/>
      <sz val="11"/>
      <color theme="0"/>
      <name val="Times New Roman"/>
      <family val="1"/>
    </font>
    <font>
      <sz val="11"/>
      <color theme="0"/>
      <name val="Times New Roman"/>
      <family val="1"/>
    </font>
    <font>
      <b/>
      <sz val="12"/>
      <color theme="1"/>
      <name val="Times New Roman"/>
      <family val="1"/>
    </font>
    <font>
      <sz val="12"/>
      <color theme="1"/>
      <name val="Times New Roman"/>
      <family val="1"/>
    </font>
    <font>
      <i/>
      <sz val="12"/>
      <color theme="1"/>
      <name val="Times New Roman"/>
      <family val="1"/>
    </font>
    <font>
      <sz val="12"/>
      <color theme="1"/>
      <name val="Aptos Narrow"/>
      <family val="2"/>
    </font>
    <font>
      <sz val="12"/>
      <name val="Aptos Narrow"/>
      <family val="2"/>
    </font>
    <font>
      <sz val="12"/>
      <name val="Times New Roman"/>
      <family val="1"/>
    </font>
  </fonts>
  <fills count="8">
    <fill>
      <patternFill patternType="none"/>
    </fill>
    <fill>
      <patternFill patternType="gray125"/>
    </fill>
    <fill>
      <patternFill patternType="solid">
        <fgColor theme="0"/>
        <bgColor indexed="64"/>
      </patternFill>
    </fill>
    <fill>
      <patternFill patternType="solid">
        <fgColor rgb="FF119303"/>
        <bgColor indexed="64"/>
      </patternFill>
    </fill>
    <fill>
      <patternFill patternType="solid">
        <fgColor rgb="FFC3339A"/>
        <bgColor indexed="64"/>
      </patternFill>
    </fill>
    <fill>
      <patternFill patternType="solid">
        <fgColor theme="5" tint="-0.249977111117893"/>
        <bgColor indexed="64"/>
      </patternFill>
    </fill>
    <fill>
      <patternFill patternType="solid">
        <fgColor rgb="FFFFD243"/>
        <bgColor indexed="64"/>
      </patternFill>
    </fill>
    <fill>
      <patternFill patternType="solid">
        <fgColor theme="9" tint="0.79998168889431442"/>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rgb="FF9E9E9E"/>
      </left>
      <right style="thin">
        <color rgb="FF9E9E9E"/>
      </right>
      <top style="thin">
        <color rgb="FF9E9E9E"/>
      </top>
      <bottom/>
      <diagonal/>
    </border>
    <border>
      <left style="thin">
        <color rgb="FF9E9E9E"/>
      </left>
      <right style="thin">
        <color rgb="FF9E9E9E"/>
      </right>
      <top/>
      <bottom style="thin">
        <color rgb="FF9E9E9E"/>
      </bottom>
      <diagonal/>
    </border>
    <border>
      <left style="thin">
        <color rgb="FF9E9E9E"/>
      </left>
      <right style="thin">
        <color rgb="FF9E9E9E"/>
      </right>
      <top/>
      <bottom/>
      <diagonal/>
    </border>
    <border>
      <left style="thin">
        <color rgb="FF9E9E9E"/>
      </left>
      <right/>
      <top style="thin">
        <color rgb="FF9E9E9E"/>
      </top>
      <bottom style="thin">
        <color rgb="FF9E9E9E"/>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
      <left style="thin">
        <color rgb="FF9E9E9E"/>
      </left>
      <right/>
      <top style="thin">
        <color rgb="FF9E9E9E"/>
      </top>
      <bottom/>
      <diagonal/>
    </border>
    <border>
      <left/>
      <right/>
      <top style="thin">
        <color rgb="FF9E9E9E"/>
      </top>
      <bottom/>
      <diagonal/>
    </border>
    <border>
      <left/>
      <right style="thin">
        <color rgb="FF9E9E9E"/>
      </right>
      <top style="thin">
        <color rgb="FF9E9E9E"/>
      </top>
      <bottom/>
      <diagonal/>
    </border>
    <border>
      <left style="thin">
        <color auto="1"/>
      </left>
      <right style="thin">
        <color auto="1"/>
      </right>
      <top style="thin">
        <color auto="1"/>
      </top>
      <bottom/>
      <diagonal/>
    </border>
    <border>
      <left/>
      <right/>
      <top style="thin">
        <color auto="1"/>
      </top>
      <bottom/>
      <diagonal/>
    </border>
    <border>
      <left/>
      <right/>
      <top/>
      <bottom style="thin">
        <color auto="1"/>
      </bottom>
      <diagonal/>
    </border>
    <border>
      <left/>
      <right style="thin">
        <color auto="1"/>
      </right>
      <top style="thin">
        <color auto="1"/>
      </top>
      <bottom style="thin">
        <color auto="1"/>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42">
    <xf numFmtId="0" fontId="0" fillId="0" borderId="0" xfId="0"/>
    <xf numFmtId="0" fontId="3" fillId="2" borderId="12" xfId="0" applyFont="1" applyFill="1" applyBorder="1" applyAlignment="1">
      <alignment horizontal="left" vertical="center" wrapText="1"/>
    </xf>
    <xf numFmtId="0" fontId="3" fillId="2" borderId="14" xfId="0" applyFont="1" applyFill="1" applyBorder="1" applyAlignment="1">
      <alignment horizontal="left" vertical="center" wrapText="1"/>
    </xf>
    <xf numFmtId="0" fontId="3" fillId="0" borderId="0" xfId="0" applyFont="1"/>
    <xf numFmtId="0" fontId="3" fillId="2" borderId="13" xfId="0" applyFont="1" applyFill="1" applyBorder="1" applyAlignment="1">
      <alignment horizontal="left" vertical="center" wrapText="1"/>
    </xf>
    <xf numFmtId="0" fontId="3" fillId="2" borderId="15" xfId="0" applyFont="1" applyFill="1" applyBorder="1" applyAlignment="1">
      <alignment horizontal="left" vertical="center"/>
    </xf>
    <xf numFmtId="0" fontId="3" fillId="2" borderId="16" xfId="0" applyFont="1" applyFill="1" applyBorder="1" applyAlignment="1">
      <alignment horizontal="left" vertical="center"/>
    </xf>
    <xf numFmtId="0" fontId="3" fillId="2" borderId="17" xfId="0" applyFont="1" applyFill="1" applyBorder="1" applyAlignment="1">
      <alignment horizontal="left" vertical="center"/>
    </xf>
    <xf numFmtId="0" fontId="2" fillId="2" borderId="1" xfId="0" applyFont="1" applyFill="1" applyBorder="1" applyAlignment="1">
      <alignment horizontal="left" vertical="center" wrapText="1" readingOrder="1"/>
    </xf>
    <xf numFmtId="0" fontId="2" fillId="2" borderId="1" xfId="0" applyFont="1" applyFill="1" applyBorder="1" applyAlignment="1">
      <alignment horizontal="center" vertical="center" wrapText="1" readingOrder="1"/>
    </xf>
    <xf numFmtId="0" fontId="3" fillId="2" borderId="1" xfId="0" applyFont="1" applyFill="1" applyBorder="1" applyAlignment="1">
      <alignment vertical="center" wrapText="1"/>
    </xf>
    <xf numFmtId="0" fontId="3" fillId="2" borderId="1" xfId="0" applyFont="1" applyFill="1" applyBorder="1" applyAlignment="1">
      <alignment horizontal="left" vertical="center"/>
    </xf>
    <xf numFmtId="0" fontId="3" fillId="2" borderId="1" xfId="0" applyFont="1" applyFill="1" applyBorder="1" applyAlignment="1">
      <alignment vertical="center"/>
    </xf>
    <xf numFmtId="0" fontId="3" fillId="2" borderId="1" xfId="0" applyFont="1" applyFill="1" applyBorder="1" applyAlignment="1">
      <alignment horizontal="left" vertical="center" wrapText="1"/>
    </xf>
    <xf numFmtId="0" fontId="4" fillId="2" borderId="0" xfId="0" applyFont="1" applyFill="1" applyAlignment="1">
      <alignment vertical="center"/>
    </xf>
    <xf numFmtId="0" fontId="3" fillId="2" borderId="0" xfId="0" applyFont="1" applyFill="1" applyAlignment="1">
      <alignment vertical="center"/>
    </xf>
    <xf numFmtId="0" fontId="3" fillId="2" borderId="0" xfId="0" applyFont="1" applyFill="1"/>
    <xf numFmtId="0" fontId="3" fillId="2" borderId="12" xfId="0" applyFont="1" applyFill="1" applyBorder="1" applyAlignment="1">
      <alignment horizontal="left" vertical="center"/>
    </xf>
    <xf numFmtId="43" fontId="2" fillId="2" borderId="1" xfId="1" applyFont="1" applyFill="1" applyBorder="1" applyAlignment="1">
      <alignment vertical="center" wrapText="1" readingOrder="1"/>
    </xf>
    <xf numFmtId="165" fontId="7" fillId="0" borderId="1" xfId="1" applyNumberFormat="1" applyFont="1" applyBorder="1" applyAlignment="1">
      <alignment horizontal="center" vertical="center"/>
    </xf>
    <xf numFmtId="165" fontId="7" fillId="0" borderId="1" xfId="1" applyNumberFormat="1" applyFont="1" applyFill="1" applyBorder="1" applyAlignment="1">
      <alignment horizontal="center" vertical="center"/>
    </xf>
    <xf numFmtId="165" fontId="7" fillId="0" borderId="1" xfId="0" applyNumberFormat="1" applyFont="1" applyBorder="1" applyAlignment="1">
      <alignment horizontal="center" vertical="center"/>
    </xf>
    <xf numFmtId="3" fontId="7" fillId="0" borderId="1" xfId="1" applyNumberFormat="1" applyFont="1" applyBorder="1" applyAlignment="1">
      <alignment horizontal="center" vertical="center"/>
    </xf>
    <xf numFmtId="164" fontId="7" fillId="0" borderId="1" xfId="2" applyNumberFormat="1" applyFont="1" applyBorder="1" applyAlignment="1">
      <alignment horizontal="center" vertical="center"/>
    </xf>
    <xf numFmtId="0" fontId="9" fillId="2" borderId="0" xfId="0" applyFont="1" applyFill="1" applyAlignment="1">
      <alignment vertical="center"/>
    </xf>
    <xf numFmtId="0" fontId="10" fillId="2" borderId="1" xfId="0" applyFont="1" applyFill="1" applyBorder="1" applyAlignment="1">
      <alignment horizontal="right" vertical="center"/>
    </xf>
    <xf numFmtId="0" fontId="10" fillId="2" borderId="1" xfId="0" applyFont="1" applyFill="1" applyBorder="1" applyAlignment="1">
      <alignment horizontal="left" vertical="center"/>
    </xf>
    <xf numFmtId="0" fontId="10" fillId="2" borderId="1" xfId="0" applyFont="1" applyFill="1" applyBorder="1" applyAlignment="1">
      <alignment horizontal="right" vertical="center" wrapText="1" readingOrder="1"/>
    </xf>
    <xf numFmtId="0" fontId="10" fillId="2" borderId="1" xfId="0" applyFont="1" applyFill="1" applyBorder="1" applyAlignment="1">
      <alignment horizontal="left" vertical="center" wrapText="1" readingOrder="1"/>
    </xf>
    <xf numFmtId="164" fontId="11" fillId="0" borderId="1" xfId="2" applyNumberFormat="1" applyFont="1" applyBorder="1" applyAlignment="1">
      <alignment horizontal="center" vertical="center"/>
    </xf>
    <xf numFmtId="164" fontId="11" fillId="2" borderId="1" xfId="1" applyNumberFormat="1" applyFont="1" applyFill="1" applyBorder="1" applyAlignment="1">
      <alignment horizontal="center" vertical="center"/>
    </xf>
    <xf numFmtId="3" fontId="5" fillId="2" borderId="1" xfId="1" applyNumberFormat="1" applyFont="1" applyFill="1" applyBorder="1" applyAlignment="1">
      <alignment horizontal="center" vertical="center" wrapText="1" readingOrder="1"/>
    </xf>
    <xf numFmtId="3" fontId="8" fillId="2" borderId="1" xfId="1" applyNumberFormat="1" applyFont="1" applyFill="1" applyBorder="1" applyAlignment="1">
      <alignment horizontal="center" vertical="center" wrapText="1" readingOrder="1"/>
    </xf>
    <xf numFmtId="164" fontId="5" fillId="2" borderId="1" xfId="0" applyNumberFormat="1" applyFont="1" applyFill="1" applyBorder="1" applyAlignment="1">
      <alignment horizontal="center" vertical="center" wrapText="1" readingOrder="1"/>
    </xf>
    <xf numFmtId="164" fontId="8" fillId="2" borderId="1" xfId="0" applyNumberFormat="1" applyFont="1" applyFill="1" applyBorder="1" applyAlignment="1">
      <alignment horizontal="center" vertical="center" wrapText="1" readingOrder="1"/>
    </xf>
    <xf numFmtId="164" fontId="6" fillId="2" borderId="1" xfId="0" applyNumberFormat="1" applyFont="1" applyFill="1" applyBorder="1" applyAlignment="1">
      <alignment horizontal="center" vertical="center" wrapText="1" readingOrder="1"/>
    </xf>
    <xf numFmtId="165" fontId="4" fillId="2" borderId="1" xfId="1" applyNumberFormat="1" applyFont="1" applyFill="1" applyBorder="1" applyAlignment="1">
      <alignment horizontal="center" vertical="center"/>
    </xf>
    <xf numFmtId="166" fontId="8" fillId="2" borderId="1" xfId="1" applyNumberFormat="1" applyFont="1" applyFill="1" applyBorder="1" applyAlignment="1">
      <alignment horizontal="center" vertical="center" wrapText="1" readingOrder="1"/>
    </xf>
    <xf numFmtId="165" fontId="6" fillId="2" borderId="1" xfId="1" applyNumberFormat="1" applyFont="1" applyFill="1" applyBorder="1" applyAlignment="1">
      <alignment horizontal="center" vertical="center"/>
    </xf>
    <xf numFmtId="164" fontId="8" fillId="2" borderId="1" xfId="2" applyNumberFormat="1" applyFont="1" applyFill="1" applyBorder="1" applyAlignment="1">
      <alignment horizontal="center" vertical="center"/>
    </xf>
    <xf numFmtId="164" fontId="6" fillId="2" borderId="1" xfId="2" applyNumberFormat="1" applyFont="1" applyFill="1" applyBorder="1" applyAlignment="1">
      <alignment horizontal="center" vertical="center"/>
    </xf>
    <xf numFmtId="164" fontId="4" fillId="2" borderId="1" xfId="1" applyNumberFormat="1" applyFont="1" applyFill="1" applyBorder="1" applyAlignment="1">
      <alignment horizontal="center" vertical="center"/>
    </xf>
    <xf numFmtId="164" fontId="8" fillId="2" borderId="1" xfId="0" applyNumberFormat="1" applyFont="1" applyFill="1" applyBorder="1" applyAlignment="1">
      <alignment horizontal="center" vertical="center"/>
    </xf>
    <xf numFmtId="164" fontId="6" fillId="2" borderId="1" xfId="0" applyNumberFormat="1" applyFont="1" applyFill="1" applyBorder="1" applyAlignment="1">
      <alignment horizontal="center" vertical="center"/>
    </xf>
    <xf numFmtId="165" fontId="8" fillId="2" borderId="1" xfId="0" applyNumberFormat="1" applyFont="1" applyFill="1" applyBorder="1" applyAlignment="1">
      <alignment horizontal="center" vertical="center"/>
    </xf>
    <xf numFmtId="165" fontId="6" fillId="2" borderId="1" xfId="0" applyNumberFormat="1" applyFont="1" applyFill="1" applyBorder="1" applyAlignment="1">
      <alignment horizontal="center" vertical="center"/>
    </xf>
    <xf numFmtId="0" fontId="12" fillId="3" borderId="9" xfId="0" applyFont="1" applyFill="1" applyBorder="1" applyAlignment="1">
      <alignment horizontal="center" vertical="center" wrapText="1" readingOrder="1"/>
    </xf>
    <xf numFmtId="0" fontId="12" fillId="3" borderId="11" xfId="0" applyFont="1" applyFill="1" applyBorder="1" applyAlignment="1">
      <alignment horizontal="center" vertical="center" wrapText="1" readingOrder="1"/>
    </xf>
    <xf numFmtId="0" fontId="13" fillId="3" borderId="11" xfId="0" applyFont="1" applyFill="1" applyBorder="1" applyAlignment="1">
      <alignment horizontal="center" vertical="center" wrapText="1" readingOrder="1"/>
    </xf>
    <xf numFmtId="0" fontId="12" fillId="4" borderId="9" xfId="0" applyFont="1" applyFill="1" applyBorder="1" applyAlignment="1">
      <alignment horizontal="center" vertical="center" wrapText="1" readingOrder="1"/>
    </xf>
    <xf numFmtId="0" fontId="13" fillId="4" borderId="11" xfId="0" applyFont="1" applyFill="1" applyBorder="1" applyAlignment="1">
      <alignment horizontal="center" vertical="center" wrapText="1" readingOrder="1"/>
    </xf>
    <xf numFmtId="0" fontId="12" fillId="5" borderId="9" xfId="0" applyFont="1" applyFill="1" applyBorder="1" applyAlignment="1">
      <alignment horizontal="center" vertical="center" wrapText="1" readingOrder="1"/>
    </xf>
    <xf numFmtId="0" fontId="13" fillId="5" borderId="11" xfId="0" applyFont="1" applyFill="1" applyBorder="1" applyAlignment="1">
      <alignment horizontal="center" vertical="center" wrapText="1" readingOrder="1"/>
    </xf>
    <xf numFmtId="0" fontId="12" fillId="3" borderId="9" xfId="0" applyFont="1" applyFill="1" applyBorder="1" applyAlignment="1">
      <alignment vertical="center" wrapText="1" readingOrder="1"/>
    </xf>
    <xf numFmtId="0" fontId="3" fillId="2" borderId="12" xfId="0" applyFont="1" applyFill="1" applyBorder="1" applyAlignment="1">
      <alignment vertical="center"/>
    </xf>
    <xf numFmtId="0" fontId="3" fillId="2" borderId="13" xfId="0" applyFont="1" applyFill="1" applyBorder="1" applyAlignment="1">
      <alignment vertical="center"/>
    </xf>
    <xf numFmtId="0" fontId="3" fillId="2" borderId="14" xfId="0" applyFont="1" applyFill="1" applyBorder="1" applyAlignment="1">
      <alignment vertical="center"/>
    </xf>
    <xf numFmtId="0" fontId="3" fillId="2" borderId="12" xfId="0" applyFont="1" applyFill="1" applyBorder="1" applyAlignment="1">
      <alignment horizontal="center" vertical="center" wrapText="1"/>
    </xf>
    <xf numFmtId="0" fontId="14" fillId="6" borderId="1" xfId="0" applyFont="1" applyFill="1" applyBorder="1" applyAlignment="1">
      <alignment horizontal="center" vertical="center"/>
    </xf>
    <xf numFmtId="0" fontId="15" fillId="0" borderId="2" xfId="0" applyFont="1" applyBorder="1" applyAlignment="1">
      <alignment wrapText="1"/>
    </xf>
    <xf numFmtId="0" fontId="15" fillId="0" borderId="2" xfId="0" applyFont="1" applyBorder="1"/>
    <xf numFmtId="0" fontId="15" fillId="0" borderId="2" xfId="0" applyFont="1" applyBorder="1" applyAlignment="1">
      <alignment vertical="center"/>
    </xf>
    <xf numFmtId="0" fontId="15" fillId="0" borderId="3" xfId="0" applyFont="1" applyBorder="1"/>
    <xf numFmtId="0" fontId="15" fillId="0" borderId="8" xfId="0" applyFont="1" applyBorder="1"/>
    <xf numFmtId="0" fontId="15" fillId="2" borderId="2" xfId="0" applyFont="1" applyFill="1" applyBorder="1" applyAlignment="1">
      <alignment vertical="top" wrapText="1"/>
    </xf>
    <xf numFmtId="0" fontId="15" fillId="0" borderId="2" xfId="0" applyFont="1" applyBorder="1" applyAlignment="1">
      <alignment vertical="top" wrapText="1"/>
    </xf>
    <xf numFmtId="0" fontId="15" fillId="2" borderId="2" xfId="0" applyFont="1" applyFill="1" applyBorder="1" applyAlignment="1">
      <alignment horizontal="left" vertical="top" wrapText="1"/>
    </xf>
    <xf numFmtId="0" fontId="15" fillId="0" borderId="2" xfId="0" applyFont="1" applyBorder="1" applyAlignment="1">
      <alignment vertical="top"/>
    </xf>
    <xf numFmtId="0" fontId="15" fillId="0" borderId="2" xfId="0" applyFont="1" applyBorder="1" applyAlignment="1">
      <alignment horizontal="left" vertical="top" wrapText="1"/>
    </xf>
    <xf numFmtId="16" fontId="3" fillId="0" borderId="0" xfId="0" applyNumberFormat="1" applyFont="1"/>
    <xf numFmtId="0" fontId="16" fillId="7" borderId="2" xfId="0" applyFont="1" applyFill="1" applyBorder="1" applyAlignment="1">
      <alignment wrapText="1"/>
    </xf>
    <xf numFmtId="0" fontId="16" fillId="7" borderId="2" xfId="0" applyFont="1" applyFill="1" applyBorder="1"/>
    <xf numFmtId="0" fontId="15" fillId="0" borderId="20" xfId="0" applyFont="1" applyBorder="1"/>
    <xf numFmtId="0" fontId="3" fillId="0" borderId="0" xfId="0" applyFont="1" applyAlignment="1">
      <alignment vertical="top"/>
    </xf>
    <xf numFmtId="10" fontId="3" fillId="2" borderId="0" xfId="2" applyNumberFormat="1" applyFont="1" applyFill="1" applyAlignment="1">
      <alignment vertical="center"/>
    </xf>
    <xf numFmtId="0" fontId="2" fillId="2" borderId="1" xfId="1" applyNumberFormat="1" applyFont="1" applyFill="1" applyBorder="1" applyAlignment="1">
      <alignment vertical="center" wrapText="1" readingOrder="1"/>
    </xf>
    <xf numFmtId="43" fontId="2" fillId="2" borderId="1" xfId="1" applyFont="1" applyFill="1" applyBorder="1" applyAlignment="1">
      <alignment horizontal="left" vertical="center" wrapText="1" readingOrder="1"/>
    </xf>
    <xf numFmtId="0" fontId="3" fillId="0" borderId="1" xfId="0" applyFont="1" applyBorder="1" applyAlignment="1">
      <alignment vertical="center"/>
    </xf>
    <xf numFmtId="0" fontId="3" fillId="0" borderId="1" xfId="0" applyFont="1" applyBorder="1" applyAlignment="1">
      <alignment horizontal="left" vertical="center"/>
    </xf>
    <xf numFmtId="165" fontId="4" fillId="0" borderId="1" xfId="1" applyNumberFormat="1" applyFont="1" applyFill="1" applyBorder="1" applyAlignment="1">
      <alignment horizontal="center" vertical="center"/>
    </xf>
    <xf numFmtId="165" fontId="8" fillId="0" borderId="1" xfId="1" applyNumberFormat="1" applyFont="1" applyFill="1" applyBorder="1" applyAlignment="1">
      <alignment horizontal="center" vertical="center"/>
    </xf>
    <xf numFmtId="165" fontId="6" fillId="0" borderId="1" xfId="1" applyNumberFormat="1" applyFont="1" applyFill="1" applyBorder="1" applyAlignment="1">
      <alignment horizontal="center" vertical="center"/>
    </xf>
    <xf numFmtId="0" fontId="2" fillId="0" borderId="1" xfId="0" applyFont="1" applyBorder="1" applyAlignment="1">
      <alignment horizontal="left" vertical="center" wrapText="1" readingOrder="1"/>
    </xf>
    <xf numFmtId="165" fontId="5" fillId="0" borderId="1" xfId="1" applyNumberFormat="1" applyFont="1" applyFill="1" applyBorder="1" applyAlignment="1">
      <alignment horizontal="center" vertical="center" wrapText="1" readingOrder="1"/>
    </xf>
    <xf numFmtId="165" fontId="8" fillId="0" borderId="1" xfId="1" applyNumberFormat="1" applyFont="1" applyFill="1" applyBorder="1" applyAlignment="1">
      <alignment horizontal="center" vertical="center" wrapText="1" readingOrder="1"/>
    </xf>
    <xf numFmtId="3" fontId="5" fillId="0" borderId="1" xfId="1" applyNumberFormat="1" applyFont="1" applyFill="1" applyBorder="1" applyAlignment="1">
      <alignment horizontal="center" vertical="center" wrapText="1" readingOrder="1"/>
    </xf>
    <xf numFmtId="3" fontId="7" fillId="0" borderId="1" xfId="1" applyNumberFormat="1" applyFont="1" applyFill="1" applyBorder="1" applyAlignment="1">
      <alignment horizontal="center" vertical="center"/>
    </xf>
    <xf numFmtId="3" fontId="8" fillId="0" borderId="1" xfId="1" applyNumberFormat="1" applyFont="1" applyFill="1" applyBorder="1" applyAlignment="1">
      <alignment horizontal="center" vertical="center" wrapText="1" readingOrder="1"/>
    </xf>
    <xf numFmtId="3" fontId="6" fillId="0" borderId="1" xfId="1" applyNumberFormat="1" applyFont="1" applyFill="1" applyBorder="1" applyAlignment="1">
      <alignment horizontal="center" vertical="center" wrapText="1" readingOrder="1"/>
    </xf>
    <xf numFmtId="164" fontId="6" fillId="0" borderId="1" xfId="0" applyNumberFormat="1" applyFont="1" applyBorder="1" applyAlignment="1">
      <alignment horizontal="center" vertical="center" wrapText="1" readingOrder="1"/>
    </xf>
    <xf numFmtId="0" fontId="15" fillId="0" borderId="2" xfId="0" applyFont="1" applyBorder="1" applyAlignment="1">
      <alignment vertical="center" wrapText="1"/>
    </xf>
    <xf numFmtId="0" fontId="15" fillId="0" borderId="3" xfId="0" applyFont="1" applyBorder="1" applyAlignment="1">
      <alignment vertical="center" wrapText="1"/>
    </xf>
    <xf numFmtId="0" fontId="15" fillId="0" borderId="3" xfId="0" applyFont="1" applyBorder="1" applyAlignment="1">
      <alignment vertical="center"/>
    </xf>
    <xf numFmtId="0" fontId="3" fillId="0" borderId="1" xfId="0" applyFont="1" applyBorder="1" applyAlignment="1">
      <alignment vertical="center" wrapText="1"/>
    </xf>
    <xf numFmtId="3" fontId="5" fillId="0" borderId="1" xfId="0" applyNumberFormat="1" applyFont="1" applyBorder="1" applyAlignment="1">
      <alignment horizontal="center" vertical="center" wrapText="1" readingOrder="1"/>
    </xf>
    <xf numFmtId="3" fontId="7" fillId="0" borderId="1" xfId="2" applyNumberFormat="1" applyFont="1" applyFill="1" applyBorder="1" applyAlignment="1">
      <alignment horizontal="center" vertical="center"/>
    </xf>
    <xf numFmtId="0" fontId="15" fillId="0" borderId="1" xfId="0" applyFont="1" applyBorder="1" applyAlignment="1">
      <alignment horizontal="left" vertical="top"/>
    </xf>
    <xf numFmtId="0" fontId="15" fillId="0" borderId="4" xfId="0" applyFont="1" applyBorder="1" applyAlignment="1">
      <alignment horizontal="left" vertical="top"/>
    </xf>
    <xf numFmtId="0" fontId="15" fillId="0" borderId="5" xfId="0" applyFont="1" applyBorder="1" applyAlignment="1">
      <alignment horizontal="left" vertical="top"/>
    </xf>
    <xf numFmtId="0" fontId="15" fillId="0" borderId="21" xfId="0" applyFont="1" applyBorder="1" applyAlignment="1">
      <alignment horizontal="left" vertical="top"/>
    </xf>
    <xf numFmtId="0" fontId="14" fillId="6" borderId="4" xfId="0" applyFont="1" applyFill="1" applyBorder="1" applyAlignment="1">
      <alignment horizontal="center" vertical="center"/>
    </xf>
    <xf numFmtId="0" fontId="14" fillId="6" borderId="5" xfId="0" applyFont="1" applyFill="1" applyBorder="1" applyAlignment="1">
      <alignment horizontal="center" vertical="center"/>
    </xf>
    <xf numFmtId="0" fontId="15" fillId="0" borderId="6" xfId="0" applyFont="1" applyBorder="1" applyAlignment="1">
      <alignment horizontal="left"/>
    </xf>
    <xf numFmtId="0" fontId="15" fillId="0" borderId="19" xfId="0" applyFont="1" applyBorder="1" applyAlignment="1">
      <alignment horizontal="left"/>
    </xf>
    <xf numFmtId="0" fontId="15" fillId="0" borderId="7" xfId="0" applyFont="1" applyBorder="1" applyAlignment="1">
      <alignment horizontal="left"/>
    </xf>
    <xf numFmtId="0" fontId="2" fillId="2" borderId="18" xfId="0" applyFont="1" applyFill="1" applyBorder="1" applyAlignment="1">
      <alignment horizontal="left" vertical="center" wrapText="1" readingOrder="1"/>
    </xf>
    <xf numFmtId="0" fontId="2" fillId="2" borderId="3" xfId="0" applyFont="1" applyFill="1" applyBorder="1" applyAlignment="1">
      <alignment horizontal="left" vertical="center" wrapText="1" readingOrder="1"/>
    </xf>
    <xf numFmtId="0" fontId="3" fillId="2" borderId="12" xfId="0" applyFont="1" applyFill="1" applyBorder="1" applyAlignment="1">
      <alignment horizontal="left" vertical="center" wrapText="1"/>
    </xf>
    <xf numFmtId="0" fontId="3" fillId="2" borderId="13" xfId="0" applyFont="1" applyFill="1" applyBorder="1" applyAlignment="1">
      <alignment horizontal="left" vertical="center" wrapText="1"/>
    </xf>
    <xf numFmtId="0" fontId="3" fillId="2" borderId="14" xfId="0" applyFont="1" applyFill="1" applyBorder="1" applyAlignment="1">
      <alignment horizontal="left" vertical="center" wrapText="1"/>
    </xf>
    <xf numFmtId="0" fontId="3" fillId="2" borderId="9"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9" xfId="0" applyFont="1" applyFill="1" applyBorder="1" applyAlignment="1">
      <alignment horizontal="left" vertical="center"/>
    </xf>
    <xf numFmtId="0" fontId="3" fillId="2" borderId="11" xfId="0" applyFont="1" applyFill="1" applyBorder="1" applyAlignment="1">
      <alignment horizontal="left" vertical="center"/>
    </xf>
    <xf numFmtId="0" fontId="2" fillId="2" borderId="18" xfId="0" applyFont="1" applyFill="1" applyBorder="1" applyAlignment="1">
      <alignment horizontal="center" vertical="center" wrapText="1" readingOrder="1"/>
    </xf>
    <xf numFmtId="0" fontId="2" fillId="2" borderId="3" xfId="0" applyFont="1" applyFill="1" applyBorder="1" applyAlignment="1">
      <alignment horizontal="center" vertical="center" wrapText="1" readingOrder="1"/>
    </xf>
    <xf numFmtId="0" fontId="3" fillId="2" borderId="9"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9" xfId="1" applyNumberFormat="1" applyFont="1" applyFill="1" applyBorder="1" applyAlignment="1">
      <alignment horizontal="center" vertical="center" wrapText="1"/>
    </xf>
    <xf numFmtId="0" fontId="3" fillId="2" borderId="11" xfId="1" applyNumberFormat="1" applyFont="1" applyFill="1" applyBorder="1" applyAlignment="1">
      <alignment horizontal="center" vertical="center" wrapText="1"/>
    </xf>
    <xf numFmtId="0" fontId="3" fillId="2" borderId="10" xfId="1" applyNumberFormat="1" applyFont="1" applyFill="1" applyBorder="1" applyAlignment="1">
      <alignment horizontal="center" vertical="center" wrapText="1"/>
    </xf>
    <xf numFmtId="0" fontId="3" fillId="2" borderId="10" xfId="0" applyFont="1" applyFill="1" applyBorder="1" applyAlignment="1">
      <alignment horizontal="center" vertical="center"/>
    </xf>
    <xf numFmtId="0" fontId="12" fillId="3" borderId="9" xfId="0" applyFont="1" applyFill="1" applyBorder="1" applyAlignment="1">
      <alignment horizontal="center" vertical="center" wrapText="1" readingOrder="1"/>
    </xf>
    <xf numFmtId="0" fontId="12" fillId="3" borderId="11" xfId="0" applyFont="1" applyFill="1" applyBorder="1" applyAlignment="1">
      <alignment horizontal="center" vertical="center" wrapText="1" readingOrder="1"/>
    </xf>
    <xf numFmtId="0" fontId="3" fillId="2" borderId="18" xfId="0" applyFont="1" applyFill="1" applyBorder="1" applyAlignment="1">
      <alignment horizontal="left" vertical="center"/>
    </xf>
    <xf numFmtId="0" fontId="3" fillId="2" borderId="3" xfId="0" applyFont="1" applyFill="1" applyBorder="1" applyAlignment="1">
      <alignment horizontal="left" vertical="center"/>
    </xf>
    <xf numFmtId="0" fontId="12" fillId="3" borderId="12" xfId="0" applyFont="1" applyFill="1" applyBorder="1" applyAlignment="1">
      <alignment horizontal="center" vertical="center" wrapText="1" readingOrder="1"/>
    </xf>
    <xf numFmtId="0" fontId="12" fillId="3" borderId="13" xfId="0" applyFont="1" applyFill="1" applyBorder="1" applyAlignment="1">
      <alignment horizontal="center" vertical="center" wrapText="1" readingOrder="1"/>
    </xf>
    <xf numFmtId="0" fontId="12" fillId="3" borderId="14" xfId="0" applyFont="1" applyFill="1" applyBorder="1" applyAlignment="1">
      <alignment horizontal="center" vertical="center" wrapText="1" readingOrder="1"/>
    </xf>
    <xf numFmtId="0" fontId="3" fillId="2" borderId="15" xfId="0" applyFont="1" applyFill="1" applyBorder="1" applyAlignment="1">
      <alignment horizontal="left" vertical="center"/>
    </xf>
    <xf numFmtId="0" fontId="3" fillId="2" borderId="16" xfId="0" applyFont="1" applyFill="1" applyBorder="1" applyAlignment="1">
      <alignment horizontal="left" vertical="center"/>
    </xf>
    <xf numFmtId="0" fontId="3" fillId="2" borderId="17" xfId="0" applyFont="1" applyFill="1" applyBorder="1" applyAlignment="1">
      <alignment horizontal="left" vertical="center"/>
    </xf>
    <xf numFmtId="0" fontId="3" fillId="2" borderId="9"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3" fillId="2" borderId="10" xfId="0" applyFont="1" applyFill="1" applyBorder="1" applyAlignment="1">
      <alignment horizontal="left" vertical="center" wrapText="1"/>
    </xf>
    <xf numFmtId="43" fontId="3" fillId="2" borderId="9" xfId="1" applyFont="1" applyFill="1" applyBorder="1" applyAlignment="1">
      <alignment horizontal="left" vertical="center" wrapText="1"/>
    </xf>
    <xf numFmtId="43" fontId="3" fillId="2" borderId="11" xfId="1" applyFont="1" applyFill="1" applyBorder="1" applyAlignment="1">
      <alignment horizontal="left" vertical="center" wrapText="1"/>
    </xf>
    <xf numFmtId="43" fontId="3" fillId="2" borderId="10" xfId="1" applyFont="1" applyFill="1" applyBorder="1" applyAlignment="1">
      <alignment horizontal="left" vertical="center" wrapText="1"/>
    </xf>
    <xf numFmtId="0" fontId="3" fillId="2" borderId="10" xfId="0" applyFont="1" applyFill="1" applyBorder="1" applyAlignment="1">
      <alignment horizontal="left" vertical="center"/>
    </xf>
    <xf numFmtId="43" fontId="2" fillId="2" borderId="18" xfId="1" applyFont="1" applyFill="1" applyBorder="1" applyAlignment="1">
      <alignment horizontal="left" vertical="center" wrapText="1" readingOrder="1"/>
    </xf>
    <xf numFmtId="43" fontId="2" fillId="2" borderId="3" xfId="1" applyFont="1" applyFill="1" applyBorder="1" applyAlignment="1">
      <alignment horizontal="left" vertical="center" wrapText="1" readingOrder="1"/>
    </xf>
  </cellXfs>
  <cellStyles count="3">
    <cellStyle name="Comma" xfId="1" builtinId="3"/>
    <cellStyle name="Normal" xfId="0" builtinId="0"/>
    <cellStyle name="Percent" xfId="2" builtinId="5"/>
  </cellStyles>
  <dxfs count="2">
    <dxf>
      <fill>
        <patternFill>
          <bgColor rgb="FFFFCCCC"/>
        </patternFill>
      </fill>
    </dxf>
    <dxf>
      <fill>
        <patternFill>
          <bgColor theme="8" tint="0.79998168889431442"/>
        </patternFill>
      </fill>
    </dxf>
  </dxfs>
  <tableStyles count="0" defaultTableStyle="TableStyleMedium2" defaultPivotStyle="PivotStyleLight16"/>
  <colors>
    <mruColors>
      <color rgb="FFFFD243"/>
      <color rgb="FF119303"/>
      <color rgb="FFC3339A"/>
      <color rgb="FF0000FF"/>
      <color rgb="FF0033CC"/>
      <color rgb="FF0000CC"/>
      <color rgb="FF0066FF"/>
      <color rgb="FF085E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xdr:col>
      <xdr:colOff>25400</xdr:colOff>
      <xdr:row>0</xdr:row>
      <xdr:rowOff>95250</xdr:rowOff>
    </xdr:from>
    <xdr:to>
      <xdr:col>5</xdr:col>
      <xdr:colOff>2609850</xdr:colOff>
      <xdr:row>8</xdr:row>
      <xdr:rowOff>28575</xdr:rowOff>
    </xdr:to>
    <xdr:grpSp>
      <xdr:nvGrpSpPr>
        <xdr:cNvPr id="2" name="Group 1">
          <a:extLst>
            <a:ext uri="{FF2B5EF4-FFF2-40B4-BE49-F238E27FC236}">
              <a16:creationId xmlns:a16="http://schemas.microsoft.com/office/drawing/2014/main" id="{61563234-90F4-4EC4-BEFE-25EC556F3674}"/>
            </a:ext>
          </a:extLst>
        </xdr:cNvPr>
        <xdr:cNvGrpSpPr/>
      </xdr:nvGrpSpPr>
      <xdr:grpSpPr>
        <a:xfrm>
          <a:off x="174812" y="95250"/>
          <a:ext cx="13162803" cy="1367678"/>
          <a:chOff x="273050" y="0"/>
          <a:chExt cx="7937500" cy="857250"/>
        </a:xfrm>
        <a:solidFill>
          <a:srgbClr val="00B050"/>
        </a:solidFill>
      </xdr:grpSpPr>
      <xdr:sp macro="" textlink="">
        <xdr:nvSpPr>
          <xdr:cNvPr id="3" name="Isosceles Triangle 2">
            <a:extLst>
              <a:ext uri="{FF2B5EF4-FFF2-40B4-BE49-F238E27FC236}">
                <a16:creationId xmlns:a16="http://schemas.microsoft.com/office/drawing/2014/main" id="{2C8C0E28-67C4-A9F3-C086-A1BDC2810BFD}"/>
              </a:ext>
            </a:extLst>
          </xdr:cNvPr>
          <xdr:cNvSpPr/>
        </xdr:nvSpPr>
        <xdr:spPr>
          <a:xfrm>
            <a:off x="273050" y="0"/>
            <a:ext cx="7937500" cy="857250"/>
          </a:xfrm>
          <a:prstGeom prst="triangle">
            <a:avLst/>
          </a:prstGeom>
          <a:solidFill>
            <a:srgbClr val="11930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aseline="0"/>
          </a:p>
          <a:p>
            <a:pPr algn="ctr"/>
            <a:endParaRPr lang="en-US" sz="1100" baseline="0"/>
          </a:p>
          <a:p>
            <a:pPr algn="ctr"/>
            <a:endParaRPr lang="en-US" sz="1100"/>
          </a:p>
        </xdr:txBody>
      </xdr:sp>
      <xdr:sp macro="" textlink="">
        <xdr:nvSpPr>
          <xdr:cNvPr id="4" name="Rectangle 3">
            <a:extLst>
              <a:ext uri="{FF2B5EF4-FFF2-40B4-BE49-F238E27FC236}">
                <a16:creationId xmlns:a16="http://schemas.microsoft.com/office/drawing/2014/main" id="{99562002-2ED5-F266-72B2-CDA6DD57390C}"/>
              </a:ext>
            </a:extLst>
          </xdr:cNvPr>
          <xdr:cNvSpPr/>
        </xdr:nvSpPr>
        <xdr:spPr>
          <a:xfrm>
            <a:off x="3392103" y="224659"/>
            <a:ext cx="1676400" cy="5499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latin typeface="Times New Roman" panose="02020603050405020304" pitchFamily="18" charset="0"/>
                <a:cs typeface="Times New Roman" panose="02020603050405020304" pitchFamily="18" charset="0"/>
              </a:rPr>
              <a:t>MỤC</a:t>
            </a:r>
            <a:r>
              <a:rPr lang="en-US" sz="2000" b="1" baseline="0">
                <a:latin typeface="Times New Roman" panose="02020603050405020304" pitchFamily="18" charset="0"/>
                <a:cs typeface="Times New Roman" panose="02020603050405020304" pitchFamily="18" charset="0"/>
              </a:rPr>
              <a:t> TIÊU 2026</a:t>
            </a:r>
          </a:p>
          <a:p>
            <a:pPr algn="ctr"/>
            <a:r>
              <a:rPr lang="en-US" sz="1400" baseline="0">
                <a:latin typeface="Times New Roman" panose="02020603050405020304" pitchFamily="18" charset="0"/>
                <a:cs typeface="Times New Roman" panose="02020603050405020304" pitchFamily="18" charset="0"/>
              </a:rPr>
              <a:t>Doanh thu :  </a:t>
            </a:r>
            <a:r>
              <a:rPr lang="en-US" sz="1400" b="1" baseline="0">
                <a:solidFill>
                  <a:srgbClr val="FFFF00"/>
                </a:solidFill>
                <a:latin typeface="Times New Roman" panose="02020603050405020304" pitchFamily="18" charset="0"/>
                <a:cs typeface="Times New Roman" panose="02020603050405020304" pitchFamily="18" charset="0"/>
              </a:rPr>
              <a:t>1,196</a:t>
            </a:r>
            <a:r>
              <a:rPr lang="en-US" sz="1400" baseline="0">
                <a:latin typeface="Times New Roman" panose="02020603050405020304" pitchFamily="18" charset="0"/>
                <a:cs typeface="Times New Roman" panose="02020603050405020304" pitchFamily="18" charset="0"/>
              </a:rPr>
              <a:t> Tỷ</a:t>
            </a:r>
          </a:p>
          <a:p>
            <a:pPr algn="ctr"/>
            <a:r>
              <a:rPr lang="en-US" sz="1400" baseline="0">
                <a:latin typeface="Times New Roman" panose="02020603050405020304" pitchFamily="18" charset="0"/>
                <a:cs typeface="Times New Roman" panose="02020603050405020304" pitchFamily="18" charset="0"/>
              </a:rPr>
              <a:t>% Lợi nhuận sau thuế: </a:t>
            </a:r>
            <a:r>
              <a:rPr lang="en-US" sz="1400" baseline="0">
                <a:solidFill>
                  <a:srgbClr val="FF0000"/>
                </a:solidFill>
                <a:latin typeface="Times New Roman" panose="02020603050405020304" pitchFamily="18" charset="0"/>
                <a:cs typeface="Times New Roman" panose="02020603050405020304" pitchFamily="18" charset="0"/>
              </a:rPr>
              <a:t>5</a:t>
            </a:r>
            <a:r>
              <a:rPr lang="en-US" sz="1400" baseline="0">
                <a:latin typeface="Times New Roman" panose="02020603050405020304" pitchFamily="18" charset="0"/>
                <a:cs typeface="Times New Roman" panose="02020603050405020304" pitchFamily="18" charset="0"/>
              </a:rPr>
              <a:t>% </a:t>
            </a:r>
          </a:p>
          <a:p>
            <a:pPr algn="ctr"/>
            <a:endParaRPr lang="en-US" sz="1400" baseline="0">
              <a:latin typeface="Times New Roman" panose="02020603050405020304" pitchFamily="18" charset="0"/>
              <a:cs typeface="Times New Roman" panose="02020603050405020304" pitchFamily="18"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25400</xdr:colOff>
      <xdr:row>0</xdr:row>
      <xdr:rowOff>95250</xdr:rowOff>
    </xdr:from>
    <xdr:to>
      <xdr:col>6</xdr:col>
      <xdr:colOff>9071</xdr:colOff>
      <xdr:row>8</xdr:row>
      <xdr:rowOff>28575</xdr:rowOff>
    </xdr:to>
    <xdr:grpSp>
      <xdr:nvGrpSpPr>
        <xdr:cNvPr id="2" name="Group 1">
          <a:extLst>
            <a:ext uri="{FF2B5EF4-FFF2-40B4-BE49-F238E27FC236}">
              <a16:creationId xmlns:a16="http://schemas.microsoft.com/office/drawing/2014/main" id="{7DA412ED-F3B1-4764-AD98-D9DBE633CA62}"/>
            </a:ext>
          </a:extLst>
        </xdr:cNvPr>
        <xdr:cNvGrpSpPr/>
      </xdr:nvGrpSpPr>
      <xdr:grpSpPr>
        <a:xfrm>
          <a:off x="179614" y="95250"/>
          <a:ext cx="15904028" cy="1384754"/>
          <a:chOff x="273050" y="0"/>
          <a:chExt cx="7937500" cy="857250"/>
        </a:xfrm>
        <a:solidFill>
          <a:srgbClr val="00B050"/>
        </a:solidFill>
      </xdr:grpSpPr>
      <xdr:sp macro="" textlink="">
        <xdr:nvSpPr>
          <xdr:cNvPr id="3" name="Isosceles Triangle 2">
            <a:extLst>
              <a:ext uri="{FF2B5EF4-FFF2-40B4-BE49-F238E27FC236}">
                <a16:creationId xmlns:a16="http://schemas.microsoft.com/office/drawing/2014/main" id="{FEEBFACD-8E7C-D8A6-280B-FBADA4A141E0}"/>
              </a:ext>
            </a:extLst>
          </xdr:cNvPr>
          <xdr:cNvSpPr/>
        </xdr:nvSpPr>
        <xdr:spPr>
          <a:xfrm>
            <a:off x="273050" y="0"/>
            <a:ext cx="7937500" cy="857250"/>
          </a:xfrm>
          <a:prstGeom prst="triangle">
            <a:avLst/>
          </a:prstGeom>
          <a:solidFill>
            <a:srgbClr val="11930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aseline="0"/>
          </a:p>
          <a:p>
            <a:pPr algn="ctr"/>
            <a:endParaRPr lang="en-US" sz="1100" baseline="0"/>
          </a:p>
          <a:p>
            <a:pPr algn="ctr"/>
            <a:endParaRPr lang="en-US" sz="1100"/>
          </a:p>
        </xdr:txBody>
      </xdr:sp>
      <xdr:sp macro="" textlink="">
        <xdr:nvSpPr>
          <xdr:cNvPr id="4" name="Rectangle 3">
            <a:extLst>
              <a:ext uri="{FF2B5EF4-FFF2-40B4-BE49-F238E27FC236}">
                <a16:creationId xmlns:a16="http://schemas.microsoft.com/office/drawing/2014/main" id="{721BD5AE-175F-0BAB-95A7-95D4BC0BCC5E}"/>
              </a:ext>
            </a:extLst>
          </xdr:cNvPr>
          <xdr:cNvSpPr/>
        </xdr:nvSpPr>
        <xdr:spPr>
          <a:xfrm>
            <a:off x="3212262" y="137587"/>
            <a:ext cx="2087148" cy="65391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latin typeface="Times New Roman" panose="02020603050405020304" pitchFamily="18" charset="0"/>
                <a:cs typeface="Times New Roman" panose="02020603050405020304" pitchFamily="18" charset="0"/>
              </a:rPr>
              <a:t>MỤC</a:t>
            </a:r>
            <a:r>
              <a:rPr lang="en-US" sz="2000" b="1" baseline="0">
                <a:latin typeface="Times New Roman" panose="02020603050405020304" pitchFamily="18" charset="0"/>
                <a:cs typeface="Times New Roman" panose="02020603050405020304" pitchFamily="18" charset="0"/>
              </a:rPr>
              <a:t> TIÊU 2026</a:t>
            </a:r>
          </a:p>
          <a:p>
            <a:pPr algn="ctr"/>
            <a:r>
              <a:rPr lang="en-US" sz="1400" baseline="0">
                <a:latin typeface="Times New Roman" panose="02020603050405020304" pitchFamily="18" charset="0"/>
                <a:cs typeface="Times New Roman" panose="02020603050405020304" pitchFamily="18" charset="0"/>
              </a:rPr>
              <a:t>Doanh thu : </a:t>
            </a:r>
            <a:r>
              <a:rPr lang="en-US" sz="1400" b="1" baseline="0">
                <a:solidFill>
                  <a:srgbClr val="FFFF00"/>
                </a:solidFill>
                <a:latin typeface="Times New Roman" panose="02020603050405020304" pitchFamily="18" charset="0"/>
                <a:cs typeface="Times New Roman" panose="02020603050405020304" pitchFamily="18" charset="0"/>
              </a:rPr>
              <a:t> 1,700</a:t>
            </a:r>
            <a:r>
              <a:rPr lang="en-US" sz="1400" baseline="0">
                <a:latin typeface="Times New Roman" panose="02020603050405020304" pitchFamily="18" charset="0"/>
                <a:cs typeface="Times New Roman" panose="02020603050405020304" pitchFamily="18" charset="0"/>
              </a:rPr>
              <a:t> Tỷ</a:t>
            </a:r>
          </a:p>
          <a:p>
            <a:pPr algn="ctr"/>
            <a:r>
              <a:rPr lang="en-US" sz="1400" baseline="0">
                <a:latin typeface="Times New Roman" panose="02020603050405020304" pitchFamily="18" charset="0"/>
                <a:cs typeface="Times New Roman" panose="02020603050405020304" pitchFamily="18" charset="0"/>
              </a:rPr>
              <a:t>Lợi nhuận sau thuế: </a:t>
            </a:r>
            <a:r>
              <a:rPr lang="en-US" sz="1400" b="1" baseline="0">
                <a:solidFill>
                  <a:srgbClr val="FFFF00"/>
                </a:solidFill>
                <a:latin typeface="Times New Roman" panose="02020603050405020304" pitchFamily="18" charset="0"/>
                <a:cs typeface="Times New Roman" panose="02020603050405020304" pitchFamily="18" charset="0"/>
              </a:rPr>
              <a:t>40</a:t>
            </a:r>
            <a:r>
              <a:rPr lang="en-US" sz="1400" baseline="0">
                <a:latin typeface="Times New Roman" panose="02020603050405020304" pitchFamily="18" charset="0"/>
                <a:cs typeface="Times New Roman" panose="02020603050405020304" pitchFamily="18" charset="0"/>
              </a:rPr>
              <a:t> Tỷ,</a:t>
            </a:r>
          </a:p>
          <a:p>
            <a:pPr algn="ctr"/>
            <a:r>
              <a:rPr lang="en-US" sz="1400" baseline="0">
                <a:latin typeface="Times New Roman" panose="02020603050405020304" pitchFamily="18" charset="0"/>
                <a:cs typeface="Times New Roman" panose="02020603050405020304" pitchFamily="18" charset="0"/>
              </a:rPr>
              <a:t>Tỷ suất lợi nhuận</a:t>
            </a:r>
            <a:r>
              <a:rPr lang="en-US" sz="1400" b="1" baseline="0">
                <a:solidFill>
                  <a:srgbClr val="FFFF00"/>
                </a:solidFill>
                <a:latin typeface="Times New Roman" panose="02020603050405020304" pitchFamily="18" charset="0"/>
                <a:cs typeface="Times New Roman" panose="02020603050405020304" pitchFamily="18" charset="0"/>
              </a:rPr>
              <a:t> 2.4%</a:t>
            </a:r>
            <a:r>
              <a:rPr lang="en-US" sz="1400" baseline="0">
                <a:latin typeface="Times New Roman" panose="02020603050405020304" pitchFamily="18" charset="0"/>
                <a:cs typeface="Times New Roman" panose="02020603050405020304" pitchFamily="18" charset="0"/>
              </a:rPr>
              <a:t> </a:t>
            </a:r>
          </a:p>
          <a:p>
            <a:pPr algn="ctr"/>
            <a:r>
              <a:rPr lang="en-US" sz="1400" baseline="0">
                <a:latin typeface="Times New Roman" panose="02020603050405020304" pitchFamily="18" charset="0"/>
                <a:cs typeface="Times New Roman" panose="02020603050405020304" pitchFamily="18" charset="0"/>
              </a:rPr>
              <a:t>  </a:t>
            </a:r>
          </a:p>
          <a:p>
            <a:pPr algn="ctr"/>
            <a:endParaRPr lang="en-US" sz="1400" baseline="0">
              <a:latin typeface="Times New Roman" panose="02020603050405020304" pitchFamily="18" charset="0"/>
              <a:cs typeface="Times New Roman" panose="02020603050405020304" pitchFamily="18" charset="0"/>
            </a:endParaRP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F58BF-0CFE-4B5E-8975-A0A0A829FE1E}">
  <dimension ref="B9:F31"/>
  <sheetViews>
    <sheetView showGridLines="0" zoomScale="85" zoomScaleNormal="85" workbookViewId="0">
      <pane xSplit="5" ySplit="10" topLeftCell="F16" activePane="bottomRight" state="frozen"/>
      <selection pane="topRight" activeCell="F1" sqref="F1"/>
      <selection pane="bottomLeft" activeCell="A9" sqref="A9"/>
      <selection pane="bottomRight" activeCell="C17" sqref="C17"/>
    </sheetView>
  </sheetViews>
  <sheetFormatPr defaultRowHeight="14" x14ac:dyDescent="0.3"/>
  <cols>
    <col min="1" max="1" width="2.1796875" style="3" customWidth="1"/>
    <col min="2" max="6" width="37.90625" style="3" customWidth="1"/>
    <col min="7" max="16384" width="8.7265625" style="3"/>
  </cols>
  <sheetData>
    <row r="9" spans="2:6" ht="7.5" customHeight="1" x14ac:dyDescent="0.3"/>
    <row r="10" spans="2:6" ht="34.5" customHeight="1" x14ac:dyDescent="0.3">
      <c r="B10" s="58" t="s">
        <v>70</v>
      </c>
      <c r="C10" s="58" t="s">
        <v>86</v>
      </c>
      <c r="D10" s="58" t="s">
        <v>71</v>
      </c>
      <c r="E10" s="58" t="s">
        <v>82</v>
      </c>
      <c r="F10" s="58" t="s">
        <v>72</v>
      </c>
    </row>
    <row r="11" spans="2:6" ht="15.5" x14ac:dyDescent="0.35">
      <c r="B11" s="59"/>
      <c r="C11" s="60"/>
      <c r="D11" s="60"/>
      <c r="E11" s="60"/>
      <c r="F11" s="60"/>
    </row>
    <row r="12" spans="2:6" ht="62" x14ac:dyDescent="0.3">
      <c r="B12" s="64" t="s">
        <v>73</v>
      </c>
      <c r="C12" s="64" t="s">
        <v>87</v>
      </c>
      <c r="D12" s="64" t="s">
        <v>75</v>
      </c>
      <c r="E12" s="64" t="s">
        <v>83</v>
      </c>
      <c r="F12" s="64" t="s">
        <v>90</v>
      </c>
    </row>
    <row r="13" spans="2:6" ht="63.5" customHeight="1" x14ac:dyDescent="0.3">
      <c r="B13" s="65" t="s">
        <v>74</v>
      </c>
      <c r="C13" s="65" t="s">
        <v>88</v>
      </c>
      <c r="D13" s="65" t="s">
        <v>76</v>
      </c>
      <c r="E13" s="64" t="s">
        <v>84</v>
      </c>
      <c r="F13" s="64" t="s">
        <v>91</v>
      </c>
    </row>
    <row r="14" spans="2:6" ht="83" customHeight="1" x14ac:dyDescent="0.3">
      <c r="B14" s="65" t="s">
        <v>35</v>
      </c>
      <c r="C14" s="64" t="s">
        <v>89</v>
      </c>
      <c r="D14" s="64" t="s">
        <v>77</v>
      </c>
      <c r="E14" s="64" t="s">
        <v>85</v>
      </c>
      <c r="F14" s="65" t="s">
        <v>92</v>
      </c>
    </row>
    <row r="15" spans="2:6" ht="52" customHeight="1" x14ac:dyDescent="0.3">
      <c r="B15" s="64" t="s">
        <v>36</v>
      </c>
      <c r="C15" s="64" t="s">
        <v>95</v>
      </c>
      <c r="D15" s="65" t="s">
        <v>78</v>
      </c>
      <c r="E15" s="65" t="s">
        <v>101</v>
      </c>
      <c r="F15" s="65" t="s">
        <v>94</v>
      </c>
    </row>
    <row r="16" spans="2:6" ht="77.5" x14ac:dyDescent="0.3">
      <c r="B16" s="64" t="s">
        <v>107</v>
      </c>
      <c r="C16" s="64" t="s">
        <v>96</v>
      </c>
      <c r="D16" s="65" t="s">
        <v>79</v>
      </c>
      <c r="E16" s="66" t="s">
        <v>100</v>
      </c>
      <c r="F16" s="66" t="s">
        <v>93</v>
      </c>
    </row>
    <row r="17" spans="2:6" ht="77.5" x14ac:dyDescent="0.3">
      <c r="B17" s="64" t="s">
        <v>110</v>
      </c>
      <c r="C17" s="64" t="s">
        <v>97</v>
      </c>
      <c r="D17" s="65" t="s">
        <v>99</v>
      </c>
      <c r="E17" s="65" t="s">
        <v>103</v>
      </c>
      <c r="F17" s="65"/>
    </row>
    <row r="18" spans="2:6" ht="77.5" x14ac:dyDescent="0.3">
      <c r="B18" s="64" t="s">
        <v>111</v>
      </c>
      <c r="C18" s="64" t="s">
        <v>98</v>
      </c>
      <c r="D18" s="67"/>
      <c r="E18" s="68" t="s">
        <v>102</v>
      </c>
      <c r="F18" s="68"/>
    </row>
    <row r="19" spans="2:6" ht="77.5" x14ac:dyDescent="0.3">
      <c r="B19" s="65" t="s">
        <v>112</v>
      </c>
      <c r="C19" s="61"/>
      <c r="D19" s="61"/>
      <c r="E19" s="61"/>
      <c r="F19" s="61"/>
    </row>
    <row r="20" spans="2:6" ht="15.5" x14ac:dyDescent="0.35">
      <c r="B20" s="60"/>
      <c r="C20" s="60"/>
      <c r="D20" s="60"/>
      <c r="E20" s="60"/>
      <c r="F20" s="60"/>
    </row>
    <row r="21" spans="2:6" ht="15.5" x14ac:dyDescent="0.35">
      <c r="B21" s="62"/>
      <c r="C21" s="62"/>
      <c r="D21" s="62"/>
      <c r="E21" s="62"/>
      <c r="F21" s="62"/>
    </row>
    <row r="22" spans="2:6" ht="36" customHeight="1" x14ac:dyDescent="0.3">
      <c r="B22" s="100" t="s">
        <v>106</v>
      </c>
      <c r="C22" s="101"/>
      <c r="D22" s="101"/>
      <c r="E22" s="101"/>
      <c r="F22" s="101"/>
    </row>
    <row r="23" spans="2:6" ht="15.5" x14ac:dyDescent="0.35">
      <c r="B23" s="102" t="s">
        <v>12</v>
      </c>
      <c r="C23" s="103"/>
      <c r="D23" s="103"/>
      <c r="E23" s="103"/>
      <c r="F23" s="104"/>
    </row>
    <row r="24" spans="2:6" ht="15.5" x14ac:dyDescent="0.35">
      <c r="B24" s="102" t="s">
        <v>104</v>
      </c>
      <c r="C24" s="103"/>
      <c r="D24" s="103"/>
      <c r="E24" s="103"/>
      <c r="F24" s="104"/>
    </row>
    <row r="25" spans="2:6" ht="15.5" x14ac:dyDescent="0.35">
      <c r="B25" s="102" t="s">
        <v>105</v>
      </c>
      <c r="C25" s="103"/>
      <c r="D25" s="103"/>
      <c r="E25" s="103"/>
      <c r="F25" s="104"/>
    </row>
    <row r="26" spans="2:6" ht="15.5" x14ac:dyDescent="0.35">
      <c r="B26" s="102">
        <v>4</v>
      </c>
      <c r="C26" s="103"/>
      <c r="D26" s="103"/>
      <c r="E26" s="103"/>
      <c r="F26" s="104"/>
    </row>
    <row r="27" spans="2:6" ht="15.5" x14ac:dyDescent="0.35">
      <c r="B27" s="102"/>
      <c r="C27" s="103"/>
      <c r="D27" s="103"/>
      <c r="E27" s="103"/>
      <c r="F27" s="104"/>
    </row>
    <row r="28" spans="2:6" ht="15.5" x14ac:dyDescent="0.35">
      <c r="B28" s="102"/>
      <c r="C28" s="103"/>
      <c r="D28" s="103"/>
      <c r="E28" s="103"/>
      <c r="F28" s="104"/>
    </row>
    <row r="31" spans="2:6" x14ac:dyDescent="0.3">
      <c r="D31" s="69"/>
      <c r="E31" s="69"/>
    </row>
  </sheetData>
  <mergeCells count="7">
    <mergeCell ref="B27:F27"/>
    <mergeCell ref="B28:F28"/>
    <mergeCell ref="B22:F22"/>
    <mergeCell ref="B23:F23"/>
    <mergeCell ref="B24:F24"/>
    <mergeCell ref="B25:F25"/>
    <mergeCell ref="B26:F26"/>
  </mergeCells>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F86FF-88B8-41AF-B2D6-5B4ADA85287A}">
  <dimension ref="B9:F36"/>
  <sheetViews>
    <sheetView showGridLines="0" tabSelected="1" zoomScale="70" zoomScaleNormal="70" workbookViewId="0">
      <pane xSplit="5" ySplit="10" topLeftCell="F19" activePane="bottomRight" state="frozen"/>
      <selection pane="topRight" activeCell="F1" sqref="F1"/>
      <selection pane="bottomLeft" activeCell="A9" sqref="A9"/>
      <selection pane="bottomRight" activeCell="B35" sqref="B35"/>
    </sheetView>
  </sheetViews>
  <sheetFormatPr defaultRowHeight="14" x14ac:dyDescent="0.3"/>
  <cols>
    <col min="1" max="1" width="2.1796875" style="3" customWidth="1"/>
    <col min="2" max="6" width="45.54296875" style="3" customWidth="1"/>
    <col min="7" max="16384" width="8.7265625" style="3"/>
  </cols>
  <sheetData>
    <row r="9" spans="2:6" ht="7.5" customHeight="1" x14ac:dyDescent="0.3"/>
    <row r="10" spans="2:6" ht="34.5" customHeight="1" x14ac:dyDescent="0.3">
      <c r="B10" s="58" t="s">
        <v>70</v>
      </c>
      <c r="C10" s="58" t="s">
        <v>86</v>
      </c>
      <c r="D10" s="58" t="s">
        <v>71</v>
      </c>
      <c r="E10" s="58" t="s">
        <v>116</v>
      </c>
      <c r="F10" s="58" t="s">
        <v>72</v>
      </c>
    </row>
    <row r="11" spans="2:6" ht="15.5" x14ac:dyDescent="0.35">
      <c r="B11" s="70" t="s">
        <v>109</v>
      </c>
      <c r="C11" s="71"/>
      <c r="D11" s="71"/>
      <c r="E11" s="71"/>
      <c r="F11" s="71"/>
    </row>
    <row r="12" spans="2:6" ht="46.5" x14ac:dyDescent="0.3">
      <c r="B12" s="64" t="s">
        <v>108</v>
      </c>
      <c r="C12" s="64" t="s">
        <v>87</v>
      </c>
      <c r="D12" s="64" t="s">
        <v>75</v>
      </c>
      <c r="E12" s="64" t="s">
        <v>83</v>
      </c>
      <c r="F12" s="64" t="s">
        <v>90</v>
      </c>
    </row>
    <row r="13" spans="2:6" ht="63.5" customHeight="1" x14ac:dyDescent="0.3">
      <c r="B13" s="65" t="s">
        <v>74</v>
      </c>
      <c r="C13" s="65" t="s">
        <v>88</v>
      </c>
      <c r="D13" s="65" t="s">
        <v>76</v>
      </c>
      <c r="E13" s="64" t="s">
        <v>145</v>
      </c>
      <c r="F13" s="64" t="s">
        <v>91</v>
      </c>
    </row>
    <row r="14" spans="2:6" ht="83" customHeight="1" x14ac:dyDescent="0.3">
      <c r="B14" s="64" t="s">
        <v>115</v>
      </c>
      <c r="C14" s="64" t="s">
        <v>89</v>
      </c>
      <c r="D14" s="64" t="s">
        <v>77</v>
      </c>
      <c r="E14" s="64" t="s">
        <v>85</v>
      </c>
      <c r="F14" s="65" t="s">
        <v>92</v>
      </c>
    </row>
    <row r="15" spans="2:6" ht="52" customHeight="1" x14ac:dyDescent="0.3">
      <c r="B15" s="64" t="s">
        <v>148</v>
      </c>
      <c r="C15" s="64" t="s">
        <v>120</v>
      </c>
      <c r="D15" s="65" t="s">
        <v>78</v>
      </c>
      <c r="E15" s="65" t="s">
        <v>101</v>
      </c>
      <c r="F15" s="66" t="s">
        <v>161</v>
      </c>
    </row>
    <row r="16" spans="2:6" ht="85" customHeight="1" x14ac:dyDescent="0.3">
      <c r="B16" s="64" t="s">
        <v>111</v>
      </c>
      <c r="C16" s="64" t="s">
        <v>96</v>
      </c>
      <c r="D16" s="65" t="s">
        <v>79</v>
      </c>
      <c r="E16" s="66" t="s">
        <v>100</v>
      </c>
      <c r="F16" s="65" t="s">
        <v>162</v>
      </c>
    </row>
    <row r="17" spans="2:6" ht="62" x14ac:dyDescent="0.3">
      <c r="B17" s="65" t="s">
        <v>112</v>
      </c>
      <c r="C17" s="64" t="s">
        <v>97</v>
      </c>
      <c r="D17" s="65" t="s">
        <v>99</v>
      </c>
      <c r="E17" s="65" t="s">
        <v>103</v>
      </c>
      <c r="F17" s="65"/>
    </row>
    <row r="18" spans="2:6" ht="62" x14ac:dyDescent="0.3">
      <c r="B18" s="65"/>
      <c r="C18" s="64" t="s">
        <v>98</v>
      </c>
      <c r="D18" s="67"/>
      <c r="E18" s="68" t="s">
        <v>102</v>
      </c>
      <c r="F18" s="68"/>
    </row>
    <row r="19" spans="2:6" ht="15.5" x14ac:dyDescent="0.35">
      <c r="B19" s="70" t="s">
        <v>1</v>
      </c>
      <c r="C19" s="71"/>
      <c r="D19" s="71"/>
      <c r="E19" s="71"/>
      <c r="F19" s="71"/>
    </row>
    <row r="20" spans="2:6" ht="16" x14ac:dyDescent="0.4">
      <c r="B20" s="60" t="s">
        <v>113</v>
      </c>
      <c r="C20" s="60" t="s">
        <v>159</v>
      </c>
      <c r="D20" s="60" t="s">
        <v>124</v>
      </c>
      <c r="E20" s="60" t="s">
        <v>165</v>
      </c>
      <c r="F20" s="60" t="s">
        <v>160</v>
      </c>
    </row>
    <row r="21" spans="2:6" ht="31.5" x14ac:dyDescent="0.4">
      <c r="B21" s="60" t="s">
        <v>118</v>
      </c>
      <c r="C21" s="60" t="s">
        <v>119</v>
      </c>
      <c r="D21" s="60" t="s">
        <v>125</v>
      </c>
      <c r="E21" s="59" t="s">
        <v>139</v>
      </c>
      <c r="F21" s="60" t="s">
        <v>133</v>
      </c>
    </row>
    <row r="22" spans="2:6" ht="31" x14ac:dyDescent="0.3">
      <c r="B22" s="61" t="s">
        <v>114</v>
      </c>
      <c r="C22" s="61" t="s">
        <v>164</v>
      </c>
      <c r="D22" s="61" t="s">
        <v>126</v>
      </c>
      <c r="E22" s="90" t="s">
        <v>130</v>
      </c>
      <c r="F22" s="61" t="s">
        <v>134</v>
      </c>
    </row>
    <row r="23" spans="2:6" ht="15.5" x14ac:dyDescent="0.3">
      <c r="B23" s="61" t="s">
        <v>158</v>
      </c>
      <c r="C23" s="61" t="s">
        <v>121</v>
      </c>
      <c r="D23" s="61" t="s">
        <v>127</v>
      </c>
      <c r="E23" s="61" t="s">
        <v>131</v>
      </c>
      <c r="F23" s="61" t="s">
        <v>135</v>
      </c>
    </row>
    <row r="24" spans="2:6" ht="15.5" x14ac:dyDescent="0.3">
      <c r="B24" s="61" t="s">
        <v>163</v>
      </c>
      <c r="C24" s="61" t="s">
        <v>122</v>
      </c>
      <c r="D24" s="61" t="s">
        <v>128</v>
      </c>
      <c r="E24" s="61" t="s">
        <v>132</v>
      </c>
      <c r="F24" s="61" t="s">
        <v>136</v>
      </c>
    </row>
    <row r="25" spans="2:6" ht="31" x14ac:dyDescent="0.3">
      <c r="B25" s="91" t="s">
        <v>117</v>
      </c>
      <c r="C25" s="92" t="s">
        <v>123</v>
      </c>
      <c r="D25" s="92" t="s">
        <v>129</v>
      </c>
      <c r="E25" s="92" t="s">
        <v>137</v>
      </c>
      <c r="F25" s="92"/>
    </row>
    <row r="26" spans="2:6" ht="15.5" x14ac:dyDescent="0.35">
      <c r="B26" s="63"/>
      <c r="C26" s="72"/>
      <c r="D26" s="72"/>
      <c r="E26" s="72"/>
      <c r="F26" s="72"/>
    </row>
    <row r="27" spans="2:6" ht="36" customHeight="1" x14ac:dyDescent="0.3">
      <c r="B27" s="100" t="s">
        <v>138</v>
      </c>
      <c r="C27" s="101"/>
      <c r="D27" s="101"/>
      <c r="E27" s="101"/>
      <c r="F27" s="101"/>
    </row>
    <row r="28" spans="2:6" s="73" customFormat="1" ht="20" customHeight="1" x14ac:dyDescent="0.35">
      <c r="B28" s="96" t="s">
        <v>12</v>
      </c>
      <c r="C28" s="96"/>
      <c r="D28" s="96"/>
      <c r="E28" s="96"/>
      <c r="F28" s="96"/>
    </row>
    <row r="29" spans="2:6" s="73" customFormat="1" ht="20" customHeight="1" x14ac:dyDescent="0.35">
      <c r="B29" s="96" t="s">
        <v>140</v>
      </c>
      <c r="C29" s="96"/>
      <c r="D29" s="96"/>
      <c r="E29" s="96"/>
      <c r="F29" s="96"/>
    </row>
    <row r="30" spans="2:6" s="73" customFormat="1" ht="20" customHeight="1" x14ac:dyDescent="0.35">
      <c r="B30" s="97" t="s">
        <v>141</v>
      </c>
      <c r="C30" s="98"/>
      <c r="D30" s="98"/>
      <c r="E30" s="98"/>
      <c r="F30" s="99"/>
    </row>
    <row r="31" spans="2:6" s="73" customFormat="1" ht="20" customHeight="1" x14ac:dyDescent="0.35">
      <c r="B31" s="96" t="s">
        <v>142</v>
      </c>
      <c r="C31" s="96"/>
      <c r="D31" s="96"/>
      <c r="E31" s="96"/>
      <c r="F31" s="96"/>
    </row>
    <row r="32" spans="2:6" s="73" customFormat="1" ht="20" customHeight="1" x14ac:dyDescent="0.35">
      <c r="B32" s="96" t="s">
        <v>143</v>
      </c>
      <c r="C32" s="96"/>
      <c r="D32" s="96"/>
      <c r="E32" s="96"/>
      <c r="F32" s="96"/>
    </row>
    <row r="33" spans="2:6" s="73" customFormat="1" ht="20" customHeight="1" x14ac:dyDescent="0.35">
      <c r="B33" s="96" t="s">
        <v>144</v>
      </c>
      <c r="C33" s="96"/>
      <c r="D33" s="96"/>
      <c r="E33" s="96"/>
      <c r="F33" s="96"/>
    </row>
    <row r="36" spans="2:6" x14ac:dyDescent="0.3">
      <c r="D36" s="69"/>
      <c r="E36" s="69"/>
    </row>
  </sheetData>
  <mergeCells count="7">
    <mergeCell ref="B32:F32"/>
    <mergeCell ref="B33:F33"/>
    <mergeCell ref="B30:F30"/>
    <mergeCell ref="B27:F27"/>
    <mergeCell ref="B28:F28"/>
    <mergeCell ref="B29:F29"/>
    <mergeCell ref="B31:F31"/>
  </mergeCells>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76101-1221-4906-90B6-C7771EF2C328}">
  <dimension ref="B1:L47"/>
  <sheetViews>
    <sheetView showGridLines="0" topLeftCell="A37" zoomScale="85" zoomScaleNormal="85" workbookViewId="0">
      <selection activeCell="D46" sqref="D46"/>
    </sheetView>
  </sheetViews>
  <sheetFormatPr defaultColWidth="9.1796875" defaultRowHeight="14" x14ac:dyDescent="0.3"/>
  <cols>
    <col min="1" max="1" width="1.54296875" style="16" customWidth="1"/>
    <col min="2" max="2" width="5.453125" style="16" bestFit="1" customWidth="1"/>
    <col min="3" max="3" width="54.54296875" style="16" customWidth="1"/>
    <col min="4" max="4" width="44.1796875" style="16" customWidth="1"/>
    <col min="5" max="5" width="14.453125" style="16" bestFit="1" customWidth="1"/>
    <col min="6" max="9" width="12.26953125" style="16" customWidth="1"/>
    <col min="10" max="10" width="9.1796875" style="16"/>
    <col min="11" max="11" width="9.81640625" style="16" bestFit="1" customWidth="1"/>
    <col min="12" max="16384" width="9.1796875" style="16"/>
  </cols>
  <sheetData>
    <row r="1" spans="2:9" ht="17.25" customHeight="1" x14ac:dyDescent="0.3">
      <c r="C1" s="14" t="s">
        <v>15</v>
      </c>
      <c r="D1" s="15"/>
      <c r="E1" s="15"/>
      <c r="F1" s="15"/>
      <c r="G1" s="15"/>
      <c r="H1" s="15"/>
      <c r="I1" s="15"/>
    </row>
    <row r="2" spans="2:9" ht="22.5" customHeight="1" x14ac:dyDescent="0.3">
      <c r="B2" s="53" t="s">
        <v>55</v>
      </c>
      <c r="C2" s="46" t="s">
        <v>7</v>
      </c>
      <c r="D2" s="127" t="s">
        <v>8</v>
      </c>
      <c r="E2" s="128"/>
      <c r="F2" s="128"/>
      <c r="G2" s="128"/>
      <c r="H2" s="128"/>
      <c r="I2" s="129"/>
    </row>
    <row r="3" spans="2:9" ht="21" customHeight="1" x14ac:dyDescent="0.3">
      <c r="B3" s="116">
        <v>1</v>
      </c>
      <c r="C3" s="133" t="s">
        <v>33</v>
      </c>
      <c r="D3" s="130" t="s">
        <v>34</v>
      </c>
      <c r="E3" s="131"/>
      <c r="F3" s="131"/>
      <c r="G3" s="131"/>
      <c r="H3" s="131"/>
      <c r="I3" s="132"/>
    </row>
    <row r="4" spans="2:9" ht="21" customHeight="1" x14ac:dyDescent="0.3">
      <c r="B4" s="117"/>
      <c r="C4" s="134"/>
      <c r="D4" s="5" t="s">
        <v>35</v>
      </c>
      <c r="E4" s="6"/>
      <c r="F4" s="6"/>
      <c r="G4" s="6"/>
      <c r="H4" s="6"/>
      <c r="I4" s="7"/>
    </row>
    <row r="5" spans="2:9" ht="21" customHeight="1" x14ac:dyDescent="0.3">
      <c r="B5" s="117"/>
      <c r="C5" s="134"/>
      <c r="D5" s="5" t="s">
        <v>36</v>
      </c>
      <c r="E5" s="6"/>
      <c r="F5" s="6"/>
      <c r="G5" s="6"/>
      <c r="H5" s="6"/>
      <c r="I5" s="7"/>
    </row>
    <row r="6" spans="2:9" ht="48" customHeight="1" x14ac:dyDescent="0.3">
      <c r="B6" s="118"/>
      <c r="C6" s="135"/>
      <c r="D6" s="107" t="s">
        <v>59</v>
      </c>
      <c r="E6" s="108"/>
      <c r="F6" s="108"/>
      <c r="G6" s="108"/>
      <c r="H6" s="108"/>
      <c r="I6" s="109"/>
    </row>
    <row r="7" spans="2:9" ht="21" customHeight="1" x14ac:dyDescent="0.3">
      <c r="B7" s="110">
        <v>2</v>
      </c>
      <c r="C7" s="112" t="s">
        <v>50</v>
      </c>
      <c r="D7" s="17" t="s">
        <v>63</v>
      </c>
      <c r="E7" s="4"/>
      <c r="F7" s="4"/>
      <c r="G7" s="4"/>
      <c r="H7" s="4"/>
      <c r="I7" s="2"/>
    </row>
    <row r="8" spans="2:9" ht="21" customHeight="1" x14ac:dyDescent="0.3">
      <c r="B8" s="111"/>
      <c r="C8" s="113"/>
      <c r="D8" s="17" t="s">
        <v>66</v>
      </c>
      <c r="E8" s="4"/>
      <c r="F8" s="4"/>
      <c r="G8" s="4"/>
      <c r="H8" s="4"/>
      <c r="I8" s="2"/>
    </row>
    <row r="9" spans="2:9" ht="21" customHeight="1" x14ac:dyDescent="0.3">
      <c r="B9" s="111"/>
      <c r="C9" s="113"/>
      <c r="D9" s="17" t="s">
        <v>62</v>
      </c>
      <c r="E9" s="4"/>
      <c r="F9" s="4"/>
      <c r="G9" s="4"/>
      <c r="H9" s="4"/>
      <c r="I9" s="2"/>
    </row>
    <row r="10" spans="2:9" ht="21" customHeight="1" x14ac:dyDescent="0.3">
      <c r="B10" s="57">
        <v>3</v>
      </c>
      <c r="C10" s="1" t="s">
        <v>37</v>
      </c>
      <c r="D10" s="54" t="s">
        <v>38</v>
      </c>
      <c r="E10" s="55"/>
      <c r="F10" s="55"/>
      <c r="G10" s="55"/>
      <c r="H10" s="55"/>
      <c r="I10" s="56"/>
    </row>
    <row r="11" spans="2:9" ht="21" customHeight="1" x14ac:dyDescent="0.3">
      <c r="B11" s="110">
        <v>4</v>
      </c>
      <c r="C11" s="112" t="s">
        <v>57</v>
      </c>
      <c r="D11" s="17" t="s">
        <v>58</v>
      </c>
      <c r="E11" s="4"/>
      <c r="F11" s="4"/>
      <c r="G11" s="4"/>
      <c r="H11" s="4"/>
      <c r="I11" s="2"/>
    </row>
    <row r="12" spans="2:9" ht="31" customHeight="1" x14ac:dyDescent="0.3">
      <c r="B12" s="111"/>
      <c r="C12" s="113"/>
      <c r="D12" s="107" t="s">
        <v>60</v>
      </c>
      <c r="E12" s="108"/>
      <c r="F12" s="108"/>
      <c r="G12" s="108"/>
      <c r="H12" s="108"/>
      <c r="I12" s="109"/>
    </row>
    <row r="13" spans="2:9" ht="21" customHeight="1" x14ac:dyDescent="0.3">
      <c r="B13" s="111"/>
      <c r="C13" s="113"/>
      <c r="D13" s="1" t="s">
        <v>40</v>
      </c>
      <c r="E13" s="4"/>
      <c r="F13" s="4"/>
      <c r="G13" s="4"/>
      <c r="H13" s="4"/>
      <c r="I13" s="2"/>
    </row>
    <row r="14" spans="2:9" ht="21" customHeight="1" x14ac:dyDescent="0.3">
      <c r="B14" s="122"/>
      <c r="C14" s="139"/>
      <c r="D14" s="1" t="s">
        <v>61</v>
      </c>
      <c r="E14" s="4"/>
      <c r="F14" s="4"/>
      <c r="G14" s="4"/>
      <c r="H14" s="4"/>
      <c r="I14" s="2"/>
    </row>
    <row r="15" spans="2:9" ht="24.75" customHeight="1" x14ac:dyDescent="0.3">
      <c r="B15" s="117">
        <v>5</v>
      </c>
      <c r="C15" s="134" t="s">
        <v>64</v>
      </c>
      <c r="D15" s="17" t="s">
        <v>65</v>
      </c>
      <c r="E15" s="4"/>
      <c r="F15" s="4"/>
      <c r="G15" s="4"/>
      <c r="H15" s="4"/>
      <c r="I15" s="2"/>
    </row>
    <row r="16" spans="2:9" ht="37.5" customHeight="1" x14ac:dyDescent="0.3">
      <c r="B16" s="117"/>
      <c r="C16" s="134"/>
      <c r="D16" s="107" t="s">
        <v>67</v>
      </c>
      <c r="E16" s="108"/>
      <c r="F16" s="108"/>
      <c r="G16" s="108"/>
      <c r="H16" s="108"/>
      <c r="I16" s="109"/>
    </row>
    <row r="17" spans="2:9" ht="21" customHeight="1" x14ac:dyDescent="0.3">
      <c r="B17" s="117"/>
      <c r="C17" s="134"/>
      <c r="D17" s="17" t="s">
        <v>68</v>
      </c>
      <c r="E17" s="4"/>
      <c r="F17" s="4"/>
      <c r="G17" s="4"/>
      <c r="H17" s="4"/>
      <c r="I17" s="2"/>
    </row>
    <row r="18" spans="2:9" ht="21" customHeight="1" x14ac:dyDescent="0.3">
      <c r="B18" s="117"/>
      <c r="C18" s="134"/>
      <c r="D18" s="1" t="s">
        <v>39</v>
      </c>
      <c r="E18" s="4"/>
      <c r="F18" s="4"/>
      <c r="G18" s="4"/>
      <c r="H18" s="4"/>
      <c r="I18" s="2"/>
    </row>
    <row r="19" spans="2:9" ht="21" customHeight="1" x14ac:dyDescent="0.3">
      <c r="B19" s="118"/>
      <c r="C19" s="135"/>
      <c r="D19" s="17" t="s">
        <v>69</v>
      </c>
      <c r="E19" s="4"/>
      <c r="F19" s="4"/>
      <c r="G19" s="4"/>
      <c r="H19" s="4"/>
      <c r="I19" s="2"/>
    </row>
    <row r="20" spans="2:9" ht="21" customHeight="1" x14ac:dyDescent="0.3">
      <c r="B20" s="110">
        <v>6</v>
      </c>
      <c r="C20" s="112" t="s">
        <v>13</v>
      </c>
      <c r="D20" s="107" t="s">
        <v>17</v>
      </c>
      <c r="E20" s="108"/>
      <c r="F20" s="108"/>
      <c r="G20" s="108"/>
      <c r="H20" s="108"/>
      <c r="I20" s="109"/>
    </row>
    <row r="21" spans="2:9" ht="21" customHeight="1" x14ac:dyDescent="0.3">
      <c r="B21" s="111"/>
      <c r="C21" s="113"/>
      <c r="D21" s="17" t="s">
        <v>80</v>
      </c>
      <c r="E21" s="4"/>
      <c r="F21" s="4"/>
      <c r="G21" s="4"/>
      <c r="H21" s="4"/>
      <c r="I21" s="2"/>
    </row>
    <row r="22" spans="2:9" ht="21" customHeight="1" x14ac:dyDescent="0.3">
      <c r="B22" s="111"/>
      <c r="C22" s="113"/>
      <c r="D22" s="17" t="s">
        <v>81</v>
      </c>
      <c r="E22" s="4"/>
      <c r="F22" s="4"/>
      <c r="G22" s="4"/>
      <c r="H22" s="4"/>
      <c r="I22" s="2"/>
    </row>
    <row r="23" spans="2:9" ht="21" customHeight="1" x14ac:dyDescent="0.3">
      <c r="B23" s="119">
        <v>7</v>
      </c>
      <c r="C23" s="136" t="s">
        <v>14</v>
      </c>
      <c r="D23" s="107" t="s">
        <v>20</v>
      </c>
      <c r="E23" s="108"/>
      <c r="F23" s="108"/>
      <c r="G23" s="108"/>
      <c r="H23" s="108"/>
      <c r="I23" s="109"/>
    </row>
    <row r="24" spans="2:9" ht="21" customHeight="1" x14ac:dyDescent="0.3">
      <c r="B24" s="120"/>
      <c r="C24" s="137"/>
      <c r="D24" s="107" t="s">
        <v>18</v>
      </c>
      <c r="E24" s="108"/>
      <c r="F24" s="108"/>
      <c r="G24" s="108"/>
      <c r="H24" s="108"/>
      <c r="I24" s="2"/>
    </row>
    <row r="25" spans="2:9" ht="21" customHeight="1" x14ac:dyDescent="0.3">
      <c r="B25" s="120"/>
      <c r="C25" s="137"/>
      <c r="D25" s="17" t="s">
        <v>53</v>
      </c>
      <c r="E25" s="4"/>
      <c r="F25" s="4"/>
      <c r="G25" s="4"/>
      <c r="H25" s="4"/>
      <c r="I25" s="2"/>
    </row>
    <row r="26" spans="2:9" ht="21" customHeight="1" x14ac:dyDescent="0.3">
      <c r="B26" s="120"/>
      <c r="C26" s="137"/>
      <c r="D26" s="107" t="s">
        <v>16</v>
      </c>
      <c r="E26" s="108"/>
      <c r="F26" s="108"/>
      <c r="G26" s="108"/>
      <c r="H26" s="108"/>
      <c r="I26" s="109"/>
    </row>
    <row r="27" spans="2:9" ht="21" customHeight="1" x14ac:dyDescent="0.3">
      <c r="B27" s="121"/>
      <c r="C27" s="138"/>
      <c r="D27" s="107" t="s">
        <v>21</v>
      </c>
      <c r="E27" s="108"/>
      <c r="F27" s="108"/>
      <c r="G27" s="108"/>
      <c r="H27" s="108"/>
      <c r="I27" s="109"/>
    </row>
    <row r="28" spans="2:9" ht="19.5" customHeight="1" x14ac:dyDescent="0.3"/>
    <row r="29" spans="2:9" x14ac:dyDescent="0.3">
      <c r="B29" s="123" t="s">
        <v>55</v>
      </c>
      <c r="C29" s="123" t="s">
        <v>0</v>
      </c>
      <c r="D29" s="123" t="s">
        <v>1</v>
      </c>
      <c r="E29" s="46" t="s">
        <v>5</v>
      </c>
      <c r="F29" s="46">
        <v>2024</v>
      </c>
      <c r="G29" s="49">
        <v>2025</v>
      </c>
      <c r="H29" s="51">
        <v>2025</v>
      </c>
      <c r="I29" s="46">
        <v>2026</v>
      </c>
    </row>
    <row r="30" spans="2:9" ht="14" customHeight="1" x14ac:dyDescent="0.3">
      <c r="B30" s="124"/>
      <c r="C30" s="124"/>
      <c r="D30" s="124"/>
      <c r="E30" s="47" t="s">
        <v>6</v>
      </c>
      <c r="F30" s="48" t="s">
        <v>2</v>
      </c>
      <c r="G30" s="50" t="s">
        <v>3</v>
      </c>
      <c r="H30" s="52" t="s">
        <v>4</v>
      </c>
      <c r="I30" s="48" t="s">
        <v>3</v>
      </c>
    </row>
    <row r="31" spans="2:9" s="15" customFormat="1" ht="26" customHeight="1" x14ac:dyDescent="0.35">
      <c r="B31" s="114">
        <v>1</v>
      </c>
      <c r="C31" s="105" t="s">
        <v>146</v>
      </c>
      <c r="D31" s="82" t="s">
        <v>19</v>
      </c>
      <c r="E31" s="82" t="s">
        <v>41</v>
      </c>
      <c r="F31" s="83">
        <v>61.4</v>
      </c>
      <c r="G31" s="20">
        <v>151.6</v>
      </c>
      <c r="H31" s="84">
        <v>36.299999999999997</v>
      </c>
      <c r="I31" s="38">
        <v>40</v>
      </c>
    </row>
    <row r="32" spans="2:9" s="15" customFormat="1" ht="26" customHeight="1" x14ac:dyDescent="0.35">
      <c r="B32" s="115"/>
      <c r="C32" s="106"/>
      <c r="D32" s="27" t="s">
        <v>54</v>
      </c>
      <c r="E32" s="28" t="s">
        <v>9</v>
      </c>
      <c r="F32" s="29">
        <f>+F31/F33</f>
        <v>5.155331654072208E-2</v>
      </c>
      <c r="G32" s="29">
        <f>+G31/G33</f>
        <v>7.5799999999999992E-2</v>
      </c>
      <c r="H32" s="29">
        <f>+IFERROR(H31/H33,0)</f>
        <v>2.3545436855419339E-2</v>
      </c>
      <c r="I32" s="29">
        <f>+IFERROR(I31/I33,0)</f>
        <v>2.3529411764705882E-2</v>
      </c>
    </row>
    <row r="33" spans="2:12" s="15" customFormat="1" ht="37.5" customHeight="1" x14ac:dyDescent="0.35">
      <c r="B33" s="9">
        <v>2</v>
      </c>
      <c r="C33" s="140" t="s">
        <v>147</v>
      </c>
      <c r="D33" s="82" t="s">
        <v>22</v>
      </c>
      <c r="E33" s="78" t="s">
        <v>41</v>
      </c>
      <c r="F33" s="85">
        <v>1191</v>
      </c>
      <c r="G33" s="86">
        <v>2000</v>
      </c>
      <c r="H33" s="87">
        <v>1541.7</v>
      </c>
      <c r="I33" s="88">
        <v>1700</v>
      </c>
    </row>
    <row r="34" spans="2:12" s="15" customFormat="1" ht="37.5" customHeight="1" x14ac:dyDescent="0.35">
      <c r="B34" s="9">
        <v>3</v>
      </c>
      <c r="C34" s="141"/>
      <c r="D34" s="8" t="s">
        <v>23</v>
      </c>
      <c r="E34" s="11" t="s">
        <v>9</v>
      </c>
      <c r="F34" s="33">
        <v>0.67</v>
      </c>
      <c r="G34" s="23">
        <v>0.78</v>
      </c>
      <c r="H34" s="34">
        <v>0.65</v>
      </c>
      <c r="I34" s="89">
        <v>0.7</v>
      </c>
      <c r="K34" s="74"/>
      <c r="L34" s="74"/>
    </row>
    <row r="35" spans="2:12" s="15" customFormat="1" ht="140" x14ac:dyDescent="0.35">
      <c r="B35" s="9">
        <v>4</v>
      </c>
      <c r="C35" s="75" t="s">
        <v>149</v>
      </c>
      <c r="D35" s="10" t="s">
        <v>24</v>
      </c>
      <c r="E35" s="11" t="s">
        <v>42</v>
      </c>
      <c r="F35" s="31">
        <v>48741</v>
      </c>
      <c r="G35" s="22">
        <v>62000</v>
      </c>
      <c r="H35" s="32">
        <v>50656</v>
      </c>
      <c r="I35" s="88">
        <v>57500</v>
      </c>
    </row>
    <row r="36" spans="2:12" s="24" customFormat="1" ht="42" x14ac:dyDescent="0.35">
      <c r="B36" s="9">
        <v>5</v>
      </c>
      <c r="C36" s="76" t="s">
        <v>150</v>
      </c>
      <c r="D36" s="10" t="s">
        <v>25</v>
      </c>
      <c r="E36" s="11" t="s">
        <v>9</v>
      </c>
      <c r="F36" s="33" t="s">
        <v>48</v>
      </c>
      <c r="G36" s="23">
        <v>0.5</v>
      </c>
      <c r="H36" s="34">
        <v>0.88</v>
      </c>
      <c r="I36" s="35">
        <v>0.5</v>
      </c>
    </row>
    <row r="37" spans="2:12" s="15" customFormat="1" ht="26" customHeight="1" x14ac:dyDescent="0.35">
      <c r="B37" s="9">
        <v>6</v>
      </c>
      <c r="C37" s="18" t="s">
        <v>146</v>
      </c>
      <c r="D37" s="93" t="s">
        <v>51</v>
      </c>
      <c r="E37" s="78" t="s">
        <v>52</v>
      </c>
      <c r="F37" s="94" t="s">
        <v>48</v>
      </c>
      <c r="G37" s="95" t="s">
        <v>48</v>
      </c>
      <c r="H37" s="87">
        <v>1227</v>
      </c>
      <c r="I37" s="88">
        <v>1130</v>
      </c>
    </row>
    <row r="38" spans="2:12" s="15" customFormat="1" ht="28" x14ac:dyDescent="0.35">
      <c r="B38" s="9">
        <v>7</v>
      </c>
      <c r="C38" s="13" t="s">
        <v>154</v>
      </c>
      <c r="D38" s="12" t="s">
        <v>26</v>
      </c>
      <c r="E38" s="11" t="s">
        <v>43</v>
      </c>
      <c r="F38" s="36">
        <v>2.6</v>
      </c>
      <c r="G38" s="19">
        <v>3.1414796095890409</v>
      </c>
      <c r="H38" s="37">
        <f>+H33/664</f>
        <v>2.3218373493975903</v>
      </c>
      <c r="I38" s="38">
        <f>+I33/635</f>
        <v>2.6771653543307088</v>
      </c>
    </row>
    <row r="39" spans="2:12" s="15" customFormat="1" ht="28" x14ac:dyDescent="0.35">
      <c r="B39" s="9">
        <v>8</v>
      </c>
      <c r="C39" s="13" t="s">
        <v>156</v>
      </c>
      <c r="D39" s="12" t="s">
        <v>27</v>
      </c>
      <c r="E39" s="11" t="s">
        <v>44</v>
      </c>
      <c r="F39" s="36" t="s">
        <v>48</v>
      </c>
      <c r="G39" s="23">
        <v>0.8</v>
      </c>
      <c r="H39" s="39">
        <v>0.71</v>
      </c>
      <c r="I39" s="40">
        <v>0.82</v>
      </c>
    </row>
    <row r="40" spans="2:12" s="15" customFormat="1" ht="42" x14ac:dyDescent="0.35">
      <c r="B40" s="9">
        <v>9</v>
      </c>
      <c r="C40" s="13" t="s">
        <v>157</v>
      </c>
      <c r="D40" s="77" t="s">
        <v>49</v>
      </c>
      <c r="E40" s="78" t="s">
        <v>10</v>
      </c>
      <c r="F40" s="79">
        <v>46</v>
      </c>
      <c r="G40" s="20">
        <v>48</v>
      </c>
      <c r="H40" s="80">
        <f>39+6</f>
        <v>45</v>
      </c>
      <c r="I40" s="81">
        <v>36</v>
      </c>
    </row>
    <row r="41" spans="2:12" s="15" customFormat="1" ht="26" customHeight="1" x14ac:dyDescent="0.35">
      <c r="B41" s="9">
        <v>10</v>
      </c>
      <c r="C41" s="11" t="s">
        <v>151</v>
      </c>
      <c r="D41" s="12" t="s">
        <v>28</v>
      </c>
      <c r="E41" s="11" t="s">
        <v>44</v>
      </c>
      <c r="F41" s="41">
        <v>1</v>
      </c>
      <c r="G41" s="23">
        <v>1</v>
      </c>
      <c r="H41" s="42">
        <v>1</v>
      </c>
      <c r="I41" s="43">
        <v>1</v>
      </c>
    </row>
    <row r="42" spans="2:12" s="15" customFormat="1" ht="60.5" customHeight="1" x14ac:dyDescent="0.35">
      <c r="B42" s="9">
        <v>11</v>
      </c>
      <c r="C42" s="13" t="s">
        <v>152</v>
      </c>
      <c r="D42" s="10" t="s">
        <v>29</v>
      </c>
      <c r="E42" s="11" t="s">
        <v>45</v>
      </c>
      <c r="F42" s="36">
        <v>90</v>
      </c>
      <c r="G42" s="20">
        <v>75</v>
      </c>
      <c r="H42" s="44">
        <v>85.416666666666671</v>
      </c>
      <c r="I42" s="81">
        <f>2.5*30</f>
        <v>75</v>
      </c>
    </row>
    <row r="43" spans="2:12" s="15" customFormat="1" ht="56" x14ac:dyDescent="0.35">
      <c r="B43" s="9">
        <v>12</v>
      </c>
      <c r="C43" s="10" t="s">
        <v>155</v>
      </c>
      <c r="D43" s="12" t="s">
        <v>11</v>
      </c>
      <c r="E43" s="11" t="s">
        <v>46</v>
      </c>
      <c r="F43" s="36">
        <v>80</v>
      </c>
      <c r="G43" s="21">
        <v>72</v>
      </c>
      <c r="H43" s="44">
        <f>11+6</f>
        <v>17</v>
      </c>
      <c r="I43" s="45">
        <v>18</v>
      </c>
    </row>
    <row r="44" spans="2:12" s="15" customFormat="1" ht="26" customHeight="1" x14ac:dyDescent="0.35">
      <c r="B44" s="114">
        <v>13</v>
      </c>
      <c r="C44" s="125" t="s">
        <v>90</v>
      </c>
      <c r="D44" s="12" t="s">
        <v>30</v>
      </c>
      <c r="E44" s="11" t="s">
        <v>41</v>
      </c>
      <c r="F44" s="36">
        <v>36.299999999999997</v>
      </c>
      <c r="G44" s="21">
        <v>50</v>
      </c>
      <c r="H44" s="44">
        <f>42.73+4+4</f>
        <v>50.73</v>
      </c>
      <c r="I44" s="45">
        <v>50</v>
      </c>
    </row>
    <row r="45" spans="2:12" s="15" customFormat="1" ht="26" customHeight="1" x14ac:dyDescent="0.35">
      <c r="B45" s="115"/>
      <c r="C45" s="126"/>
      <c r="D45" s="25" t="s">
        <v>56</v>
      </c>
      <c r="E45" s="26" t="s">
        <v>9</v>
      </c>
      <c r="F45" s="30">
        <f>+F44/F33</f>
        <v>3.0478589420654911E-2</v>
      </c>
      <c r="G45" s="30">
        <f>+G44/G33</f>
        <v>2.5000000000000001E-2</v>
      </c>
      <c r="H45" s="30">
        <f>+IFERROR(H44/H33,0)</f>
        <v>3.2905234481416613E-2</v>
      </c>
      <c r="I45" s="30">
        <f>+IFERROR(I44/I33,0)</f>
        <v>2.9411764705882353E-2</v>
      </c>
    </row>
    <row r="46" spans="2:12" s="15" customFormat="1" ht="26" customHeight="1" x14ac:dyDescent="0.35">
      <c r="B46" s="9">
        <v>14</v>
      </c>
      <c r="C46" s="12" t="s">
        <v>153</v>
      </c>
      <c r="D46" s="12" t="s">
        <v>31</v>
      </c>
      <c r="E46" s="11" t="s">
        <v>47</v>
      </c>
      <c r="F46" s="36">
        <v>19</v>
      </c>
      <c r="G46" s="21">
        <v>33</v>
      </c>
      <c r="H46" s="44">
        <v>24.7</v>
      </c>
      <c r="I46" s="45">
        <v>25</v>
      </c>
    </row>
    <row r="47" spans="2:12" s="15" customFormat="1" ht="26" customHeight="1" x14ac:dyDescent="0.35">
      <c r="B47" s="9">
        <v>15</v>
      </c>
      <c r="C47" s="12" t="s">
        <v>93</v>
      </c>
      <c r="D47" s="12" t="s">
        <v>32</v>
      </c>
      <c r="E47" s="11" t="s">
        <v>46</v>
      </c>
      <c r="F47" s="36">
        <v>0</v>
      </c>
      <c r="G47" s="21">
        <v>0</v>
      </c>
      <c r="H47" s="44">
        <v>0</v>
      </c>
      <c r="I47" s="45">
        <v>0</v>
      </c>
    </row>
  </sheetData>
  <mergeCells count="30">
    <mergeCell ref="C44:C45"/>
    <mergeCell ref="D2:I2"/>
    <mergeCell ref="D3:I3"/>
    <mergeCell ref="D20:I20"/>
    <mergeCell ref="C29:C30"/>
    <mergeCell ref="D29:D30"/>
    <mergeCell ref="D24:H24"/>
    <mergeCell ref="D26:I26"/>
    <mergeCell ref="D27:I27"/>
    <mergeCell ref="D23:I23"/>
    <mergeCell ref="C7:C9"/>
    <mergeCell ref="C3:C6"/>
    <mergeCell ref="C23:C27"/>
    <mergeCell ref="C11:C14"/>
    <mergeCell ref="C15:C19"/>
    <mergeCell ref="C33:C34"/>
    <mergeCell ref="B44:B45"/>
    <mergeCell ref="B3:B6"/>
    <mergeCell ref="B7:B9"/>
    <mergeCell ref="B23:B27"/>
    <mergeCell ref="B11:B14"/>
    <mergeCell ref="B15:B19"/>
    <mergeCell ref="B29:B30"/>
    <mergeCell ref="B31:B32"/>
    <mergeCell ref="C31:C32"/>
    <mergeCell ref="D12:I12"/>
    <mergeCell ref="D6:I6"/>
    <mergeCell ref="D16:I16"/>
    <mergeCell ref="B20:B22"/>
    <mergeCell ref="C20:C22"/>
  </mergeCells>
  <conditionalFormatting sqref="G40">
    <cfRule type="expression" dxfId="1" priority="3">
      <formula>$AH40="Đã xác nhận"</formula>
    </cfRule>
    <cfRule type="expression" dxfId="0" priority="4">
      <formula>$AH40="Đã gửi"</formula>
    </cfRule>
  </conditionalFormatting>
  <pageMargins left="0.20833333333333334" right="0.34375" top="0.32291666666666669" bottom="0.33333333333333331" header="0.3" footer="0.3"/>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E0127FA9FD6004AB87C3B980CB5D696" ma:contentTypeVersion="15" ma:contentTypeDescription="Create a new document." ma:contentTypeScope="" ma:versionID="67370114cc40b2c673714a5ba7d53aa4">
  <xsd:schema xmlns:xsd="http://www.w3.org/2001/XMLSchema" xmlns:xs="http://www.w3.org/2001/XMLSchema" xmlns:p="http://schemas.microsoft.com/office/2006/metadata/properties" xmlns:ns2="c4b5fce3-9bbc-4429-8073-3ae7a9bcc677" xmlns:ns3="1401b2ec-7936-4f98-86ff-5ef737f58b9c" targetNamespace="http://schemas.microsoft.com/office/2006/metadata/properties" ma:root="true" ma:fieldsID="8a0007aad7c46a4014362bce42ad9a10" ns2:_="" ns3:_="">
    <xsd:import namespace="c4b5fce3-9bbc-4429-8073-3ae7a9bcc677"/>
    <xsd:import namespace="1401b2ec-7936-4f98-86ff-5ef737f58b9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lcf76f155ced4ddcb4097134ff3c332f" minOccurs="0"/>
                <xsd:element ref="ns3:MediaServiceGenerationTime" minOccurs="0"/>
                <xsd:element ref="ns3:MediaServiceEventHashCode" minOccurs="0"/>
                <xsd:element ref="ns3:MediaServiceOCR" minOccurs="0"/>
                <xsd:element ref="ns3:MediaServiceDateTaken" minOccurs="0"/>
                <xsd:element ref="ns3:MediaServiceLocation" minOccurs="0"/>
                <xsd:element ref="ns3:MediaServiceSearchProperties"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b5fce3-9bbc-4429-8073-3ae7a9bcc67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401b2ec-7936-4f98-86ff-5ef737f58b9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eac797d-9452-442f-b5f7-665479590df6"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401b2ec-7936-4f98-86ff-5ef737f58b9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35719F-8391-4D6B-960B-452E831F4E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b5fce3-9bbc-4429-8073-3ae7a9bcc677"/>
    <ds:schemaRef ds:uri="1401b2ec-7936-4f98-86ff-5ef737f58b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878DF9B-BAB3-4762-95AF-FE52873AAFFB}">
  <ds:schemaRefs>
    <ds:schemaRef ds:uri="http://schemas.microsoft.com/office/2006/metadata/properties"/>
    <ds:schemaRef ds:uri="http://schemas.microsoft.com/office/infopath/2007/PartnerControls"/>
    <ds:schemaRef ds:uri="1401b2ec-7936-4f98-86ff-5ef737f58b9c"/>
  </ds:schemaRefs>
</ds:datastoreItem>
</file>

<file path=customXml/itemProps3.xml><?xml version="1.0" encoding="utf-8"?>
<ds:datastoreItem xmlns:ds="http://schemas.openxmlformats.org/officeDocument/2006/customXml" ds:itemID="{A7A42553-66CF-48CF-9385-124F4CFCC24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Strategy 1</vt:lpstr>
      <vt:lpstr>Strategy (2)</vt:lpstr>
      <vt:lpstr>KPI GĐĐH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Quốc, Nguyễn Bảo</dc:creator>
  <cp:lastModifiedBy>Cư, Lê Hoành</cp:lastModifiedBy>
  <cp:lastPrinted>2025-10-03T08:18:03Z</cp:lastPrinted>
  <dcterms:created xsi:type="dcterms:W3CDTF">2015-06-05T18:17:20Z</dcterms:created>
  <dcterms:modified xsi:type="dcterms:W3CDTF">2026-04-26T15:32:10Z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0x0101004E0127FA9FD6004AB87C3B980CB5D696</vt:lpwstr>
  </property>
  <property fmtid="{D5CDD505-2E9C-101B-9397-08002B2CF9AE}" pid="3" name="MediaServiceImageTags">
    <vt:lpwstr/>
  </property>
</Properties>
</file>