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3.GIÁ THÀNH KẾ HOẠCH - Nhâm/NĂM 2025/Báo giá/Dự án FtP/"/>
    </mc:Choice>
  </mc:AlternateContent>
  <xr:revisionPtr revIDLastSave="0" documentId="8_{1C729877-7E26-4532-A040-7D7D16D4C819}" xr6:coauthVersionLast="47" xr6:coauthVersionMax="47" xr10:uidLastSave="{00000000-0000-0000-0000-000000000000}"/>
  <bookViews>
    <workbookView xWindow="-108" yWindow="-108" windowWidth="23256" windowHeight="12456" xr2:uid="{E9A91430-BCA0-43C2-8EFD-040EC7FE7ABC}"/>
  </bookViews>
  <sheets>
    <sheet name="Chi phí break down gửi KD" sheetId="1" r:id="rId1"/>
  </sheets>
  <externalReferences>
    <externalReference r:id="rId2"/>
  </externalReferences>
  <definedNames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L">#REF!</definedName>
    <definedName name="CLTMP">#REF!</definedName>
    <definedName name="CLVC">#REF!</definedName>
    <definedName name="Contingency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v">#REF!</definedName>
    <definedName name="cong_ngio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PY">#REF!</definedName>
    <definedName name="COST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DT">#REF!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v">#REF!</definedName>
    <definedName name="gica_ngio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HDCCT">#REF!</definedName>
    <definedName name="HDCD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>#REF!</definedName>
    <definedName name="K_2">#REF!</definedName>
    <definedName name="KCSCM">#REF!</definedName>
    <definedName name="KVC">#REF!</definedName>
    <definedName name="KH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v">#REF!</definedName>
    <definedName name="lanh_ngio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v">#REF!</definedName>
    <definedName name="lcb_ngio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v">#REF!</definedName>
    <definedName name="le_ngio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">#REF!</definedName>
    <definedName name="NCcap0.7">#REF!</definedName>
    <definedName name="NCcap1">#REF!</definedName>
    <definedName name="NOIDUNG">OFFSET(#REF!,COUNTA(#REF!)-1,0,1)</definedName>
    <definedName name="Nov">#REF!</definedName>
    <definedName name="NToS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v">#REF!</definedName>
    <definedName name="nghi_ngio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Oct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Print_Area_MI">#REF!</definedName>
    <definedName name="_xlnm.Print_Titles">#N/A</definedName>
    <definedName name="PHUONG" hidden="1">#REF!</definedName>
    <definedName name="QUYLUONG">#REF!</definedName>
    <definedName name="RawMat">#REF!</definedName>
    <definedName name="re">#REF!</definedName>
    <definedName name="ree">#REF!</definedName>
    <definedName name="rr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v">#REF!</definedName>
    <definedName name="sp_ngio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v">#REF!</definedName>
    <definedName name="tnh_ngio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SSCM">#REF!</definedName>
    <definedName name="TSSlist">#REF!</definedName>
    <definedName name="ttbt">#REF!</definedName>
    <definedName name="ttt">#REF!</definedName>
    <definedName name="tttb">#REF!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v">#REF!</definedName>
    <definedName name="thgian_ngio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v">#REF!</definedName>
    <definedName name="thgio_ngio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ram" hidden="1">#REF!</definedName>
    <definedName name="vc3.">#REF!</definedName>
    <definedName name="vc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v">#REF!</definedName>
    <definedName name="xh_ngio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v">#REF!</definedName>
    <definedName name="yt_ngio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C5" i="1"/>
  <c r="C8" i="1" s="1"/>
  <c r="A5" i="1"/>
  <c r="A6" i="1" s="1"/>
  <c r="A7" i="1" s="1"/>
  <c r="A8" i="1" s="1"/>
  <c r="D4" i="1"/>
  <c r="D5" i="1" l="1"/>
  <c r="D8" i="1" s="1"/>
</calcChain>
</file>

<file path=xl/sharedStrings.xml><?xml version="1.0" encoding="utf-8"?>
<sst xmlns="http://schemas.openxmlformats.org/spreadsheetml/2006/main" count="10" uniqueCount="10">
  <si>
    <t>Tỷ giá</t>
  </si>
  <si>
    <t>STT</t>
  </si>
  <si>
    <t>Nội dung</t>
  </si>
  <si>
    <t>Chi phí (Vnđ/Kg)</t>
  </si>
  <si>
    <t>Chi phí (USD/tấn)</t>
  </si>
  <si>
    <t>Giá chai</t>
  </si>
  <si>
    <t>Hao hụt (28%)</t>
  </si>
  <si>
    <t>Chi phí sản xuất</t>
  </si>
  <si>
    <t>Lợi nhuận</t>
  </si>
  <si>
    <t>Giá bán (EXW)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</si>
</sst>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right"/>
    </xf>
    <xf numFmtId="164" fontId="2" fillId="2" borderId="0" xfId="1" applyNumberFormat="1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tg-my.sharepoint.com/personal/luuthiminhtam_duytangroup_com/Documents/01.%20MINH%20TAM/02.%20DT%20Recycle/12.%20D&#7918;%20LI&#7878;U%20K&#7870;%20TO&#193;N%20QU&#7842;N%20TR&#7882;/03.GI&#193;%20TH&#192;NH%20K&#7870;%20HO&#7840;CH%20-%20Nh&#226;m/N&#258;M%202025/B&#225;o%20gi&#225;/D&#7921;%20&#225;n%20FtP/01.%20FtoP%20-%20V&#7843;y%20CSD%20update%20T12.2025.xlsx" TargetMode="External"/><Relationship Id="rId2" Type="http://schemas.microsoft.com/office/2019/04/relationships/externalLinkLongPath" Target="01.%20FtoP%20-%20V&#7843;y%20CSD%20update%20T12.2025.xlsx?B64E51C3" TargetMode="External"/><Relationship Id="rId1" Type="http://schemas.openxmlformats.org/officeDocument/2006/relationships/externalLinkPath" Target="file:///\\B64E51C3\01.%20FtoP%20-%20V&#7843;y%20CSD%20update%20T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HÔNG TIN CHUNG"/>
      <sheetName val="Danh mục"/>
      <sheetName val="Giá thành"/>
      <sheetName val="BC Giá bán_ A Thạch"/>
      <sheetName val="Bìa"/>
      <sheetName val="TH Giá bán"/>
      <sheetName val="CP Công đoạn"/>
      <sheetName val="1.1.Tính giá NVL"/>
      <sheetName val="1. Đơn giá NVL"/>
      <sheetName val="2. Hiệu suất máy"/>
      <sheetName val="3. Tỷ lệ hao hụt"/>
      <sheetName val="4. Chi phí"/>
      <sheetName val="4.1 Data chi phí"/>
      <sheetName val="4.2 Trừ tiền thuê máy"/>
      <sheetName val="4.2 Phân bổ khấu hao"/>
      <sheetName val="5. Tiêu thức phân bổ"/>
      <sheetName val="Từ chai ra hạt WSS01-iSS01 (2)"/>
      <sheetName val="TH"/>
      <sheetName val="Chi phí break down gửi KD"/>
      <sheetName val="break down"/>
      <sheetName val="10. 100% chai 15.000"/>
      <sheetName val="11. 100% chai-&gt;hạt iSS01084G"/>
      <sheetName val="10-11. Chart 100% chai"/>
      <sheetName val="12. 100% vảy-&gt;hạt WSS01-iSS01"/>
      <sheetName val="13. 100% vảy-&gt;hạt iSS01084G"/>
      <sheetName val="12-13. Chart_100% vảy"/>
      <sheetName val="10. 100% chai 16.600"/>
      <sheetName val="14. 50%chai+50%vảy"/>
      <sheetName val="ICIS Price History"/>
      <sheetName val="15. 50%chai+50%vảy-&gt;ISS01084G"/>
      <sheetName val="14-15. Chart_50% chai + 50% vảy"/>
      <sheetName val="14-15. Chart_50chai + 50vảy B0"/>
      <sheetName val="16. Hạt ISS01L"/>
      <sheetName val="16.1 Rửa vảy B7"/>
      <sheetName val="16. Chart_ISS01L"/>
      <sheetName val="17. Hạt WSS01G-L"/>
      <sheetName val="17. Hạt WSS01"/>
      <sheetName val="18. Hạt WSS01L"/>
      <sheetName val="18. Vảy B5"/>
      <sheetName val="19. ISS01G-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07D0-E328-46A3-BE02-43EF0AFA550C}">
  <dimension ref="A2:D20"/>
  <sheetViews>
    <sheetView tabSelected="1" workbookViewId="0">
      <selection activeCell="G11" sqref="G11"/>
    </sheetView>
  </sheetViews>
  <sheetFormatPr defaultRowHeight="14.4" x14ac:dyDescent="0.3"/>
  <cols>
    <col min="1" max="1" width="6.6640625" style="1" customWidth="1"/>
    <col min="2" max="2" width="19.21875" style="1" customWidth="1"/>
    <col min="3" max="3" width="12.77734375" style="1" customWidth="1"/>
    <col min="4" max="4" width="13" style="1" customWidth="1"/>
    <col min="5" max="5" width="2" style="1" customWidth="1"/>
    <col min="6" max="6" width="11.88671875" style="1" customWidth="1"/>
    <col min="7" max="16384" width="8.88671875" style="1"/>
  </cols>
  <sheetData>
    <row r="2" spans="1:4" s="1" customFormat="1" x14ac:dyDescent="0.3">
      <c r="C2" s="2" t="s">
        <v>0</v>
      </c>
      <c r="D2" s="3">
        <v>26000</v>
      </c>
    </row>
    <row r="3" spans="1:4" s="1" customFormat="1" ht="28.8" x14ac:dyDescent="0.3">
      <c r="A3" s="4" t="s">
        <v>1</v>
      </c>
      <c r="B3" s="4" t="s">
        <v>2</v>
      </c>
      <c r="C3" s="5" t="s">
        <v>3</v>
      </c>
      <c r="D3" s="5" t="s">
        <v>4</v>
      </c>
    </row>
    <row r="4" spans="1:4" s="1" customFormat="1" x14ac:dyDescent="0.3">
      <c r="A4" s="6">
        <v>1</v>
      </c>
      <c r="B4" s="7" t="s">
        <v>5</v>
      </c>
      <c r="C4" s="8">
        <v>15000</v>
      </c>
      <c r="D4" s="8">
        <f>+C4/26</f>
        <v>576.92307692307691</v>
      </c>
    </row>
    <row r="5" spans="1:4" s="1" customFormat="1" x14ac:dyDescent="0.3">
      <c r="A5" s="6">
        <f>+A4+1</f>
        <v>2</v>
      </c>
      <c r="B5" s="7" t="s">
        <v>6</v>
      </c>
      <c r="C5" s="8">
        <f>+C4*28%</f>
        <v>4200</v>
      </c>
      <c r="D5" s="8">
        <f>+C5/26</f>
        <v>161.53846153846155</v>
      </c>
    </row>
    <row r="6" spans="1:4" s="1" customFormat="1" x14ac:dyDescent="0.3">
      <c r="A6" s="6">
        <f t="shared" ref="A6:A8" si="0">+A5+1</f>
        <v>3</v>
      </c>
      <c r="B6" s="7" t="s">
        <v>7</v>
      </c>
      <c r="C6" s="8">
        <v>7570</v>
      </c>
      <c r="D6" s="8">
        <f>+C6/26</f>
        <v>291.15384615384613</v>
      </c>
    </row>
    <row r="7" spans="1:4" s="1" customFormat="1" x14ac:dyDescent="0.3">
      <c r="A7" s="6">
        <f t="shared" si="0"/>
        <v>4</v>
      </c>
      <c r="B7" s="7" t="s">
        <v>8</v>
      </c>
      <c r="C7" s="8">
        <v>1820</v>
      </c>
      <c r="D7" s="8">
        <f>+C7/26</f>
        <v>70</v>
      </c>
    </row>
    <row r="8" spans="1:4" s="1" customFormat="1" x14ac:dyDescent="0.3">
      <c r="A8" s="6">
        <f t="shared" si="0"/>
        <v>5</v>
      </c>
      <c r="B8" s="7" t="s">
        <v>9</v>
      </c>
      <c r="C8" s="8">
        <f>SUM(C4:C7)</f>
        <v>28590</v>
      </c>
      <c r="D8" s="8">
        <f>+SUM(D4:D7)</f>
        <v>1099.6153846153845</v>
      </c>
    </row>
    <row r="9" spans="1:4" s="1" customFormat="1" x14ac:dyDescent="0.3"/>
    <row r="10" spans="1:4" s="1" customFormat="1" x14ac:dyDescent="0.3"/>
    <row r="11" spans="1:4" s="1" customFormat="1" x14ac:dyDescent="0.3"/>
    <row r="12" spans="1:4" s="1" customFormat="1" x14ac:dyDescent="0.3"/>
    <row r="13" spans="1:4" s="1" customFormat="1" x14ac:dyDescent="0.3"/>
    <row r="14" spans="1:4" s="1" customFormat="1" x14ac:dyDescent="0.3"/>
    <row r="15" spans="1:4" s="1" customFormat="1" x14ac:dyDescent="0.3"/>
    <row r="16" spans="1:4" s="1" customFormat="1" x14ac:dyDescent="0.3"/>
    <row r="17" s="1" customFormat="1" x14ac:dyDescent="0.3"/>
    <row r="18" s="1" customFormat="1" x14ac:dyDescent="0.3"/>
    <row r="19" s="1" customFormat="1" x14ac:dyDescent="0.3"/>
    <row r="20" s="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break down gửi KD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Nhâm, Hoàng Thị</dc:creator>
  <cp:lastModifiedBy>Nhâm, Hoàng Thị</cp:lastModifiedBy>
  <dcterms:created xsi:type="dcterms:W3CDTF">2025-12-13T08:26:23Z</dcterms:created>
  <dcterms:modified xsi:type="dcterms:W3CDTF">2025-12-13T08:29:42Z</dcterms:modified>
</cp:coreProperties>
</file>