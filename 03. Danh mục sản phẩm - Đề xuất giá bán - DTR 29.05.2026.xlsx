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luuthiminhtam_duytangroup_com/Documents/01. MINH TAM/03. DTR 15.01.2023/94. BÁO GIÁ BÁN - Nhâm - Trúc/04. Báo giá khách hàng khác/07. Hàng tồn lâu - khác/"/>
    </mc:Choice>
  </mc:AlternateContent>
  <xr:revisionPtr revIDLastSave="321" documentId="13_ncr:1_{D69CEACC-C41C-4CDC-9F82-4F0A5ADA9254}" xr6:coauthVersionLast="47" xr6:coauthVersionMax="47" xr10:uidLastSave="{A58CDABC-E8D0-47FE-8606-3054CCC0B44B}"/>
  <bookViews>
    <workbookView xWindow="-110" yWindow="-110" windowWidth="19420" windowHeight="10300" firstSheet="1" activeTab="1" xr2:uid="{00000000-000D-0000-FFFF-FFFF00000000}"/>
  </bookViews>
  <sheets>
    <sheet name="1. Hàng Phó sản " sheetId="2" state="hidden" r:id="rId1"/>
    <sheet name="2. Hàng tồn kho lâu năm" sheetId="3" r:id="rId2"/>
    <sheet name="Giá TGĐ duyệt" sheetId="4" state="hidden" r:id="rId3"/>
    <sheet name="Mail 1" sheetId="5" state="hidden" r:id="rId4"/>
    <sheet name="Mail 2" sheetId="6" state="hidden" r:id="rId5"/>
  </sheets>
  <definedNames>
    <definedName name="_xlnm._FilterDatabase" localSheetId="1" hidden="1">'2. Hàng tồn kho lâu năm'!$A$5:$O$35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L6" i="2"/>
  <c r="L7" i="2"/>
  <c r="L9" i="2"/>
  <c r="L10" i="2"/>
  <c r="L11" i="2"/>
  <c r="L12" i="2"/>
  <c r="L13" i="2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6" i="3"/>
  <c r="E17" i="4"/>
  <c r="D17" i="4"/>
  <c r="K14" i="4"/>
  <c r="J14" i="4"/>
  <c r="K13" i="4"/>
  <c r="J13" i="4"/>
  <c r="K12" i="4"/>
  <c r="J12" i="4"/>
  <c r="K11" i="4"/>
  <c r="J11" i="4"/>
  <c r="K10" i="4"/>
  <c r="J10" i="4"/>
  <c r="I9" i="4"/>
  <c r="I8" i="4"/>
  <c r="I7" i="4"/>
  <c r="I6" i="4"/>
  <c r="A6" i="4"/>
  <c r="I5" i="4"/>
  <c r="H4" i="3"/>
  <c r="E4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6" i="3"/>
  <c r="K7" i="3"/>
  <c r="K8" i="3"/>
  <c r="N9" i="3" l="1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6" i="3"/>
  <c r="L12" i="4"/>
  <c r="J9" i="4"/>
  <c r="J6" i="4"/>
  <c r="L14" i="4"/>
  <c r="L13" i="4"/>
  <c r="L11" i="4"/>
  <c r="A7" i="4"/>
  <c r="A8" i="4" s="1"/>
  <c r="A9" i="4" s="1"/>
  <c r="K6" i="4"/>
  <c r="L6" i="4" s="1"/>
  <c r="K5" i="4"/>
  <c r="J5" i="4"/>
  <c r="K7" i="4"/>
  <c r="J7" i="4"/>
  <c r="L10" i="4"/>
  <c r="A10" i="4"/>
  <c r="A11" i="4" s="1"/>
  <c r="A12" i="4" s="1"/>
  <c r="A13" i="4" s="1"/>
  <c r="A14" i="4" s="1"/>
  <c r="A15" i="4" s="1"/>
  <c r="A16" i="4" s="1"/>
  <c r="K9" i="4"/>
  <c r="L9" i="4" s="1"/>
  <c r="K8" i="4"/>
  <c r="L8" i="4" s="1"/>
  <c r="J8" i="4"/>
  <c r="L7" i="3"/>
  <c r="L8" i="3"/>
  <c r="N7" i="3" l="1"/>
  <c r="N8" i="3"/>
  <c r="O6" i="3"/>
  <c r="O25" i="3"/>
  <c r="O15" i="3"/>
  <c r="O14" i="3"/>
  <c r="O13" i="3"/>
  <c r="O10" i="3"/>
  <c r="O9" i="3"/>
  <c r="O16" i="3"/>
  <c r="O17" i="3"/>
  <c r="O8" i="3"/>
  <c r="O11" i="3"/>
  <c r="O35" i="3"/>
  <c r="O34" i="3"/>
  <c r="O33" i="3"/>
  <c r="O32" i="3"/>
  <c r="O31" i="3"/>
  <c r="O30" i="3"/>
  <c r="O29" i="3"/>
  <c r="O28" i="3"/>
  <c r="O27" i="3"/>
  <c r="O19" i="3"/>
  <c r="O26" i="3"/>
  <c r="O24" i="3"/>
  <c r="O23" i="3"/>
  <c r="O22" i="3"/>
  <c r="O21" i="3"/>
  <c r="O20" i="3"/>
  <c r="O18" i="3"/>
  <c r="O12" i="3"/>
  <c r="L5" i="4"/>
  <c r="K17" i="4"/>
  <c r="L7" i="4"/>
  <c r="J17" i="4"/>
  <c r="O7" i="3"/>
  <c r="O4" i="3" l="1"/>
  <c r="L1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E5" authorId="0" shapeId="0" xr:uid="{33AC87B1-89D6-40BB-8CF8-739CE7DC0102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kinh doanh cung cấp</t>
        </r>
      </text>
    </comment>
    <comment ref="F5" authorId="0" shapeId="0" xr:uid="{8C24867B-9B54-48A9-89AA-D9B41B31C971}">
      <text>
        <r>
          <rPr>
            <b/>
            <sz val="9"/>
            <color indexed="81"/>
            <rFont val="Tahoma"/>
            <family val="2"/>
          </rPr>
          <t>Tâm, Lưu Thị Minh:</t>
        </r>
        <r>
          <rPr>
            <sz val="9"/>
            <color indexed="81"/>
            <rFont val="Tahoma"/>
            <family val="2"/>
          </rPr>
          <t xml:space="preserve">
kinh doanh cung cấp</t>
        </r>
      </text>
    </comment>
  </commentList>
</comments>
</file>

<file path=xl/sharedStrings.xml><?xml version="1.0" encoding="utf-8"?>
<sst xmlns="http://schemas.openxmlformats.org/spreadsheetml/2006/main" count="213" uniqueCount="117">
  <si>
    <t>Dòng hàng</t>
  </si>
  <si>
    <t>MSAP</t>
  </si>
  <si>
    <t xml:space="preserve">Tên sản phẩm </t>
  </si>
  <si>
    <t>Số lượng phát sinh hàng tháng</t>
  </si>
  <si>
    <t xml:space="preserve">Note </t>
  </si>
  <si>
    <t>Mã hàng nào cần sản xuất bán thêm, có thể tính giá trung bình giữa số lượng tồn và sản xuất mới để nhận đơn =&gt; A Thạch xem xét</t>
  </si>
  <si>
    <t>Hạt Nhựa rHDI3Gy01</t>
  </si>
  <si>
    <t>Hạt Nhựa rHDI3Gy02</t>
  </si>
  <si>
    <t>Hạt nhựa rHDB04B01</t>
  </si>
  <si>
    <t>Vảy HD Ép Hỗn Hợp SSR</t>
  </si>
  <si>
    <t>Vảy ép hỗn hợp ST</t>
  </si>
  <si>
    <t>Vảy HD Ép Hỗn Hợp Cuối Sau Sấy </t>
  </si>
  <si>
    <t>Vảy PET GC dây đai</t>
  </si>
  <si>
    <t>Vảy PET Tomra SLR</t>
  </si>
  <si>
    <t>rPET Xơ sợi</t>
  </si>
  <si>
    <t>Hạt Nhựa  WSS05SB</t>
  </si>
  <si>
    <t>Hạt Nhựa  WSS06SP-1</t>
  </si>
  <si>
    <t>Hạt Nhựa  WSS04SD</t>
  </si>
  <si>
    <t>Thời gian tồn kho thực tế</t>
  </si>
  <si>
    <t>&gt; 360  ngày</t>
  </si>
  <si>
    <t>rHD ép</t>
  </si>
  <si>
    <t>Hạt Nhựa  WSS04SB</t>
  </si>
  <si>
    <t>&gt; 180 ngày</t>
  </si>
  <si>
    <t>&gt; 720 ngày</t>
  </si>
  <si>
    <t xml:space="preserve">Giá 
duyệt tháng  cho hàng sản xuất mới </t>
  </si>
  <si>
    <t>rHD thổi</t>
  </si>
  <si>
    <t xml:space="preserve">Vảy rHD ép </t>
  </si>
  <si>
    <t xml:space="preserve">Vảy rPET </t>
  </si>
  <si>
    <t>&gt; 90 ngày</t>
  </si>
  <si>
    <t>&gt; 360 ngày</t>
  </si>
  <si>
    <t>Vảy PP Dương Nhạt</t>
  </si>
  <si>
    <t>Vảy PP Đỏ Nhạt</t>
  </si>
  <si>
    <t>Vảy PP Đỏ Đậm</t>
  </si>
  <si>
    <t>Vảy PP Dương Đậm</t>
  </si>
  <si>
    <t>rPP</t>
  </si>
  <si>
    <t>80-100 tấn/ tháng</t>
  </si>
  <si>
    <t>T1, T2, T3 có trong sheet giá hạt phó sản
Cần add vào bảng giá tháng</t>
  </si>
  <si>
    <t>Cần add vào bảng giá tháng bán phó sản</t>
  </si>
  <si>
    <t>STT</t>
  </si>
  <si>
    <t>&gt; 60 ngày</t>
  </si>
  <si>
    <t>Vảy HD Ép Đồng</t>
  </si>
  <si>
    <t>Vảy HD Ép Đen</t>
  </si>
  <si>
    <t>&gt; 120 ngày</t>
  </si>
  <si>
    <t>&gt; 450 ngày</t>
  </si>
  <si>
    <t>Hạt nhựa rHDB04B01
( 83 tấn đạt chuẩn xuất hàng Ghana, 20 tấn đạt chuẩn cấp thấp MTVN)</t>
  </si>
  <si>
    <t>C Tâm điền cột F</t>
  </si>
  <si>
    <t>T1, T2, T3 có trong sheet giá hạt phó sản
Cần add vào bảng giá tháng
R&amp;D và QAQC đang tách 2 mã rHDB04N01 ( bán hàng xuất Ghana) và rHDB04B02 ( cấp thấp bán MTvn ) nên KTQT cung cấp giá 2 loại cho phù hợp với chất lượng.</t>
  </si>
  <si>
    <t>T1, T2, T3 có trong sheet giá hạt phó sản
Cần add vào bảng giá hàng tháng</t>
  </si>
  <si>
    <t>Áp dụng mặt hàng tồn kho chậm luận chuẩn- giá chênh lệch quá lớn với giá thị trường =&gt; xem xét sản lượng bán tối đa hàng tháng để clear tồn kho.</t>
  </si>
  <si>
    <t>DANH SÁCH CÁC MẶT HÀNG TỒN KHO CHẬM LUÂN CHUYỂN</t>
  </si>
  <si>
    <t>DANH SÁCH CẦN BỔ SUNG VÀO BẢNG GIÁ HÀNG THÁNG ( sheet giá phó sản )</t>
  </si>
  <si>
    <t>Số lượng phát sinh hàng tháng ( tấn)</t>
  </si>
  <si>
    <t>Xin  giá duyệt hàng tháng để sales chào cho khách hàng</t>
  </si>
  <si>
    <t>Giá bán sales đề xuất - bán tồn kho</t>
  </si>
  <si>
    <t>Anh Thạch cho giá cột H</t>
  </si>
  <si>
    <t>Phó Sản HD Ép Hỗn Hợp Cuối ST</t>
  </si>
  <si>
    <t>Phó Sản HD Ép Hỗn Hợp Cuối SSR</t>
  </si>
  <si>
    <t>Vảy HD Ép Dương Nhạt Két Pepsi Chìm ST</t>
  </si>
  <si>
    <t>Vảy HD Ép Dương Nhạt Két Pepsi</t>
  </si>
  <si>
    <t>Hạt Nhựa HCBF-Gre-U</t>
  </si>
  <si>
    <t>Hạt Nhựa HCBF-Yel-U</t>
  </si>
  <si>
    <t>Hạt Nhựa rHDB03G01</t>
  </si>
  <si>
    <t>Hạt Nhựa rHDB03Y01</t>
  </si>
  <si>
    <t>Hạt Nhựa rHDA03W01</t>
  </si>
  <si>
    <t>Hạt nhựa rPP20B01</t>
  </si>
  <si>
    <t>Hạt nhựa rPP20Be01</t>
  </si>
  <si>
    <t>Hạt Nhựa rPP20W01</t>
  </si>
  <si>
    <t>Hạt nhựa rPP20R01</t>
  </si>
  <si>
    <t>Hạt Nhựa rPP20Gy01</t>
  </si>
  <si>
    <t>Hạt nhựa rPP20R02</t>
  </si>
  <si>
    <t>Giá duyệt tháng 6 (USD/tấn)</t>
  </si>
  <si>
    <t>Số lượng tồn kho SAP (31/05/2026)
(Tấn)</t>
  </si>
  <si>
    <t>Đơn giá tồn kho SAP (VND/Kg)</t>
  </si>
  <si>
    <t>Giá vốn kế hoạch
(VND/Kg)</t>
  </si>
  <si>
    <t>Giá duyệt tháng 6 
(VND/kg)</t>
  </si>
  <si>
    <t>LNG
(Triệu đồng / tấn)</t>
  </si>
  <si>
    <t>Giá bán gần nhất cho Vinafiber (18/04/2026)</t>
  </si>
  <si>
    <t>LNG nếu bán hết hàng tồn lâu (Triệu)</t>
  </si>
  <si>
    <t>CHÀO GIÁ BÁN PHÓ SẢN - HÀNG TỒN LÂU</t>
  </si>
  <si>
    <t>Đã gửi mail BTGĐ, GĐTC: 05/06/2026</t>
  </si>
  <si>
    <t>Tỷ giá:</t>
  </si>
  <si>
    <t xml:space="preserve">Tỷ giá </t>
  </si>
  <si>
    <t>Mã sản phẩm</t>
  </si>
  <si>
    <t>Tên sản phẩm</t>
  </si>
  <si>
    <t>Tồn kho 27/5 (tấn)</t>
  </si>
  <si>
    <t>Tồn kho theo số liệu Kinh Doanh (tấn)
(27/05)</t>
  </si>
  <si>
    <t>Giá thành kế hoạch
(VND/Kg)</t>
  </si>
  <si>
    <t>Giá BTGĐ duyệt</t>
  </si>
  <si>
    <t>Doanh thu (Trđ)</t>
  </si>
  <si>
    <t>Lợi nhuận gộp (Trđ)</t>
  </si>
  <si>
    <t>% Lợi nhuận gộp</t>
  </si>
  <si>
    <t>Ghi chú</t>
  </si>
  <si>
    <t>Kinh doanh Ghi chú</t>
  </si>
  <si>
    <t>Hạt Nhựa rPET WSS06SP-1</t>
  </si>
  <si>
    <t>780 USD/ tấn</t>
  </si>
  <si>
    <t>Hàng tồn cần clear</t>
  </si>
  <si>
    <t>Hạt nhựa rPET WSS05SB</t>
  </si>
  <si>
    <t>800 USD/ tấn</t>
  </si>
  <si>
    <t>670 USD/ tấn</t>
  </si>
  <si>
    <t>Hàng tồn cần clear
Trung bình: 50-100 tấn/ tháng</t>
  </si>
  <si>
    <t>Bán sa cạ</t>
  </si>
  <si>
    <t>Hàng phát sinh hàng tháng
Trung bình: 30-50 tấn/ tháng</t>
  </si>
  <si>
    <t>Vảy HD Ép Hỗn Hợp Cuối Sau Sấy</t>
  </si>
  <si>
    <t>Vảy PET GC Dây Đai</t>
  </si>
  <si>
    <t>Hàng phát sinh hàng tháng
Trung bình: 100 tấn/ tháng</t>
  </si>
  <si>
    <t>Giá bán KTQT đề xuất bằng BQ giá tồn kho SAP và giá kế hoạch (làm tròn)</t>
  </si>
  <si>
    <t>Tạo hạt bán giá 1000 USD/tấn</t>
  </si>
  <si>
    <t>Hàng tồn kho
Phát sinh 30-50 tấn/ tháng</t>
  </si>
  <si>
    <t>CỘNG</t>
  </si>
  <si>
    <t>Giá BGĐ đã duyệt
(VND/kg)</t>
  </si>
  <si>
    <t>Giá duyệt T6.26 (USD/tấn)</t>
  </si>
  <si>
    <t xml:space="preserve">Số lượng tồn kho lâu năm (tấn)
</t>
  </si>
  <si>
    <t>Công thức</t>
  </si>
  <si>
    <t>100% Vảy PET HAD_A1/A2/A3</t>
  </si>
  <si>
    <t xml:space="preserve">14.500
</t>
  </si>
  <si>
    <t>giá kế hoạch theo công thức</t>
  </si>
  <si>
    <t>CỘNG: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</si>
</sst>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_);[Red]\(#,##0.0\)"/>
    <numFmt numFmtId="166" formatCode="_-* #,##0_-;\-* #,##0_-;_-* &quot;-&quot;??_-;_-@_-"/>
    <numFmt numFmtId="167" formatCode="0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FF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  <font>
      <b/>
      <sz val="12"/>
      <color rgb="FF0000FF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0070C0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rgb="FF0000FF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0000FF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164" fontId="9" fillId="0" borderId="3" xfId="1" applyNumberFormat="1" applyFont="1" applyBorder="1" applyAlignment="1">
      <alignment horizontal="left" vertical="center"/>
    </xf>
    <xf numFmtId="164" fontId="2" fillId="0" borderId="0" xfId="1" applyNumberFormat="1" applyFont="1" applyAlignment="1">
      <alignment vertical="center"/>
    </xf>
    <xf numFmtId="164" fontId="11" fillId="0" borderId="0" xfId="1" applyNumberFormat="1" applyFont="1" applyAlignment="1">
      <alignment vertical="center"/>
    </xf>
    <xf numFmtId="0" fontId="0" fillId="8" borderId="0" xfId="0" applyFill="1"/>
    <xf numFmtId="0" fontId="14" fillId="8" borderId="0" xfId="0" applyFont="1" applyFill="1"/>
    <xf numFmtId="0" fontId="15" fillId="8" borderId="0" xfId="0" applyFont="1" applyFill="1"/>
    <xf numFmtId="14" fontId="16" fillId="8" borderId="0" xfId="0" applyNumberFormat="1" applyFont="1" applyFill="1"/>
    <xf numFmtId="166" fontId="0" fillId="8" borderId="0" xfId="0" applyNumberFormat="1" applyFill="1"/>
    <xf numFmtId="164" fontId="0" fillId="8" borderId="0" xfId="1" applyNumberFormat="1" applyFont="1" applyFill="1"/>
    <xf numFmtId="0" fontId="17" fillId="8" borderId="0" xfId="0" applyFont="1" applyFill="1"/>
    <xf numFmtId="164" fontId="12" fillId="8" borderId="0" xfId="1" applyNumberFormat="1" applyFont="1" applyFill="1" applyAlignment="1">
      <alignment horizontal="right"/>
    </xf>
    <xf numFmtId="164" fontId="12" fillId="8" borderId="0" xfId="1" applyNumberFormat="1" applyFont="1" applyFill="1"/>
    <xf numFmtId="0" fontId="0" fillId="8" borderId="8" xfId="0" quotePrefix="1" applyFill="1" applyBorder="1" applyAlignment="1">
      <alignment horizontal="center" vertical="center"/>
    </xf>
    <xf numFmtId="0" fontId="0" fillId="8" borderId="8" xfId="0" quotePrefix="1" applyFill="1" applyBorder="1" applyAlignment="1">
      <alignment horizontal="center" vertical="center" wrapText="1"/>
    </xf>
    <xf numFmtId="0" fontId="10" fillId="8" borderId="0" xfId="0" applyFont="1" applyFill="1" applyAlignment="1">
      <alignment vertical="center" wrapText="1"/>
    </xf>
    <xf numFmtId="166" fontId="0" fillId="8" borderId="8" xfId="1" applyNumberFormat="1" applyFont="1" applyFill="1" applyBorder="1" applyAlignment="1">
      <alignment vertical="center" wrapText="1"/>
    </xf>
    <xf numFmtId="166" fontId="10" fillId="8" borderId="8" xfId="1" applyNumberFormat="1" applyFont="1" applyFill="1" applyBorder="1" applyAlignment="1">
      <alignment vertical="center" wrapText="1"/>
    </xf>
    <xf numFmtId="166" fontId="18" fillId="8" borderId="8" xfId="1" applyNumberFormat="1" applyFont="1" applyFill="1" applyBorder="1" applyAlignment="1">
      <alignment vertical="center" wrapText="1"/>
    </xf>
    <xf numFmtId="38" fontId="10" fillId="8" borderId="8" xfId="1" applyNumberFormat="1" applyFont="1" applyFill="1" applyBorder="1" applyAlignment="1">
      <alignment vertical="center" wrapText="1"/>
    </xf>
    <xf numFmtId="167" fontId="10" fillId="8" borderId="8" xfId="3" applyNumberFormat="1" applyFont="1" applyFill="1" applyBorder="1" applyAlignment="1">
      <alignment vertical="center" wrapText="1"/>
    </xf>
    <xf numFmtId="166" fontId="19" fillId="8" borderId="8" xfId="1" applyNumberFormat="1" applyFont="1" applyFill="1" applyBorder="1" applyAlignment="1">
      <alignment vertical="center" wrapText="1"/>
    </xf>
    <xf numFmtId="0" fontId="0" fillId="8" borderId="5" xfId="0" quotePrefix="1" applyFill="1" applyBorder="1" applyAlignment="1">
      <alignment horizontal="center" vertical="center"/>
    </xf>
    <xf numFmtId="0" fontId="0" fillId="8" borderId="5" xfId="0" quotePrefix="1" applyFill="1" applyBorder="1" applyAlignment="1">
      <alignment horizontal="center" vertical="center" wrapText="1"/>
    </xf>
    <xf numFmtId="0" fontId="0" fillId="8" borderId="5" xfId="0" applyFill="1" applyBorder="1" applyAlignment="1">
      <alignment vertical="center" wrapText="1"/>
    </xf>
    <xf numFmtId="166" fontId="0" fillId="8" borderId="5" xfId="1" applyNumberFormat="1" applyFont="1" applyFill="1" applyBorder="1" applyAlignment="1">
      <alignment vertical="center" wrapText="1"/>
    </xf>
    <xf numFmtId="166" fontId="10" fillId="8" borderId="5" xfId="1" applyNumberFormat="1" applyFont="1" applyFill="1" applyBorder="1" applyAlignment="1">
      <alignment vertical="center" wrapText="1"/>
    </xf>
    <xf numFmtId="166" fontId="18" fillId="8" borderId="5" xfId="1" applyNumberFormat="1" applyFont="1" applyFill="1" applyBorder="1" applyAlignment="1">
      <alignment vertical="center" wrapText="1"/>
    </xf>
    <xf numFmtId="166" fontId="19" fillId="8" borderId="5" xfId="1" applyNumberFormat="1" applyFont="1" applyFill="1" applyBorder="1" applyAlignment="1">
      <alignment vertical="center" wrapText="1"/>
    </xf>
    <xf numFmtId="3" fontId="10" fillId="8" borderId="8" xfId="1" applyNumberFormat="1" applyFont="1" applyFill="1" applyBorder="1" applyAlignment="1">
      <alignment vertical="center" wrapText="1"/>
    </xf>
    <xf numFmtId="38" fontId="10" fillId="8" borderId="5" xfId="1" applyNumberFormat="1" applyFont="1" applyFill="1" applyBorder="1" applyAlignment="1">
      <alignment vertical="center" wrapText="1"/>
    </xf>
    <xf numFmtId="166" fontId="13" fillId="8" borderId="5" xfId="1" applyNumberFormat="1" applyFont="1" applyFill="1" applyBorder="1" applyAlignment="1">
      <alignment vertical="center" wrapText="1"/>
    </xf>
    <xf numFmtId="166" fontId="10" fillId="8" borderId="5" xfId="1" applyNumberFormat="1" applyFont="1" applyFill="1" applyBorder="1" applyAlignment="1">
      <alignment horizontal="right" vertical="center" wrapText="1"/>
    </xf>
    <xf numFmtId="166" fontId="10" fillId="0" borderId="8" xfId="1" applyNumberFormat="1" applyFont="1" applyFill="1" applyBorder="1" applyAlignment="1">
      <alignment vertical="center" wrapText="1"/>
    </xf>
    <xf numFmtId="0" fontId="0" fillId="8" borderId="7" xfId="0" quotePrefix="1" applyFill="1" applyBorder="1" applyAlignment="1">
      <alignment horizontal="center" vertical="center"/>
    </xf>
    <xf numFmtId="0" fontId="0" fillId="8" borderId="7" xfId="0" quotePrefix="1" applyFill="1" applyBorder="1" applyAlignment="1">
      <alignment horizontal="center" vertical="center" wrapText="1"/>
    </xf>
    <xf numFmtId="0" fontId="0" fillId="8" borderId="7" xfId="0" applyFill="1" applyBorder="1" applyAlignment="1">
      <alignment vertical="center" wrapText="1"/>
    </xf>
    <xf numFmtId="166" fontId="0" fillId="8" borderId="7" xfId="1" applyNumberFormat="1" applyFont="1" applyFill="1" applyBorder="1" applyAlignment="1">
      <alignment vertical="center" wrapText="1"/>
    </xf>
    <xf numFmtId="166" fontId="10" fillId="8" borderId="7" xfId="1" applyNumberFormat="1" applyFont="1" applyFill="1" applyBorder="1" applyAlignment="1">
      <alignment vertical="center" wrapText="1"/>
    </xf>
    <xf numFmtId="166" fontId="18" fillId="8" borderId="7" xfId="1" applyNumberFormat="1" applyFont="1" applyFill="1" applyBorder="1" applyAlignment="1">
      <alignment vertical="center" wrapText="1"/>
    </xf>
    <xf numFmtId="3" fontId="10" fillId="8" borderId="7" xfId="1" applyNumberFormat="1" applyFont="1" applyFill="1" applyBorder="1" applyAlignment="1">
      <alignment vertical="center" wrapText="1"/>
    </xf>
    <xf numFmtId="38" fontId="10" fillId="8" borderId="7" xfId="1" applyNumberFormat="1" applyFont="1" applyFill="1" applyBorder="1" applyAlignment="1">
      <alignment vertical="center" wrapText="1"/>
    </xf>
    <xf numFmtId="167" fontId="10" fillId="8" borderId="7" xfId="3" applyNumberFormat="1" applyFont="1" applyFill="1" applyBorder="1" applyAlignment="1">
      <alignment vertical="center" wrapText="1"/>
    </xf>
    <xf numFmtId="166" fontId="19" fillId="8" borderId="7" xfId="1" applyNumberFormat="1" applyFont="1" applyFill="1" applyBorder="1" applyAlignment="1">
      <alignment vertical="center" wrapText="1"/>
    </xf>
    <xf numFmtId="0" fontId="20" fillId="7" borderId="1" xfId="0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vertical="center"/>
    </xf>
    <xf numFmtId="38" fontId="20" fillId="7" borderId="1" xfId="0" applyNumberFormat="1" applyFont="1" applyFill="1" applyBorder="1" applyAlignment="1">
      <alignment vertical="center"/>
    </xf>
    <xf numFmtId="167" fontId="20" fillId="7" borderId="1" xfId="3" applyNumberFormat="1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164" fontId="2" fillId="0" borderId="4" xfId="1" applyNumberFormat="1" applyFont="1" applyFill="1" applyBorder="1" applyAlignment="1">
      <alignment horizontal="center" vertical="center"/>
    </xf>
    <xf numFmtId="3" fontId="2" fillId="0" borderId="4" xfId="1" applyNumberFormat="1" applyFont="1" applyFill="1" applyBorder="1" applyAlignment="1">
      <alignment horizontal="right" vertical="center"/>
    </xf>
    <xf numFmtId="3" fontId="2" fillId="0" borderId="4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vertical="center"/>
    </xf>
    <xf numFmtId="165" fontId="2" fillId="0" borderId="5" xfId="0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4" fontId="2" fillId="0" borderId="5" xfId="0" applyNumberFormat="1" applyFont="1" applyBorder="1" applyAlignment="1">
      <alignment vertical="center" wrapText="1"/>
    </xf>
    <xf numFmtId="164" fontId="2" fillId="0" borderId="5" xfId="1" applyNumberFormat="1" applyFont="1" applyFill="1" applyBorder="1" applyAlignment="1">
      <alignment vertical="center" wrapText="1"/>
    </xf>
    <xf numFmtId="3" fontId="2" fillId="0" borderId="5" xfId="1" applyNumberFormat="1" applyFont="1" applyFill="1" applyBorder="1" applyAlignment="1">
      <alignment horizontal="right" vertical="center" wrapText="1"/>
    </xf>
    <xf numFmtId="3" fontId="2" fillId="0" borderId="5" xfId="0" applyNumberFormat="1" applyFont="1" applyBorder="1" applyAlignment="1">
      <alignment vertical="center" wrapText="1"/>
    </xf>
    <xf numFmtId="164" fontId="2" fillId="0" borderId="5" xfId="1" applyNumberFormat="1" applyFont="1" applyFill="1" applyBorder="1" applyAlignment="1">
      <alignment vertical="center"/>
    </xf>
    <xf numFmtId="3" fontId="2" fillId="0" borderId="5" xfId="1" applyNumberFormat="1" applyFont="1" applyFill="1" applyBorder="1" applyAlignment="1">
      <alignment horizontal="right" vertical="center"/>
    </xf>
    <xf numFmtId="3" fontId="2" fillId="0" borderId="5" xfId="0" applyNumberFormat="1" applyFont="1" applyBorder="1" applyAlignment="1">
      <alignment vertical="center"/>
    </xf>
    <xf numFmtId="3" fontId="2" fillId="0" borderId="5" xfId="1" applyNumberFormat="1" applyFont="1" applyFill="1" applyBorder="1" applyAlignment="1">
      <alignment vertical="center"/>
    </xf>
    <xf numFmtId="4" fontId="3" fillId="0" borderId="5" xfId="0" applyNumberFormat="1" applyFont="1" applyBorder="1" applyAlignment="1">
      <alignment vertical="center" wrapText="1"/>
    </xf>
    <xf numFmtId="164" fontId="8" fillId="0" borderId="5" xfId="1" applyNumberFormat="1" applyFont="1" applyFill="1" applyBorder="1" applyAlignment="1">
      <alignment vertical="center" wrapText="1"/>
    </xf>
    <xf numFmtId="3" fontId="8" fillId="0" borderId="5" xfId="1" applyNumberFormat="1" applyFont="1" applyFill="1" applyBorder="1" applyAlignment="1">
      <alignment horizontal="right" vertical="center" wrapText="1"/>
    </xf>
    <xf numFmtId="3" fontId="8" fillId="0" borderId="5" xfId="1" applyNumberFormat="1" applyFont="1" applyFill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3" fontId="3" fillId="0" borderId="5" xfId="0" applyNumberFormat="1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4" fontId="2" fillId="0" borderId="5" xfId="0" applyNumberFormat="1" applyFont="1" applyBorder="1" applyAlignment="1">
      <alignment horizontal="left" vertical="center" wrapText="1"/>
    </xf>
    <xf numFmtId="164" fontId="2" fillId="0" borderId="5" xfId="1" applyNumberFormat="1" applyFont="1" applyFill="1" applyBorder="1" applyAlignment="1">
      <alignment horizontal="left" vertical="center"/>
    </xf>
    <xf numFmtId="1" fontId="2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1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1" applyNumberFormat="1" applyFont="1" applyFill="1" applyBorder="1" applyAlignment="1">
      <alignment vertical="center"/>
    </xf>
    <xf numFmtId="3" fontId="2" fillId="0" borderId="6" xfId="1" applyNumberFormat="1" applyFont="1" applyFill="1" applyBorder="1" applyAlignment="1">
      <alignment horizontal="right" vertical="center"/>
    </xf>
    <xf numFmtId="3" fontId="2" fillId="0" borderId="6" xfId="1" applyNumberFormat="1" applyFont="1" applyFill="1" applyBorder="1" applyAlignment="1">
      <alignment vertical="center"/>
    </xf>
    <xf numFmtId="165" fontId="2" fillId="0" borderId="6" xfId="0" applyNumberFormat="1" applyFont="1" applyBorder="1" applyAlignment="1">
      <alignment vertical="center"/>
    </xf>
    <xf numFmtId="0" fontId="5" fillId="0" borderId="0" xfId="0" applyFont="1"/>
    <xf numFmtId="0" fontId="21" fillId="0" borderId="0" xfId="0" applyFont="1"/>
    <xf numFmtId="0" fontId="6" fillId="4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164" fontId="3" fillId="9" borderId="4" xfId="1" applyNumberFormat="1" applyFont="1" applyFill="1" applyBorder="1" applyAlignment="1">
      <alignment horizontal="right" vertical="center" wrapText="1"/>
    </xf>
    <xf numFmtId="164" fontId="3" fillId="9" borderId="5" xfId="1" applyNumberFormat="1" applyFont="1" applyFill="1" applyBorder="1" applyAlignment="1">
      <alignment horizontal="right" vertical="center" wrapText="1"/>
    </xf>
    <xf numFmtId="164" fontId="3" fillId="9" borderId="6" xfId="1" applyNumberFormat="1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4" fillId="0" borderId="4" xfId="0" quotePrefix="1" applyFont="1" applyBorder="1" applyAlignment="1">
      <alignment horizontal="center" vertical="center"/>
    </xf>
    <xf numFmtId="164" fontId="2" fillId="0" borderId="4" xfId="1" applyNumberFormat="1" applyFont="1" applyFill="1" applyBorder="1" applyAlignment="1">
      <alignment vertical="center" wrapText="1"/>
    </xf>
    <xf numFmtId="3" fontId="2" fillId="0" borderId="4" xfId="1" applyNumberFormat="1" applyFont="1" applyFill="1" applyBorder="1" applyAlignment="1">
      <alignment vertical="center" wrapText="1"/>
    </xf>
    <xf numFmtId="41" fontId="24" fillId="0" borderId="4" xfId="2" quotePrefix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164" fontId="2" fillId="0" borderId="0" xfId="1" applyNumberFormat="1" applyFont="1" applyAlignment="1">
      <alignment horizontal="left" vertical="center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5"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E86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69850</xdr:rowOff>
    </xdr:from>
    <xdr:to>
      <xdr:col>17</xdr:col>
      <xdr:colOff>233994</xdr:colOff>
      <xdr:row>21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B9A298-5958-4C8A-67D2-B4DCE7057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254000"/>
          <a:ext cx="10584494" cy="3714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574675</xdr:colOff>
      <xdr:row>0</xdr:row>
      <xdr:rowOff>146050</xdr:rowOff>
    </xdr:from>
    <xdr:to>
      <xdr:col>33</xdr:col>
      <xdr:colOff>295186</xdr:colOff>
      <xdr:row>58</xdr:row>
      <xdr:rowOff>12344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D1C312-64C1-4004-896B-1B35137F0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8675" y="146050"/>
          <a:ext cx="10693311" cy="105469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120650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17C8E17-0D38-485A-B5D4-7499527AB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120650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A0505BBA-CA12-45BA-8EAE-0B7DEF51E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393700</xdr:colOff>
      <xdr:row>0</xdr:row>
      <xdr:rowOff>171451</xdr:rowOff>
    </xdr:from>
    <xdr:to>
      <xdr:col>15</xdr:col>
      <xdr:colOff>393700</xdr:colOff>
      <xdr:row>25</xdr:row>
      <xdr:rowOff>19476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784379-57D1-46CF-91CE-7EF056C7E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3700" y="171451"/>
          <a:ext cx="9144000" cy="445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A446-BA40-4877-9CB1-39F4892F55A8}">
  <sheetPr>
    <tabColor rgb="FF00B050"/>
  </sheetPr>
  <dimension ref="A1:X13"/>
  <sheetViews>
    <sheetView showGridLines="0" topLeftCell="C2" zoomScale="85" zoomScaleNormal="85" workbookViewId="0">
      <selection activeCell="M11" sqref="M11"/>
    </sheetView>
  </sheetViews>
  <sheetFormatPr defaultRowHeight="14.5" x14ac:dyDescent="0.35"/>
  <cols>
    <col min="1" max="1" width="4.7265625" customWidth="1"/>
    <col min="2" max="2" width="15.54296875" style="1" hidden="1" customWidth="1"/>
    <col min="3" max="3" width="15" customWidth="1"/>
    <col min="4" max="4" width="23.1796875" customWidth="1"/>
    <col min="5" max="5" width="18.08984375" hidden="1" customWidth="1"/>
    <col min="6" max="6" width="16.7265625" hidden="1" customWidth="1"/>
    <col min="7" max="7" width="16.7265625" customWidth="1"/>
    <col min="8" max="10" width="20.26953125" customWidth="1"/>
    <col min="11" max="11" width="16" customWidth="1"/>
    <col min="12" max="12" width="16.08984375" bestFit="1" customWidth="1"/>
    <col min="13" max="13" width="16.08984375" customWidth="1"/>
    <col min="14" max="14" width="19.453125" customWidth="1"/>
    <col min="15" max="15" width="26.1796875" customWidth="1"/>
    <col min="16" max="16" width="53" customWidth="1"/>
  </cols>
  <sheetData>
    <row r="1" spans="1:24" ht="34.5" customHeight="1" x14ac:dyDescent="0.35">
      <c r="A1" s="5"/>
      <c r="C1" s="3" t="s">
        <v>52</v>
      </c>
      <c r="D1" s="3"/>
      <c r="E1" s="3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1" customFormat="1" ht="23.15" customHeight="1" x14ac:dyDescent="0.35">
      <c r="A2" s="4"/>
      <c r="B2" s="3"/>
      <c r="C2" s="4"/>
      <c r="D2" s="3"/>
      <c r="E2" s="3"/>
      <c r="F2" s="3"/>
      <c r="G2" s="6"/>
      <c r="H2" s="6"/>
      <c r="I2" s="6"/>
      <c r="J2" s="6"/>
      <c r="K2" s="6"/>
      <c r="L2" s="7" t="s">
        <v>45</v>
      </c>
      <c r="M2" s="7"/>
      <c r="N2" s="6"/>
      <c r="O2" s="7" t="s">
        <v>54</v>
      </c>
      <c r="P2" s="6"/>
      <c r="Q2" s="6"/>
      <c r="R2" s="6"/>
      <c r="S2" s="6"/>
      <c r="T2" s="6"/>
      <c r="U2" s="6"/>
      <c r="V2" s="6"/>
      <c r="W2" s="6"/>
      <c r="X2" s="6"/>
    </row>
    <row r="3" spans="1:24" s="1" customFormat="1" ht="23.15" customHeight="1" x14ac:dyDescent="0.5">
      <c r="B3" s="3"/>
      <c r="C3" s="110" t="s">
        <v>50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6"/>
      <c r="R3" s="6"/>
      <c r="S3" s="6"/>
      <c r="T3" s="6"/>
      <c r="U3" s="6"/>
      <c r="V3" s="6"/>
      <c r="W3" s="6"/>
      <c r="X3" s="6"/>
    </row>
    <row r="4" spans="1:24" s="1" customFormat="1" ht="23.15" customHeight="1" x14ac:dyDescent="0.35">
      <c r="A4" s="16"/>
      <c r="B4" s="16"/>
      <c r="C4" s="16"/>
      <c r="D4" s="16"/>
      <c r="E4" s="16"/>
      <c r="F4" s="16"/>
      <c r="G4" s="16"/>
      <c r="H4" s="16"/>
      <c r="I4" s="16"/>
      <c r="J4" s="17"/>
      <c r="K4" s="18"/>
      <c r="L4" s="16"/>
      <c r="M4" s="16"/>
      <c r="N4" s="16"/>
      <c r="O4" s="16"/>
      <c r="P4" s="16"/>
      <c r="Q4" s="6"/>
      <c r="R4" s="6"/>
      <c r="S4" s="6"/>
      <c r="T4" s="6"/>
      <c r="U4" s="6"/>
      <c r="V4" s="6"/>
      <c r="W4" s="6"/>
      <c r="X4" s="6"/>
    </row>
    <row r="5" spans="1:24" s="1" customFormat="1" ht="44.5" customHeight="1" x14ac:dyDescent="0.35">
      <c r="A5" s="10" t="s">
        <v>38</v>
      </c>
      <c r="B5" s="11" t="s">
        <v>0</v>
      </c>
      <c r="C5" s="12" t="s">
        <v>1</v>
      </c>
      <c r="D5" s="11" t="s">
        <v>2</v>
      </c>
      <c r="E5" s="11" t="s">
        <v>112</v>
      </c>
      <c r="F5" s="14" t="s">
        <v>115</v>
      </c>
      <c r="G5" s="14" t="s">
        <v>3</v>
      </c>
      <c r="H5" s="14" t="s">
        <v>71</v>
      </c>
      <c r="I5" s="14" t="s">
        <v>72</v>
      </c>
      <c r="J5" s="14" t="s">
        <v>73</v>
      </c>
      <c r="K5" s="14" t="s">
        <v>70</v>
      </c>
      <c r="L5" s="112" t="s">
        <v>109</v>
      </c>
      <c r="M5" s="112"/>
      <c r="N5" s="9" t="s">
        <v>53</v>
      </c>
      <c r="O5" s="13" t="s">
        <v>24</v>
      </c>
      <c r="P5" s="15" t="s">
        <v>4</v>
      </c>
      <c r="Q5" s="6"/>
      <c r="R5" s="6"/>
      <c r="S5" s="6"/>
      <c r="T5" s="6"/>
      <c r="U5" s="6"/>
      <c r="V5" s="6"/>
      <c r="W5" s="6"/>
      <c r="X5" s="6"/>
    </row>
    <row r="6" spans="1:24" s="1" customFormat="1" ht="31" x14ac:dyDescent="0.35">
      <c r="A6" s="69">
        <v>1</v>
      </c>
      <c r="B6" s="67" t="s">
        <v>14</v>
      </c>
      <c r="C6" s="68">
        <v>110000436</v>
      </c>
      <c r="D6" s="120" t="s">
        <v>15</v>
      </c>
      <c r="E6" s="120" t="s">
        <v>113</v>
      </c>
      <c r="F6" s="121" t="s">
        <v>114</v>
      </c>
      <c r="G6" s="120"/>
      <c r="H6" s="122">
        <v>40.871699999999997</v>
      </c>
      <c r="I6" s="122">
        <v>28430</v>
      </c>
      <c r="J6" s="123">
        <v>23831</v>
      </c>
      <c r="K6" s="123"/>
      <c r="L6" s="124">
        <f>800*26.3</f>
        <v>21040</v>
      </c>
      <c r="M6" s="34" t="s">
        <v>97</v>
      </c>
      <c r="N6" s="67"/>
      <c r="O6" s="67"/>
      <c r="P6" s="120" t="s">
        <v>36</v>
      </c>
      <c r="Q6" s="6"/>
      <c r="R6" s="6"/>
      <c r="S6" s="6"/>
      <c r="T6" s="6"/>
      <c r="U6" s="6"/>
      <c r="V6" s="6"/>
      <c r="W6" s="6"/>
      <c r="X6" s="6"/>
    </row>
    <row r="7" spans="1:24" s="1" customFormat="1" ht="34" customHeight="1" x14ac:dyDescent="0.35">
      <c r="A7" s="80">
        <v>2</v>
      </c>
      <c r="B7" s="77" t="s">
        <v>27</v>
      </c>
      <c r="C7" s="78">
        <v>160012801</v>
      </c>
      <c r="D7" s="79" t="s">
        <v>12</v>
      </c>
      <c r="E7" s="79"/>
      <c r="F7" s="79"/>
      <c r="G7" s="77" t="s">
        <v>35</v>
      </c>
      <c r="H7" s="85">
        <v>135.76499999999999</v>
      </c>
      <c r="I7" s="85">
        <v>25647</v>
      </c>
      <c r="J7" s="88">
        <v>8000</v>
      </c>
      <c r="K7" s="88"/>
      <c r="L7" s="88">
        <f>_xlfn.XLOOKUP(C7,'Giá TGĐ duyệt'!$B$5:$B$16,'Giá TGĐ duyệt'!$I$5:$I$16,0)</f>
        <v>14000</v>
      </c>
      <c r="M7" s="88"/>
      <c r="N7" s="77"/>
      <c r="O7" s="77">
        <v>15000</v>
      </c>
      <c r="P7" s="77" t="s">
        <v>37</v>
      </c>
      <c r="Q7" s="6"/>
      <c r="R7" s="6"/>
      <c r="S7" s="6"/>
      <c r="T7" s="6"/>
      <c r="U7" s="6"/>
      <c r="V7" s="6"/>
      <c r="W7" s="6"/>
      <c r="X7" s="6"/>
    </row>
    <row r="8" spans="1:24" s="1" customFormat="1" ht="35.15" customHeight="1" x14ac:dyDescent="0.35">
      <c r="A8" s="80">
        <v>3</v>
      </c>
      <c r="B8" s="77" t="s">
        <v>27</v>
      </c>
      <c r="C8" s="78">
        <v>160012956</v>
      </c>
      <c r="D8" s="79" t="s">
        <v>13</v>
      </c>
      <c r="E8" s="79"/>
      <c r="F8" s="79"/>
      <c r="G8" s="77" t="s">
        <v>35</v>
      </c>
      <c r="H8" s="85">
        <v>109.199</v>
      </c>
      <c r="I8" s="85">
        <v>8041</v>
      </c>
      <c r="J8" s="88">
        <v>7500</v>
      </c>
      <c r="K8" s="88"/>
      <c r="L8" s="88">
        <f>_xlfn.XLOOKUP(C8,'Giá TGĐ duyệt'!$B$5:$B$16,'Giá TGĐ duyệt'!$I$5:$I$16,0)</f>
        <v>11111.1111</v>
      </c>
      <c r="M8" s="88"/>
      <c r="N8" s="77"/>
      <c r="O8" s="77"/>
      <c r="P8" s="77" t="s">
        <v>37</v>
      </c>
      <c r="Q8" s="6"/>
      <c r="R8" s="6"/>
      <c r="S8" s="6"/>
      <c r="T8" s="6"/>
      <c r="U8" s="6"/>
      <c r="V8" s="6"/>
      <c r="W8" s="6"/>
      <c r="X8" s="6"/>
    </row>
    <row r="9" spans="1:24" s="1" customFormat="1" ht="31" customHeight="1" x14ac:dyDescent="0.35">
      <c r="A9" s="80">
        <v>4</v>
      </c>
      <c r="B9" s="77" t="s">
        <v>20</v>
      </c>
      <c r="C9" s="78">
        <v>110000431</v>
      </c>
      <c r="D9" s="79" t="s">
        <v>7</v>
      </c>
      <c r="E9" s="79"/>
      <c r="F9" s="79"/>
      <c r="G9" s="77"/>
      <c r="H9" s="85">
        <v>22.952000000000002</v>
      </c>
      <c r="I9" s="85">
        <v>20040</v>
      </c>
      <c r="J9" s="88">
        <v>13783</v>
      </c>
      <c r="K9" s="88">
        <v>1130</v>
      </c>
      <c r="L9" s="88">
        <f>_xlfn.XLOOKUP(C9,'Giá TGĐ duyệt'!$B$5:$B$16,'Giá TGĐ duyệt'!$I$5:$I$16,0)</f>
        <v>17800</v>
      </c>
      <c r="M9" s="88">
        <v>670</v>
      </c>
      <c r="N9" s="77"/>
      <c r="O9" s="77"/>
      <c r="P9" s="79" t="s">
        <v>47</v>
      </c>
      <c r="Q9" s="6"/>
      <c r="R9" s="6"/>
      <c r="S9" s="6"/>
      <c r="T9" s="6"/>
      <c r="U9" s="6"/>
      <c r="V9" s="6"/>
      <c r="W9" s="6"/>
      <c r="X9" s="6"/>
    </row>
    <row r="10" spans="1:24" s="1" customFormat="1" ht="77.5" x14ac:dyDescent="0.35">
      <c r="A10" s="80">
        <v>5</v>
      </c>
      <c r="B10" s="77" t="s">
        <v>25</v>
      </c>
      <c r="C10" s="78">
        <v>110000341</v>
      </c>
      <c r="D10" s="79" t="s">
        <v>8</v>
      </c>
      <c r="E10" s="79"/>
      <c r="F10" s="79"/>
      <c r="G10" s="77"/>
      <c r="H10" s="85">
        <v>111.8005</v>
      </c>
      <c r="I10" s="85">
        <v>20412</v>
      </c>
      <c r="J10" s="88">
        <v>16177</v>
      </c>
      <c r="K10" s="88">
        <v>1350</v>
      </c>
      <c r="L10" s="88">
        <f>_xlfn.XLOOKUP(C10,'Giá TGĐ duyệt'!$B$5:$B$16,'Giá TGĐ duyệt'!$I$5:$I$16,0)</f>
        <v>17800</v>
      </c>
      <c r="M10" s="88">
        <v>670</v>
      </c>
      <c r="N10" s="77"/>
      <c r="O10" s="77"/>
      <c r="P10" s="79" t="s">
        <v>46</v>
      </c>
      <c r="Q10" s="6"/>
      <c r="R10" s="6"/>
      <c r="S10" s="6"/>
      <c r="T10" s="6"/>
      <c r="U10" s="6"/>
      <c r="V10" s="6"/>
      <c r="W10" s="6"/>
      <c r="X10" s="6"/>
    </row>
    <row r="11" spans="1:24" s="1" customFormat="1" ht="31" x14ac:dyDescent="0.35">
      <c r="A11" s="80">
        <v>6</v>
      </c>
      <c r="B11" s="77" t="s">
        <v>26</v>
      </c>
      <c r="C11" s="78">
        <v>160012951</v>
      </c>
      <c r="D11" s="79" t="s">
        <v>9</v>
      </c>
      <c r="E11" s="79"/>
      <c r="F11" s="79"/>
      <c r="G11" s="77"/>
      <c r="H11" s="85">
        <v>43.3</v>
      </c>
      <c r="I11" s="85">
        <v>8239</v>
      </c>
      <c r="J11" s="88">
        <v>8000</v>
      </c>
      <c r="K11" s="88"/>
      <c r="L11" s="88">
        <f>_xlfn.XLOOKUP(C11,'Giá TGĐ duyệt'!$B$5:$B$16,'Giá TGĐ duyệt'!$I$5:$I$16,0)</f>
        <v>13000</v>
      </c>
      <c r="M11" s="88"/>
      <c r="N11" s="77"/>
      <c r="O11" s="77"/>
      <c r="P11" s="77" t="s">
        <v>37</v>
      </c>
      <c r="Q11" s="6"/>
      <c r="R11" s="6"/>
      <c r="S11" s="6"/>
      <c r="T11" s="6"/>
      <c r="U11" s="6"/>
      <c r="V11" s="6"/>
      <c r="W11" s="6"/>
      <c r="X11" s="6"/>
    </row>
    <row r="12" spans="1:24" s="1" customFormat="1" ht="20.5" customHeight="1" x14ac:dyDescent="0.35">
      <c r="A12" s="80">
        <v>7</v>
      </c>
      <c r="B12" s="77" t="s">
        <v>26</v>
      </c>
      <c r="C12" s="78">
        <v>160012611</v>
      </c>
      <c r="D12" s="79" t="s">
        <v>10</v>
      </c>
      <c r="E12" s="79"/>
      <c r="F12" s="79"/>
      <c r="G12" s="77"/>
      <c r="H12" s="85">
        <v>143.368594</v>
      </c>
      <c r="I12" s="85">
        <v>4840</v>
      </c>
      <c r="J12" s="88">
        <v>4000</v>
      </c>
      <c r="K12" s="88"/>
      <c r="L12" s="88">
        <f>_xlfn.XLOOKUP(C12,'Giá TGĐ duyệt'!$B$5:$B$16,'Giá TGĐ duyệt'!$I$5:$I$16,0)</f>
        <v>13000</v>
      </c>
      <c r="M12" s="88"/>
      <c r="N12" s="77"/>
      <c r="O12" s="77"/>
      <c r="P12" s="77" t="s">
        <v>37</v>
      </c>
      <c r="Q12" s="6"/>
      <c r="R12" s="6"/>
      <c r="S12" s="6"/>
      <c r="T12" s="6"/>
      <c r="U12" s="6"/>
      <c r="V12" s="6"/>
      <c r="W12" s="6"/>
      <c r="X12" s="6"/>
    </row>
    <row r="13" spans="1:24" s="1" customFormat="1" ht="31" x14ac:dyDescent="0.35">
      <c r="A13" s="104">
        <v>8</v>
      </c>
      <c r="B13" s="100" t="s">
        <v>26</v>
      </c>
      <c r="C13" s="101">
        <v>160012974</v>
      </c>
      <c r="D13" s="102" t="s">
        <v>11</v>
      </c>
      <c r="E13" s="102"/>
      <c r="F13" s="102"/>
      <c r="G13" s="100"/>
      <c r="H13" s="105">
        <v>50.423000000000002</v>
      </c>
      <c r="I13" s="105">
        <v>16810</v>
      </c>
      <c r="J13" s="107">
        <v>14163</v>
      </c>
      <c r="K13" s="107"/>
      <c r="L13" s="107">
        <f>_xlfn.XLOOKUP(C13,'Giá TGĐ duyệt'!$B$5:$B$16,'Giá TGĐ duyệt'!$I$5:$I$16,0)</f>
        <v>13000</v>
      </c>
      <c r="M13" s="107"/>
      <c r="N13" s="100"/>
      <c r="O13" s="100"/>
      <c r="P13" s="100" t="s">
        <v>37</v>
      </c>
      <c r="Q13" s="6"/>
      <c r="R13" s="6"/>
      <c r="S13" s="6"/>
      <c r="T13" s="6"/>
      <c r="U13" s="6"/>
      <c r="V13" s="6"/>
      <c r="W13" s="6"/>
      <c r="X13" s="6"/>
    </row>
  </sheetData>
  <conditionalFormatting sqref="C2 C4:C1048576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4E92-259C-4CE7-9880-39E86F0A7E50}">
  <sheetPr>
    <tabColor rgb="FF00B050"/>
  </sheetPr>
  <dimension ref="A1:O38"/>
  <sheetViews>
    <sheetView showGridLines="0" tabSelected="1" zoomScale="85" zoomScaleNormal="85" workbookViewId="0">
      <pane xSplit="7" ySplit="5" topLeftCell="H6" activePane="bottomRight" state="frozen"/>
      <selection activeCell="D10" sqref="D10"/>
      <selection pane="topRight" activeCell="D10" sqref="D10"/>
      <selection pane="bottomLeft" activeCell="D10" sqref="D10"/>
      <selection pane="bottomRight" activeCell="L2" sqref="L2"/>
    </sheetView>
  </sheetViews>
  <sheetFormatPr defaultRowHeight="16.5" customHeight="1" outlineLevelCol="1" x14ac:dyDescent="0.35"/>
  <cols>
    <col min="1" max="1" width="5.453125" customWidth="1"/>
    <col min="2" max="2" width="14.81640625" style="1" hidden="1" customWidth="1"/>
    <col min="3" max="3" width="13.1796875" customWidth="1"/>
    <col min="4" max="4" width="38.453125" customWidth="1"/>
    <col min="5" max="5" width="13.54296875" style="2" customWidth="1"/>
    <col min="6" max="6" width="15.54296875" style="2" customWidth="1"/>
    <col min="7" max="7" width="20.26953125" hidden="1" customWidth="1" outlineLevel="1"/>
    <col min="8" max="8" width="18.54296875" customWidth="1" collapsed="1"/>
    <col min="9" max="9" width="13.453125" customWidth="1"/>
    <col min="10" max="10" width="20.26953125" hidden="1" customWidth="1" outlineLevel="1"/>
    <col min="11" max="11" width="15.54296875" customWidth="1" collapsed="1"/>
    <col min="12" max="13" width="16.54296875" customWidth="1"/>
    <col min="14" max="15" width="13.54296875" customWidth="1"/>
  </cols>
  <sheetData>
    <row r="1" spans="1:15" ht="16.5" customHeight="1" x14ac:dyDescent="0.35">
      <c r="B1" s="3" t="s">
        <v>48</v>
      </c>
      <c r="C1" s="4"/>
      <c r="D1" s="3"/>
      <c r="E1" s="8"/>
      <c r="F1" s="8"/>
      <c r="G1" s="5"/>
      <c r="H1" s="5"/>
      <c r="I1" s="5"/>
      <c r="J1" s="5"/>
      <c r="K1" s="5"/>
      <c r="L1" s="5"/>
      <c r="M1" s="5"/>
      <c r="N1" s="5"/>
      <c r="O1" s="5"/>
    </row>
    <row r="2" spans="1:15" ht="21" x14ac:dyDescent="0.5">
      <c r="B2" s="3" t="s">
        <v>5</v>
      </c>
      <c r="C2" s="4"/>
      <c r="D2" s="110" t="s">
        <v>49</v>
      </c>
      <c r="E2" s="8"/>
      <c r="F2" s="8"/>
      <c r="G2" s="5"/>
      <c r="H2" s="5"/>
      <c r="I2" s="5"/>
      <c r="J2" s="5"/>
      <c r="K2" s="126" t="s">
        <v>80</v>
      </c>
      <c r="L2" s="127">
        <v>26300</v>
      </c>
      <c r="M2" s="5"/>
      <c r="N2" s="5"/>
      <c r="O2" s="5"/>
    </row>
    <row r="3" spans="1:15" ht="16.5" customHeight="1" x14ac:dyDescent="0.45">
      <c r="B3" s="109"/>
      <c r="C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</row>
    <row r="4" spans="1:15" s="1" customFormat="1" ht="16.5" customHeight="1" x14ac:dyDescent="0.35">
      <c r="B4" s="3"/>
      <c r="C4" s="4"/>
      <c r="D4" s="125" t="s">
        <v>116</v>
      </c>
      <c r="E4" s="20">
        <f>SUM(E6:E35)</f>
        <v>1615.0309999999997</v>
      </c>
      <c r="F4" s="65"/>
      <c r="G4" s="6"/>
      <c r="H4" s="20">
        <f>SUM(H6:H35)</f>
        <v>1919.4926940000003</v>
      </c>
      <c r="I4" s="6"/>
      <c r="J4" s="6"/>
      <c r="K4" s="6"/>
      <c r="M4" s="19"/>
      <c r="N4" s="19"/>
      <c r="O4" s="20">
        <f>SUM(O6:O35)</f>
        <v>6201.1818519999988</v>
      </c>
    </row>
    <row r="5" spans="1:15" s="114" customFormat="1" ht="54.5" customHeight="1" x14ac:dyDescent="0.35">
      <c r="A5" s="111" t="s">
        <v>38</v>
      </c>
      <c r="B5" s="111" t="s">
        <v>0</v>
      </c>
      <c r="C5" s="111" t="s">
        <v>1</v>
      </c>
      <c r="D5" s="111" t="s">
        <v>2</v>
      </c>
      <c r="E5" s="113" t="s">
        <v>111</v>
      </c>
      <c r="F5" s="111" t="s">
        <v>18</v>
      </c>
      <c r="G5" s="111" t="s">
        <v>51</v>
      </c>
      <c r="H5" s="111" t="s">
        <v>71</v>
      </c>
      <c r="I5" s="112" t="s">
        <v>72</v>
      </c>
      <c r="J5" s="111" t="s">
        <v>73</v>
      </c>
      <c r="K5" s="111" t="s">
        <v>110</v>
      </c>
      <c r="L5" s="112" t="s">
        <v>74</v>
      </c>
      <c r="M5" s="112" t="s">
        <v>109</v>
      </c>
      <c r="N5" s="113" t="s">
        <v>75</v>
      </c>
      <c r="O5" s="113" t="s">
        <v>77</v>
      </c>
    </row>
    <row r="6" spans="1:15" s="1" customFormat="1" ht="16.5" customHeight="1" x14ac:dyDescent="0.35">
      <c r="A6" s="66">
        <v>1</v>
      </c>
      <c r="B6" s="67" t="s">
        <v>14</v>
      </c>
      <c r="C6" s="68">
        <v>110000464</v>
      </c>
      <c r="D6" s="68" t="s">
        <v>16</v>
      </c>
      <c r="E6" s="69">
        <v>114</v>
      </c>
      <c r="F6" s="69" t="s">
        <v>19</v>
      </c>
      <c r="G6" s="70"/>
      <c r="H6" s="71">
        <v>103.79049999999999</v>
      </c>
      <c r="I6" s="71">
        <v>18765</v>
      </c>
      <c r="J6" s="72">
        <v>12803</v>
      </c>
      <c r="K6" s="73"/>
      <c r="L6" s="115">
        <f>K6*$L$2/10^3</f>
        <v>0</v>
      </c>
      <c r="M6" s="115">
        <f>_xlfn.XLOOKUP(C6,'Giá TGĐ duyệt'!$B$5:$B$16,'Giá TGĐ duyệt'!$I$5:$I$16,0)</f>
        <v>20700</v>
      </c>
      <c r="N6" s="74">
        <f t="shared" ref="N6:N35" si="0">IF(M6&lt;&gt;0,M6-I6,L6-I6)/10^3</f>
        <v>1.9350000000000001</v>
      </c>
      <c r="O6" s="74">
        <f t="shared" ref="O6:O35" si="1">N6*E6</f>
        <v>220.59</v>
      </c>
    </row>
    <row r="7" spans="1:15" s="1" customFormat="1" ht="16.5" customHeight="1" x14ac:dyDescent="0.35">
      <c r="A7" s="76">
        <v>2</v>
      </c>
      <c r="B7" s="77" t="s">
        <v>14</v>
      </c>
      <c r="C7" s="78">
        <v>110000381</v>
      </c>
      <c r="D7" s="79" t="s">
        <v>17</v>
      </c>
      <c r="E7" s="80">
        <v>196</v>
      </c>
      <c r="F7" s="80" t="s">
        <v>23</v>
      </c>
      <c r="G7" s="81"/>
      <c r="H7" s="82">
        <v>219.28920000000002</v>
      </c>
      <c r="I7" s="82">
        <v>28486</v>
      </c>
      <c r="J7" s="83">
        <v>17438</v>
      </c>
      <c r="K7" s="84">
        <f t="shared" ref="K7:K8" si="2">1350-130</f>
        <v>1220</v>
      </c>
      <c r="L7" s="116">
        <f>K7*$L$2/10^3</f>
        <v>32086</v>
      </c>
      <c r="M7" s="116">
        <f>_xlfn.XLOOKUP(C7,'Giá TGĐ duyệt'!$B$5:$B$16,'Giá TGĐ duyệt'!$I$5:$I$16,0)</f>
        <v>0</v>
      </c>
      <c r="N7" s="75">
        <f t="shared" si="0"/>
        <v>3.6</v>
      </c>
      <c r="O7" s="75">
        <f t="shared" si="1"/>
        <v>705.6</v>
      </c>
    </row>
    <row r="8" spans="1:15" s="1" customFormat="1" ht="16.5" customHeight="1" x14ac:dyDescent="0.35">
      <c r="A8" s="76">
        <v>3</v>
      </c>
      <c r="B8" s="77" t="s">
        <v>14</v>
      </c>
      <c r="C8" s="78">
        <v>110000382</v>
      </c>
      <c r="D8" s="79" t="s">
        <v>21</v>
      </c>
      <c r="E8" s="80">
        <v>6</v>
      </c>
      <c r="F8" s="80" t="s">
        <v>22</v>
      </c>
      <c r="G8" s="81"/>
      <c r="H8" s="82">
        <v>7.3487</v>
      </c>
      <c r="I8" s="82">
        <v>30162</v>
      </c>
      <c r="J8" s="83">
        <v>14273</v>
      </c>
      <c r="K8" s="84">
        <f t="shared" si="2"/>
        <v>1220</v>
      </c>
      <c r="L8" s="116">
        <f>K8*$L$2/10^3</f>
        <v>32086</v>
      </c>
      <c r="M8" s="116">
        <f>_xlfn.XLOOKUP(C8,'Giá TGĐ duyệt'!$B$5:$B$16,'Giá TGĐ duyệt'!$I$5:$I$16,0)</f>
        <v>0</v>
      </c>
      <c r="N8" s="75">
        <f t="shared" si="0"/>
        <v>1.9239999999999999</v>
      </c>
      <c r="O8" s="75">
        <f t="shared" si="1"/>
        <v>11.544</v>
      </c>
    </row>
    <row r="9" spans="1:15" ht="16.5" customHeight="1" x14ac:dyDescent="0.35">
      <c r="A9" s="76">
        <v>4</v>
      </c>
      <c r="B9" s="77" t="s">
        <v>27</v>
      </c>
      <c r="C9" s="78">
        <v>160012801</v>
      </c>
      <c r="D9" s="79" t="s">
        <v>12</v>
      </c>
      <c r="E9" s="80">
        <v>104</v>
      </c>
      <c r="F9" s="80" t="s">
        <v>28</v>
      </c>
      <c r="G9" s="81"/>
      <c r="H9" s="85">
        <v>135.76499999999999</v>
      </c>
      <c r="I9" s="85">
        <v>25647</v>
      </c>
      <c r="J9" s="86">
        <v>8000</v>
      </c>
      <c r="K9" s="87"/>
      <c r="L9" s="116">
        <f>K9*$L$2/10^3</f>
        <v>0</v>
      </c>
      <c r="M9" s="116">
        <f>_xlfn.XLOOKUP(C9,'Giá TGĐ duyệt'!$B$5:$B$16,'Giá TGĐ duyệt'!$I$5:$I$16,0)</f>
        <v>14000</v>
      </c>
      <c r="N9" s="75">
        <f t="shared" si="0"/>
        <v>-11.647</v>
      </c>
      <c r="O9" s="75">
        <f t="shared" si="1"/>
        <v>-1211.288</v>
      </c>
    </row>
    <row r="10" spans="1:15" ht="16.5" customHeight="1" x14ac:dyDescent="0.35">
      <c r="A10" s="76">
        <v>5</v>
      </c>
      <c r="B10" s="77" t="s">
        <v>27</v>
      </c>
      <c r="C10" s="78">
        <v>160012956</v>
      </c>
      <c r="D10" s="79" t="s">
        <v>13</v>
      </c>
      <c r="E10" s="80">
        <v>100</v>
      </c>
      <c r="F10" s="80" t="s">
        <v>28</v>
      </c>
      <c r="G10" s="81"/>
      <c r="H10" s="85">
        <v>109.199</v>
      </c>
      <c r="I10" s="85">
        <v>8041</v>
      </c>
      <c r="J10" s="86">
        <v>7500</v>
      </c>
      <c r="K10" s="87"/>
      <c r="L10" s="116">
        <f>K10*$L$2/10^3</f>
        <v>0</v>
      </c>
      <c r="M10" s="116">
        <f>_xlfn.XLOOKUP(C10,'Giá TGĐ duyệt'!$B$5:$B$16,'Giá TGĐ duyệt'!$I$5:$I$16,0)</f>
        <v>11111.1111</v>
      </c>
      <c r="N10" s="75">
        <f t="shared" si="0"/>
        <v>3.0701111000000001</v>
      </c>
      <c r="O10" s="75">
        <f t="shared" si="1"/>
        <v>307.01111000000003</v>
      </c>
    </row>
    <row r="11" spans="1:15" s="1" customFormat="1" ht="16.5" customHeight="1" x14ac:dyDescent="0.35">
      <c r="A11" s="76">
        <v>6</v>
      </c>
      <c r="B11" s="77" t="s">
        <v>20</v>
      </c>
      <c r="C11" s="78">
        <v>110000363</v>
      </c>
      <c r="D11" s="79" t="s">
        <v>6</v>
      </c>
      <c r="E11" s="80">
        <v>243</v>
      </c>
      <c r="F11" s="80" t="s">
        <v>23</v>
      </c>
      <c r="G11" s="81"/>
      <c r="H11" s="85">
        <v>243.0951</v>
      </c>
      <c r="I11" s="85">
        <v>18654</v>
      </c>
      <c r="J11" s="86">
        <v>18273</v>
      </c>
      <c r="K11" s="88">
        <v>1130</v>
      </c>
      <c r="L11" s="116">
        <f>K11*$L$2/10^3</f>
        <v>29719</v>
      </c>
      <c r="M11" s="116">
        <f>_xlfn.XLOOKUP(C11,'Giá TGĐ duyệt'!$B$5:$B$16,'Giá TGĐ duyệt'!$I$5:$I$16,0)</f>
        <v>17800</v>
      </c>
      <c r="N11" s="75">
        <f t="shared" si="0"/>
        <v>-0.85399999999999998</v>
      </c>
      <c r="O11" s="75">
        <f t="shared" si="1"/>
        <v>-207.52199999999999</v>
      </c>
    </row>
    <row r="12" spans="1:15" ht="16.5" customHeight="1" x14ac:dyDescent="0.35">
      <c r="A12" s="76">
        <v>7</v>
      </c>
      <c r="B12" s="77" t="s">
        <v>20</v>
      </c>
      <c r="C12" s="78">
        <v>110000431</v>
      </c>
      <c r="D12" s="79" t="s">
        <v>7</v>
      </c>
      <c r="E12" s="80">
        <v>21</v>
      </c>
      <c r="F12" s="80" t="s">
        <v>39</v>
      </c>
      <c r="G12" s="81"/>
      <c r="H12" s="85">
        <v>22.952000000000002</v>
      </c>
      <c r="I12" s="85">
        <v>20040</v>
      </c>
      <c r="J12" s="86">
        <v>13783</v>
      </c>
      <c r="K12" s="88">
        <v>1130</v>
      </c>
      <c r="L12" s="116">
        <f>K12*$L$2/10^3</f>
        <v>29719</v>
      </c>
      <c r="M12" s="116">
        <f>_xlfn.XLOOKUP(C12,'Giá TGĐ duyệt'!$B$5:$B$16,'Giá TGĐ duyệt'!$I$5:$I$16,0)</f>
        <v>17800</v>
      </c>
      <c r="N12" s="75">
        <f t="shared" si="0"/>
        <v>-2.2400000000000002</v>
      </c>
      <c r="O12" s="75">
        <f t="shared" si="1"/>
        <v>-47.040000000000006</v>
      </c>
    </row>
    <row r="13" spans="1:15" ht="16.5" customHeight="1" x14ac:dyDescent="0.35">
      <c r="A13" s="76">
        <v>8</v>
      </c>
      <c r="B13" s="77" t="s">
        <v>26</v>
      </c>
      <c r="C13" s="78">
        <v>160012951</v>
      </c>
      <c r="D13" s="79" t="s">
        <v>56</v>
      </c>
      <c r="E13" s="80">
        <v>38</v>
      </c>
      <c r="F13" s="80" t="s">
        <v>28</v>
      </c>
      <c r="G13" s="81"/>
      <c r="H13" s="85">
        <v>43.3</v>
      </c>
      <c r="I13" s="85">
        <v>8239</v>
      </c>
      <c r="J13" s="86">
        <v>8000</v>
      </c>
      <c r="K13" s="87"/>
      <c r="L13" s="116">
        <f>K13*$L$2/10^3</f>
        <v>0</v>
      </c>
      <c r="M13" s="116">
        <f>_xlfn.XLOOKUP(C13,'Giá TGĐ duyệt'!$B$5:$B$16,'Giá TGĐ duyệt'!$I$5:$I$16,0)</f>
        <v>13000</v>
      </c>
      <c r="N13" s="75">
        <f t="shared" si="0"/>
        <v>4.7610000000000001</v>
      </c>
      <c r="O13" s="75">
        <f t="shared" si="1"/>
        <v>180.91800000000001</v>
      </c>
    </row>
    <row r="14" spans="1:15" ht="16.5" customHeight="1" x14ac:dyDescent="0.35">
      <c r="A14" s="76">
        <v>9</v>
      </c>
      <c r="B14" s="77" t="s">
        <v>26</v>
      </c>
      <c r="C14" s="78">
        <v>160012611</v>
      </c>
      <c r="D14" s="79" t="s">
        <v>55</v>
      </c>
      <c r="E14" s="80">
        <v>105</v>
      </c>
      <c r="F14" s="80" t="s">
        <v>28</v>
      </c>
      <c r="G14" s="81"/>
      <c r="H14" s="85">
        <v>143.368594</v>
      </c>
      <c r="I14" s="85">
        <v>4840</v>
      </c>
      <c r="J14" s="86">
        <v>4000</v>
      </c>
      <c r="K14" s="87"/>
      <c r="L14" s="116">
        <f>K14*$L$2/10^3</f>
        <v>0</v>
      </c>
      <c r="M14" s="116">
        <f>_xlfn.XLOOKUP(C14,'Giá TGĐ duyệt'!$B$5:$B$16,'Giá TGĐ duyệt'!$I$5:$I$16,0)</f>
        <v>13000</v>
      </c>
      <c r="N14" s="75">
        <f t="shared" si="0"/>
        <v>8.16</v>
      </c>
      <c r="O14" s="75">
        <f t="shared" si="1"/>
        <v>856.80000000000007</v>
      </c>
    </row>
    <row r="15" spans="1:15" ht="16.5" customHeight="1" x14ac:dyDescent="0.35">
      <c r="A15" s="76">
        <v>10</v>
      </c>
      <c r="B15" s="77" t="s">
        <v>26</v>
      </c>
      <c r="C15" s="78">
        <v>160012974</v>
      </c>
      <c r="D15" s="79" t="s">
        <v>11</v>
      </c>
      <c r="E15" s="80">
        <v>6</v>
      </c>
      <c r="F15" s="80" t="s">
        <v>28</v>
      </c>
      <c r="G15" s="81"/>
      <c r="H15" s="85">
        <v>50.423000000000002</v>
      </c>
      <c r="I15" s="85">
        <v>16810</v>
      </c>
      <c r="J15" s="86">
        <v>14163</v>
      </c>
      <c r="K15" s="87"/>
      <c r="L15" s="116">
        <f>K15*$L$2/10^3</f>
        <v>0</v>
      </c>
      <c r="M15" s="116">
        <f>_xlfn.XLOOKUP(C15,'Giá TGĐ duyệt'!$B$5:$B$16,'Giá TGĐ duyệt'!$I$5:$I$16,0)</f>
        <v>13000</v>
      </c>
      <c r="N15" s="75">
        <f t="shared" si="0"/>
        <v>-3.81</v>
      </c>
      <c r="O15" s="75">
        <f t="shared" si="1"/>
        <v>-22.86</v>
      </c>
    </row>
    <row r="16" spans="1:15" s="1" customFormat="1" ht="16.5" customHeight="1" x14ac:dyDescent="0.35">
      <c r="A16" s="76">
        <v>11</v>
      </c>
      <c r="B16" s="77" t="s">
        <v>26</v>
      </c>
      <c r="C16" s="78">
        <v>160012746</v>
      </c>
      <c r="D16" s="79" t="s">
        <v>58</v>
      </c>
      <c r="E16" s="80">
        <v>164</v>
      </c>
      <c r="F16" s="80" t="s">
        <v>29</v>
      </c>
      <c r="G16" s="89"/>
      <c r="H16" s="90">
        <v>209.73479999999998</v>
      </c>
      <c r="I16" s="90">
        <v>18623</v>
      </c>
      <c r="J16" s="91">
        <v>20755</v>
      </c>
      <c r="K16" s="92">
        <v>1065</v>
      </c>
      <c r="L16" s="116">
        <f>K16*$L$2/10^3</f>
        <v>28009.5</v>
      </c>
      <c r="M16" s="116">
        <f>_xlfn.XLOOKUP(C16,'Giá TGĐ duyệt'!$B$5:$B$16,'Giá TGĐ duyệt'!$I$5:$I$16,0)</f>
        <v>0</v>
      </c>
      <c r="N16" s="75">
        <f t="shared" si="0"/>
        <v>9.3864999999999998</v>
      </c>
      <c r="O16" s="75">
        <f t="shared" si="1"/>
        <v>1539.386</v>
      </c>
    </row>
    <row r="17" spans="1:15" s="95" customFormat="1" ht="16.5" customHeight="1" x14ac:dyDescent="0.35">
      <c r="A17" s="76">
        <v>12</v>
      </c>
      <c r="B17" s="93" t="s">
        <v>26</v>
      </c>
      <c r="C17" s="78">
        <v>160012949</v>
      </c>
      <c r="D17" s="78" t="s">
        <v>57</v>
      </c>
      <c r="E17" s="80">
        <v>24</v>
      </c>
      <c r="F17" s="80" t="s">
        <v>29</v>
      </c>
      <c r="G17" s="89"/>
      <c r="H17" s="90">
        <v>39.208800000000004</v>
      </c>
      <c r="I17" s="90">
        <v>10716</v>
      </c>
      <c r="J17" s="91">
        <v>9287</v>
      </c>
      <c r="K17" s="94">
        <v>1065</v>
      </c>
      <c r="L17" s="116">
        <f>K17*$L$2/10^3</f>
        <v>28009.5</v>
      </c>
      <c r="M17" s="116">
        <f>_xlfn.XLOOKUP(C17,'Giá TGĐ duyệt'!$B$5:$B$16,'Giá TGĐ duyệt'!$I$5:$I$16,0)</f>
        <v>0</v>
      </c>
      <c r="N17" s="75">
        <f t="shared" si="0"/>
        <v>17.293500000000002</v>
      </c>
      <c r="O17" s="75">
        <f t="shared" si="1"/>
        <v>415.04400000000004</v>
      </c>
    </row>
    <row r="18" spans="1:15" s="95" customFormat="1" ht="16.5" customHeight="1" x14ac:dyDescent="0.35">
      <c r="A18" s="76">
        <v>13</v>
      </c>
      <c r="B18" s="93" t="s">
        <v>26</v>
      </c>
      <c r="C18" s="78">
        <v>110000413</v>
      </c>
      <c r="D18" s="79" t="s">
        <v>40</v>
      </c>
      <c r="E18" s="80">
        <v>144</v>
      </c>
      <c r="F18" s="80" t="s">
        <v>23</v>
      </c>
      <c r="G18" s="96"/>
      <c r="H18" s="97">
        <v>168.64949999999999</v>
      </c>
      <c r="I18" s="97">
        <v>16835</v>
      </c>
      <c r="J18" s="86">
        <v>15000</v>
      </c>
      <c r="K18" s="92">
        <v>1065</v>
      </c>
      <c r="L18" s="116">
        <f>K18*$L$2/10^3</f>
        <v>28009.5</v>
      </c>
      <c r="M18" s="116">
        <f>_xlfn.XLOOKUP(C18,'Giá TGĐ duyệt'!$B$5:$B$16,'Giá TGĐ duyệt'!$I$5:$I$16,0)</f>
        <v>0</v>
      </c>
      <c r="N18" s="75">
        <f t="shared" si="0"/>
        <v>11.1745</v>
      </c>
      <c r="O18" s="75">
        <f t="shared" si="1"/>
        <v>1609.1279999999999</v>
      </c>
    </row>
    <row r="19" spans="1:15" s="95" customFormat="1" ht="16.5" customHeight="1" x14ac:dyDescent="0.35">
      <c r="A19" s="76">
        <v>14</v>
      </c>
      <c r="B19" s="93" t="s">
        <v>26</v>
      </c>
      <c r="C19" s="78">
        <v>110000412</v>
      </c>
      <c r="D19" s="79" t="s">
        <v>41</v>
      </c>
      <c r="E19" s="80">
        <v>38</v>
      </c>
      <c r="F19" s="80" t="s">
        <v>42</v>
      </c>
      <c r="G19" s="96"/>
      <c r="H19" s="97">
        <v>43.75</v>
      </c>
      <c r="I19" s="97">
        <v>14133</v>
      </c>
      <c r="J19" s="86">
        <v>15000</v>
      </c>
      <c r="K19" s="92">
        <v>1065</v>
      </c>
      <c r="L19" s="116">
        <f>K19*$L$2/10^3</f>
        <v>28009.5</v>
      </c>
      <c r="M19" s="116">
        <f>_xlfn.XLOOKUP(C19,'Giá TGĐ duyệt'!$B$5:$B$16,'Giá TGĐ duyệt'!$I$5:$I$16,0)</f>
        <v>0</v>
      </c>
      <c r="N19" s="75">
        <f t="shared" si="0"/>
        <v>13.8765</v>
      </c>
      <c r="O19" s="75">
        <f t="shared" si="1"/>
        <v>527.30700000000002</v>
      </c>
    </row>
    <row r="20" spans="1:15" s="95" customFormat="1" ht="16.5" customHeight="1" x14ac:dyDescent="0.35">
      <c r="A20" s="76">
        <v>15</v>
      </c>
      <c r="B20" s="77" t="s">
        <v>25</v>
      </c>
      <c r="C20" s="78">
        <v>110000427</v>
      </c>
      <c r="D20" s="79" t="s">
        <v>59</v>
      </c>
      <c r="E20" s="80">
        <v>16</v>
      </c>
      <c r="F20" s="80" t="s">
        <v>43</v>
      </c>
      <c r="G20" s="96"/>
      <c r="H20" s="97">
        <v>18.774000000000001</v>
      </c>
      <c r="I20" s="97">
        <v>21813</v>
      </c>
      <c r="J20" s="86">
        <v>23000</v>
      </c>
      <c r="K20" s="86">
        <v>1350</v>
      </c>
      <c r="L20" s="116">
        <f>K20*$L$2/10^3</f>
        <v>35505</v>
      </c>
      <c r="M20" s="116">
        <f>_xlfn.XLOOKUP(C20,'Giá TGĐ duyệt'!$B$5:$B$16,'Giá TGĐ duyệt'!$I$5:$I$16,0)</f>
        <v>0</v>
      </c>
      <c r="N20" s="75">
        <f t="shared" si="0"/>
        <v>13.692</v>
      </c>
      <c r="O20" s="75">
        <f t="shared" si="1"/>
        <v>219.072</v>
      </c>
    </row>
    <row r="21" spans="1:15" s="95" customFormat="1" ht="16.5" customHeight="1" x14ac:dyDescent="0.35">
      <c r="A21" s="76">
        <v>16</v>
      </c>
      <c r="B21" s="77" t="s">
        <v>25</v>
      </c>
      <c r="C21" s="78">
        <v>110000426</v>
      </c>
      <c r="D21" s="79" t="s">
        <v>60</v>
      </c>
      <c r="E21" s="80">
        <v>15</v>
      </c>
      <c r="F21" s="80" t="s">
        <v>43</v>
      </c>
      <c r="G21" s="96"/>
      <c r="H21" s="97">
        <v>40.546999999999997</v>
      </c>
      <c r="I21" s="97">
        <v>33485</v>
      </c>
      <c r="J21" s="86">
        <v>21443</v>
      </c>
      <c r="K21" s="86">
        <v>1350</v>
      </c>
      <c r="L21" s="116">
        <f>K21*$L$2/10^3</f>
        <v>35505</v>
      </c>
      <c r="M21" s="116">
        <f>_xlfn.XLOOKUP(C21,'Giá TGĐ duyệt'!$B$5:$B$16,'Giá TGĐ duyệt'!$I$5:$I$16,0)</f>
        <v>0</v>
      </c>
      <c r="N21" s="75">
        <f t="shared" si="0"/>
        <v>2.02</v>
      </c>
      <c r="O21" s="75">
        <f t="shared" si="1"/>
        <v>30.3</v>
      </c>
    </row>
    <row r="22" spans="1:15" s="95" customFormat="1" ht="16.5" customHeight="1" x14ac:dyDescent="0.35">
      <c r="A22" s="76">
        <v>17</v>
      </c>
      <c r="B22" s="77" t="s">
        <v>25</v>
      </c>
      <c r="C22" s="78">
        <v>110000343</v>
      </c>
      <c r="D22" s="79" t="s">
        <v>61</v>
      </c>
      <c r="E22" s="80">
        <v>12</v>
      </c>
      <c r="F22" s="80" t="s">
        <v>43</v>
      </c>
      <c r="G22" s="96"/>
      <c r="H22" s="97">
        <v>13.14</v>
      </c>
      <c r="I22" s="97">
        <v>4428</v>
      </c>
      <c r="J22" s="86">
        <v>13580</v>
      </c>
      <c r="K22" s="88">
        <v>1130</v>
      </c>
      <c r="L22" s="116">
        <f>K22*$L$2/10^3</f>
        <v>29719</v>
      </c>
      <c r="M22" s="116">
        <f>_xlfn.XLOOKUP(C22,'Giá TGĐ duyệt'!$B$5:$B$16,'Giá TGĐ duyệt'!$I$5:$I$16,0)</f>
        <v>0</v>
      </c>
      <c r="N22" s="75">
        <f t="shared" si="0"/>
        <v>25.291</v>
      </c>
      <c r="O22" s="75">
        <f t="shared" si="1"/>
        <v>303.49200000000002</v>
      </c>
    </row>
    <row r="23" spans="1:15" s="95" customFormat="1" ht="16.5" customHeight="1" x14ac:dyDescent="0.35">
      <c r="A23" s="76">
        <v>18</v>
      </c>
      <c r="B23" s="77" t="s">
        <v>25</v>
      </c>
      <c r="C23" s="78">
        <v>110000345</v>
      </c>
      <c r="D23" s="79" t="s">
        <v>62</v>
      </c>
      <c r="E23" s="80">
        <v>1</v>
      </c>
      <c r="F23" s="80" t="s">
        <v>43</v>
      </c>
      <c r="G23" s="96"/>
      <c r="H23" s="97">
        <v>3.5649999999999999</v>
      </c>
      <c r="I23" s="97">
        <v>34395</v>
      </c>
      <c r="J23" s="86">
        <v>24135</v>
      </c>
      <c r="K23" s="88">
        <v>1130</v>
      </c>
      <c r="L23" s="116">
        <f>K23*$L$2/10^3</f>
        <v>29719</v>
      </c>
      <c r="M23" s="116">
        <f>_xlfn.XLOOKUP(C23,'Giá TGĐ duyệt'!$B$5:$B$16,'Giá TGĐ duyệt'!$I$5:$I$16,0)</f>
        <v>0</v>
      </c>
      <c r="N23" s="75">
        <f t="shared" si="0"/>
        <v>-4.6760000000000002</v>
      </c>
      <c r="O23" s="75">
        <f t="shared" si="1"/>
        <v>-4.6760000000000002</v>
      </c>
    </row>
    <row r="24" spans="1:15" s="95" customFormat="1" ht="16.5" customHeight="1" x14ac:dyDescent="0.35">
      <c r="A24" s="76">
        <v>19</v>
      </c>
      <c r="B24" s="77" t="s">
        <v>25</v>
      </c>
      <c r="C24" s="78">
        <v>110000495</v>
      </c>
      <c r="D24" s="79" t="s">
        <v>63</v>
      </c>
      <c r="E24" s="80">
        <v>4</v>
      </c>
      <c r="F24" s="80" t="s">
        <v>43</v>
      </c>
      <c r="G24" s="96"/>
      <c r="H24" s="97">
        <v>4.17</v>
      </c>
      <c r="I24" s="97">
        <v>29574</v>
      </c>
      <c r="J24" s="86">
        <v>27604</v>
      </c>
      <c r="K24" s="88">
        <v>1130</v>
      </c>
      <c r="L24" s="116">
        <f>K24*$L$2/10^3</f>
        <v>29719</v>
      </c>
      <c r="M24" s="116">
        <f>_xlfn.XLOOKUP(C24,'Giá TGĐ duyệt'!$B$5:$B$16,'Giá TGĐ duyệt'!$I$5:$I$16,0)</f>
        <v>0</v>
      </c>
      <c r="N24" s="75">
        <f t="shared" si="0"/>
        <v>0.14499999999999999</v>
      </c>
      <c r="O24" s="75">
        <f t="shared" si="1"/>
        <v>0.57999999999999996</v>
      </c>
    </row>
    <row r="25" spans="1:15" ht="50.5" customHeight="1" x14ac:dyDescent="0.35">
      <c r="A25" s="76">
        <v>20</v>
      </c>
      <c r="B25" s="77" t="s">
        <v>25</v>
      </c>
      <c r="C25" s="78">
        <v>110000341</v>
      </c>
      <c r="D25" s="79" t="s">
        <v>44</v>
      </c>
      <c r="E25" s="80">
        <v>103</v>
      </c>
      <c r="F25" s="80" t="s">
        <v>39</v>
      </c>
      <c r="G25" s="81"/>
      <c r="H25" s="85">
        <v>111.8005</v>
      </c>
      <c r="I25" s="85">
        <v>20412</v>
      </c>
      <c r="J25" s="86">
        <v>16177</v>
      </c>
      <c r="K25" s="88">
        <v>1350</v>
      </c>
      <c r="L25" s="116">
        <f>K25*$L$2/10^3</f>
        <v>35505</v>
      </c>
      <c r="M25" s="116">
        <f>_xlfn.XLOOKUP(C25,'Giá TGĐ duyệt'!$B$5:$B$16,'Giá TGĐ duyệt'!$I$5:$I$16,0)</f>
        <v>17800</v>
      </c>
      <c r="N25" s="75">
        <f t="shared" si="0"/>
        <v>-2.6120000000000001</v>
      </c>
      <c r="O25" s="75">
        <f t="shared" si="1"/>
        <v>-269.036</v>
      </c>
    </row>
    <row r="26" spans="1:15" ht="16.5" customHeight="1" x14ac:dyDescent="0.35">
      <c r="A26" s="76">
        <v>21</v>
      </c>
      <c r="B26" s="77" t="s">
        <v>34</v>
      </c>
      <c r="C26" s="78">
        <v>110000423</v>
      </c>
      <c r="D26" s="79" t="s">
        <v>30</v>
      </c>
      <c r="E26" s="80">
        <v>108</v>
      </c>
      <c r="F26" s="80" t="s">
        <v>29</v>
      </c>
      <c r="G26" s="81"/>
      <c r="H26" s="85">
        <v>112.503</v>
      </c>
      <c r="I26" s="85">
        <v>19811</v>
      </c>
      <c r="J26" s="86">
        <v>20650</v>
      </c>
      <c r="K26" s="88">
        <v>1015</v>
      </c>
      <c r="L26" s="116">
        <f>K26*$L$2/10^3</f>
        <v>26694.5</v>
      </c>
      <c r="M26" s="116">
        <f>_xlfn.XLOOKUP(C26,'Giá TGĐ duyệt'!$B$5:$B$16,'Giá TGĐ duyệt'!$I$5:$I$16,0)</f>
        <v>0</v>
      </c>
      <c r="N26" s="75">
        <f t="shared" si="0"/>
        <v>6.8834999999999997</v>
      </c>
      <c r="O26" s="75">
        <f t="shared" si="1"/>
        <v>743.41800000000001</v>
      </c>
    </row>
    <row r="27" spans="1:15" ht="16.5" customHeight="1" x14ac:dyDescent="0.35">
      <c r="A27" s="76">
        <v>22</v>
      </c>
      <c r="B27" s="77" t="s">
        <v>34</v>
      </c>
      <c r="C27" s="78">
        <v>110000392</v>
      </c>
      <c r="D27" s="79" t="s">
        <v>64</v>
      </c>
      <c r="E27" s="98">
        <v>22.702999999999999</v>
      </c>
      <c r="F27" s="80" t="s">
        <v>42</v>
      </c>
      <c r="G27" s="81"/>
      <c r="H27" s="85">
        <v>22.678000000000001</v>
      </c>
      <c r="I27" s="85">
        <v>18301</v>
      </c>
      <c r="J27" s="86">
        <v>21506</v>
      </c>
      <c r="K27" s="88">
        <v>980</v>
      </c>
      <c r="L27" s="116">
        <f>K27*$L$2/10^3</f>
        <v>25774</v>
      </c>
      <c r="M27" s="116">
        <f>_xlfn.XLOOKUP(C27,'Giá TGĐ duyệt'!$B$5:$B$16,'Giá TGĐ duyệt'!$I$5:$I$16,0)</f>
        <v>0</v>
      </c>
      <c r="N27" s="75">
        <f t="shared" si="0"/>
        <v>7.4729999999999999</v>
      </c>
      <c r="O27" s="75">
        <f t="shared" si="1"/>
        <v>169.65951899999999</v>
      </c>
    </row>
    <row r="28" spans="1:15" ht="16.5" customHeight="1" x14ac:dyDescent="0.35">
      <c r="A28" s="76">
        <v>23</v>
      </c>
      <c r="B28" s="77" t="s">
        <v>34</v>
      </c>
      <c r="C28" s="78">
        <v>110000393</v>
      </c>
      <c r="D28" s="79" t="s">
        <v>65</v>
      </c>
      <c r="E28" s="98">
        <v>13.635999999999999</v>
      </c>
      <c r="F28" s="80" t="s">
        <v>42</v>
      </c>
      <c r="G28" s="81"/>
      <c r="H28" s="85">
        <v>13.635999999999999</v>
      </c>
      <c r="I28" s="85">
        <v>22029</v>
      </c>
      <c r="J28" s="86">
        <v>19601</v>
      </c>
      <c r="K28" s="88">
        <v>1080</v>
      </c>
      <c r="L28" s="116">
        <f>K28*$L$2/10^3</f>
        <v>28404</v>
      </c>
      <c r="M28" s="116">
        <f>_xlfn.XLOOKUP(C28,'Giá TGĐ duyệt'!$B$5:$B$16,'Giá TGĐ duyệt'!$I$5:$I$16,0)</f>
        <v>0</v>
      </c>
      <c r="N28" s="75">
        <f t="shared" si="0"/>
        <v>6.375</v>
      </c>
      <c r="O28" s="75">
        <f t="shared" si="1"/>
        <v>86.92949999999999</v>
      </c>
    </row>
    <row r="29" spans="1:15" ht="16.5" customHeight="1" x14ac:dyDescent="0.35">
      <c r="A29" s="76">
        <v>24</v>
      </c>
      <c r="B29" s="77" t="s">
        <v>34</v>
      </c>
      <c r="C29" s="78">
        <v>110000421</v>
      </c>
      <c r="D29" s="79" t="s">
        <v>31</v>
      </c>
      <c r="E29" s="98">
        <v>6.9740000000000002</v>
      </c>
      <c r="F29" s="80" t="s">
        <v>43</v>
      </c>
      <c r="G29" s="81"/>
      <c r="H29" s="85">
        <v>11.384</v>
      </c>
      <c r="I29" s="85">
        <v>20383</v>
      </c>
      <c r="J29" s="86">
        <v>20408</v>
      </c>
      <c r="K29" s="88">
        <v>1015</v>
      </c>
      <c r="L29" s="116">
        <f>K29*$L$2/10^3</f>
        <v>26694.5</v>
      </c>
      <c r="M29" s="116">
        <f>_xlfn.XLOOKUP(C29,'Giá TGĐ duyệt'!$B$5:$B$16,'Giá TGĐ duyệt'!$I$5:$I$16,0)</f>
        <v>0</v>
      </c>
      <c r="N29" s="75">
        <f t="shared" si="0"/>
        <v>6.3114999999999997</v>
      </c>
      <c r="O29" s="75">
        <f t="shared" si="1"/>
        <v>44.016401000000002</v>
      </c>
    </row>
    <row r="30" spans="1:15" ht="16.5" customHeight="1" x14ac:dyDescent="0.35">
      <c r="A30" s="76">
        <v>25</v>
      </c>
      <c r="B30" s="77" t="s">
        <v>34</v>
      </c>
      <c r="C30" s="78">
        <v>110000482</v>
      </c>
      <c r="D30" s="79" t="s">
        <v>66</v>
      </c>
      <c r="E30" s="98">
        <v>3.5870000000000002</v>
      </c>
      <c r="F30" s="80" t="s">
        <v>29</v>
      </c>
      <c r="G30" s="81"/>
      <c r="H30" s="85">
        <v>3.5870000000000002</v>
      </c>
      <c r="I30" s="85">
        <v>36122</v>
      </c>
      <c r="J30" s="86">
        <v>27402</v>
      </c>
      <c r="K30" s="88">
        <v>1080</v>
      </c>
      <c r="L30" s="116">
        <f>K30*$L$2/10^3</f>
        <v>28404</v>
      </c>
      <c r="M30" s="116">
        <f>_xlfn.XLOOKUP(C30,'Giá TGĐ duyệt'!$B$5:$B$16,'Giá TGĐ duyệt'!$I$5:$I$16,0)</f>
        <v>0</v>
      </c>
      <c r="N30" s="75">
        <f t="shared" si="0"/>
        <v>-7.718</v>
      </c>
      <c r="O30" s="75">
        <f t="shared" si="1"/>
        <v>-27.684466</v>
      </c>
    </row>
    <row r="31" spans="1:15" ht="16.5" customHeight="1" x14ac:dyDescent="0.35">
      <c r="A31" s="76">
        <v>26</v>
      </c>
      <c r="B31" s="77" t="s">
        <v>34</v>
      </c>
      <c r="C31" s="78">
        <v>110000422</v>
      </c>
      <c r="D31" s="79" t="s">
        <v>32</v>
      </c>
      <c r="E31" s="98">
        <v>2.25</v>
      </c>
      <c r="F31" s="80" t="s">
        <v>29</v>
      </c>
      <c r="G31" s="81"/>
      <c r="H31" s="85">
        <v>2.25</v>
      </c>
      <c r="I31" s="85">
        <v>19982</v>
      </c>
      <c r="J31" s="86">
        <v>20000</v>
      </c>
      <c r="K31" s="88">
        <v>1015</v>
      </c>
      <c r="L31" s="116">
        <f>K31*$L$2/10^3</f>
        <v>26694.5</v>
      </c>
      <c r="M31" s="116">
        <f>_xlfn.XLOOKUP(C31,'Giá TGĐ duyệt'!$B$5:$B$16,'Giá TGĐ duyệt'!$I$5:$I$16,0)</f>
        <v>0</v>
      </c>
      <c r="N31" s="75">
        <f t="shared" si="0"/>
        <v>6.7125000000000004</v>
      </c>
      <c r="O31" s="75">
        <f t="shared" si="1"/>
        <v>15.103125</v>
      </c>
    </row>
    <row r="32" spans="1:15" ht="16.5" customHeight="1" x14ac:dyDescent="0.35">
      <c r="A32" s="76">
        <v>27</v>
      </c>
      <c r="B32" s="77" t="s">
        <v>34</v>
      </c>
      <c r="C32" s="78">
        <v>110000388</v>
      </c>
      <c r="D32" s="79" t="s">
        <v>67</v>
      </c>
      <c r="E32" s="98">
        <v>1.375</v>
      </c>
      <c r="F32" s="80" t="s">
        <v>42</v>
      </c>
      <c r="G32" s="81"/>
      <c r="H32" s="85">
        <v>2.6440000000000001</v>
      </c>
      <c r="I32" s="85">
        <v>25200</v>
      </c>
      <c r="J32" s="86">
        <v>25217</v>
      </c>
      <c r="K32" s="88">
        <v>1080</v>
      </c>
      <c r="L32" s="116">
        <f>K32*$L$2/10^3</f>
        <v>28404</v>
      </c>
      <c r="M32" s="116">
        <f>_xlfn.XLOOKUP(C32,'Giá TGĐ duyệt'!$B$5:$B$16,'Giá TGĐ duyệt'!$I$5:$I$16,0)</f>
        <v>0</v>
      </c>
      <c r="N32" s="75">
        <f t="shared" si="0"/>
        <v>3.2040000000000002</v>
      </c>
      <c r="O32" s="75">
        <f t="shared" si="1"/>
        <v>4.4055</v>
      </c>
    </row>
    <row r="33" spans="1:15" ht="16.5" customHeight="1" x14ac:dyDescent="0.35">
      <c r="A33" s="76">
        <v>28</v>
      </c>
      <c r="B33" s="77" t="s">
        <v>34</v>
      </c>
      <c r="C33" s="78">
        <v>110000472</v>
      </c>
      <c r="D33" s="79" t="s">
        <v>68</v>
      </c>
      <c r="E33" s="98">
        <v>1.1000000000000001</v>
      </c>
      <c r="F33" s="80" t="s">
        <v>42</v>
      </c>
      <c r="G33" s="81"/>
      <c r="H33" s="85">
        <v>16.3</v>
      </c>
      <c r="I33" s="85">
        <v>32490</v>
      </c>
      <c r="J33" s="86">
        <v>27805</v>
      </c>
      <c r="K33" s="88">
        <v>1080</v>
      </c>
      <c r="L33" s="116">
        <f>K33*$L$2/10^3</f>
        <v>28404</v>
      </c>
      <c r="M33" s="116">
        <f>_xlfn.XLOOKUP(C33,'Giá TGĐ duyệt'!$B$5:$B$16,'Giá TGĐ duyệt'!$I$5:$I$16,0)</f>
        <v>0</v>
      </c>
      <c r="N33" s="75">
        <f t="shared" si="0"/>
        <v>-4.0860000000000003</v>
      </c>
      <c r="O33" s="75">
        <f t="shared" si="1"/>
        <v>-4.494600000000001</v>
      </c>
    </row>
    <row r="34" spans="1:15" ht="16.5" customHeight="1" x14ac:dyDescent="0.35">
      <c r="A34" s="76">
        <v>29</v>
      </c>
      <c r="B34" s="77" t="s">
        <v>34</v>
      </c>
      <c r="C34" s="78">
        <v>110000424</v>
      </c>
      <c r="D34" s="79" t="s">
        <v>33</v>
      </c>
      <c r="E34" s="98">
        <v>0.75</v>
      </c>
      <c r="F34" s="80" t="s">
        <v>29</v>
      </c>
      <c r="G34" s="79"/>
      <c r="H34" s="85">
        <v>0.75</v>
      </c>
      <c r="I34" s="85">
        <v>20000</v>
      </c>
      <c r="J34" s="86">
        <v>20000</v>
      </c>
      <c r="K34" s="88">
        <v>1015</v>
      </c>
      <c r="L34" s="116">
        <f>K34*$L$2/10^3</f>
        <v>26694.5</v>
      </c>
      <c r="M34" s="116">
        <f>_xlfn.XLOOKUP(C34,'Giá TGĐ duyệt'!$B$5:$B$16,'Giá TGĐ duyệt'!$I$5:$I$16,0)</f>
        <v>0</v>
      </c>
      <c r="N34" s="75">
        <f t="shared" si="0"/>
        <v>6.6944999999999997</v>
      </c>
      <c r="O34" s="75">
        <f t="shared" si="1"/>
        <v>5.0208750000000002</v>
      </c>
    </row>
    <row r="35" spans="1:15" ht="16.5" customHeight="1" x14ac:dyDescent="0.35">
      <c r="A35" s="99">
        <v>30</v>
      </c>
      <c r="B35" s="100" t="s">
        <v>34</v>
      </c>
      <c r="C35" s="101">
        <v>110000389</v>
      </c>
      <c r="D35" s="102" t="s">
        <v>69</v>
      </c>
      <c r="E35" s="103">
        <v>0.65600000000000003</v>
      </c>
      <c r="F35" s="104" t="s">
        <v>42</v>
      </c>
      <c r="G35" s="102"/>
      <c r="H35" s="105">
        <v>1.89</v>
      </c>
      <c r="I35" s="105">
        <v>27706</v>
      </c>
      <c r="J35" s="106">
        <v>24543</v>
      </c>
      <c r="K35" s="107">
        <v>1080</v>
      </c>
      <c r="L35" s="117">
        <f>K35*$L$2/10^3</f>
        <v>28404</v>
      </c>
      <c r="M35" s="117">
        <f>_xlfn.XLOOKUP(C35,'Giá TGĐ duyệt'!$B$5:$B$16,'Giá TGĐ duyệt'!$I$5:$I$16,0)</f>
        <v>0</v>
      </c>
      <c r="N35" s="108">
        <f t="shared" si="0"/>
        <v>0.69799999999999995</v>
      </c>
      <c r="O35" s="108">
        <f t="shared" si="1"/>
        <v>0.45788799999999996</v>
      </c>
    </row>
    <row r="36" spans="1:15" ht="16.5" customHeight="1" x14ac:dyDescent="0.35">
      <c r="B36" s="6"/>
      <c r="C36" s="5"/>
      <c r="D36" s="5"/>
      <c r="E36" s="8"/>
      <c r="F36" s="8"/>
      <c r="G36" s="5"/>
      <c r="H36" s="5"/>
      <c r="I36" s="5"/>
      <c r="J36" s="5"/>
      <c r="K36" s="5"/>
      <c r="L36" s="5"/>
      <c r="M36" s="5"/>
      <c r="N36" s="5"/>
      <c r="O36" s="5"/>
    </row>
    <row r="37" spans="1:15" ht="16.5" customHeight="1" x14ac:dyDescent="0.35">
      <c r="B37" s="6"/>
      <c r="C37" s="5"/>
      <c r="D37" s="5"/>
      <c r="E37" s="8"/>
      <c r="F37" s="8"/>
      <c r="G37" s="5"/>
      <c r="H37" s="5"/>
      <c r="I37" s="5"/>
      <c r="J37" s="5"/>
      <c r="K37" s="5"/>
      <c r="L37" s="5"/>
      <c r="M37" s="5"/>
      <c r="N37" s="5"/>
      <c r="O37" s="5"/>
    </row>
    <row r="38" spans="1:15" ht="16.5" customHeight="1" x14ac:dyDescent="0.35">
      <c r="B38" s="6"/>
      <c r="C38" s="5"/>
      <c r="D38" s="5"/>
      <c r="E38" s="8"/>
      <c r="F38" s="8"/>
      <c r="G38" s="5"/>
      <c r="H38" s="5"/>
      <c r="I38" s="5"/>
      <c r="J38" s="5"/>
      <c r="K38" s="5"/>
      <c r="L38" s="5"/>
      <c r="M38" s="5"/>
      <c r="N38" s="5"/>
      <c r="O38" s="5"/>
    </row>
  </sheetData>
  <autoFilter ref="A5:O35" xr:uid="{68EC4E92-259C-4CE7-9880-39E86F0A7E50}"/>
  <conditionalFormatting sqref="C1:C1048576">
    <cfRule type="duplicateValues" dxfId="3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0E9D-FD8A-4A26-8621-39A190CC248F}">
  <dimension ref="A1:Q17"/>
  <sheetViews>
    <sheetView workbookViewId="0">
      <selection activeCell="E15" sqref="E15"/>
    </sheetView>
  </sheetViews>
  <sheetFormatPr defaultColWidth="8.81640625" defaultRowHeight="14.5" x14ac:dyDescent="0.35"/>
  <cols>
    <col min="1" max="1" width="4.54296875" style="21" customWidth="1"/>
    <col min="2" max="2" width="13.7265625" style="21" customWidth="1"/>
    <col min="3" max="3" width="34.1796875" style="21" bestFit="1" customWidth="1"/>
    <col min="4" max="4" width="12.7265625" style="21" hidden="1" customWidth="1"/>
    <col min="5" max="5" width="17" style="21" customWidth="1"/>
    <col min="6" max="6" width="12.1796875" style="21" customWidth="1"/>
    <col min="7" max="7" width="16.81640625" style="21" customWidth="1"/>
    <col min="8" max="8" width="13.54296875" style="21" customWidth="1"/>
    <col min="9" max="9" width="11.26953125" style="21" customWidth="1"/>
    <col min="10" max="10" width="10.7265625" style="21" hidden="1" customWidth="1"/>
    <col min="11" max="11" width="13" style="21" hidden="1" customWidth="1"/>
    <col min="12" max="12" width="10.26953125" style="21" hidden="1" customWidth="1"/>
    <col min="13" max="13" width="37.453125" style="21" customWidth="1"/>
    <col min="14" max="14" width="33.81640625" style="21" customWidth="1"/>
    <col min="15" max="15" width="8.81640625" style="21"/>
    <col min="16" max="16" width="22.54296875" style="21" customWidth="1"/>
    <col min="17" max="16384" width="8.81640625" style="21"/>
  </cols>
  <sheetData>
    <row r="1" spans="1:17" ht="23.5" x14ac:dyDescent="0.55000000000000004">
      <c r="B1" s="22" t="s">
        <v>78</v>
      </c>
      <c r="Q1" s="23" t="s">
        <v>79</v>
      </c>
    </row>
    <row r="2" spans="1:17" ht="15.5" x14ac:dyDescent="0.35">
      <c r="B2" s="24">
        <v>46178</v>
      </c>
      <c r="J2" s="25"/>
      <c r="K2" s="26"/>
    </row>
    <row r="3" spans="1:17" ht="15.5" x14ac:dyDescent="0.35">
      <c r="B3" s="27"/>
      <c r="E3" s="28" t="s">
        <v>80</v>
      </c>
      <c r="F3" s="28" t="s">
        <v>81</v>
      </c>
      <c r="G3" s="29"/>
      <c r="H3" s="29"/>
      <c r="I3" s="29">
        <v>26500</v>
      </c>
      <c r="J3" s="29"/>
      <c r="K3" s="29"/>
      <c r="L3" s="29"/>
      <c r="M3" s="29"/>
      <c r="N3" s="29"/>
    </row>
    <row r="4" spans="1:17" ht="58" x14ac:dyDescent="0.35">
      <c r="A4" s="118" t="s">
        <v>38</v>
      </c>
      <c r="B4" s="118" t="s">
        <v>82</v>
      </c>
      <c r="C4" s="118" t="s">
        <v>83</v>
      </c>
      <c r="D4" s="119" t="s">
        <v>84</v>
      </c>
      <c r="E4" s="119" t="s">
        <v>85</v>
      </c>
      <c r="F4" s="119" t="s">
        <v>72</v>
      </c>
      <c r="G4" s="119" t="s">
        <v>86</v>
      </c>
      <c r="H4" s="119" t="s">
        <v>70</v>
      </c>
      <c r="I4" s="119" t="s">
        <v>87</v>
      </c>
      <c r="J4" s="119" t="s">
        <v>88</v>
      </c>
      <c r="K4" s="119" t="s">
        <v>89</v>
      </c>
      <c r="L4" s="119" t="s">
        <v>90</v>
      </c>
      <c r="M4" s="119" t="s">
        <v>91</v>
      </c>
      <c r="N4" s="119" t="s">
        <v>92</v>
      </c>
    </row>
    <row r="5" spans="1:17" x14ac:dyDescent="0.35">
      <c r="A5" s="30">
        <v>1</v>
      </c>
      <c r="B5" s="31">
        <v>110000464</v>
      </c>
      <c r="C5" s="32" t="s">
        <v>93</v>
      </c>
      <c r="D5" s="33">
        <v>103.79049999999999</v>
      </c>
      <c r="E5" s="34"/>
      <c r="F5" s="33">
        <v>18765</v>
      </c>
      <c r="G5" s="34">
        <v>12803</v>
      </c>
      <c r="H5" s="34"/>
      <c r="I5" s="35">
        <f>MROUND(780*$I$3/10^3,100)</f>
        <v>20700</v>
      </c>
      <c r="J5" s="34">
        <f t="shared" ref="J5:J14" si="0">+I5*D5/10^3</f>
        <v>2148.46335</v>
      </c>
      <c r="K5" s="36">
        <f>+(I5-F5)*D5/10^3</f>
        <v>200.83461749999998</v>
      </c>
      <c r="L5" s="37">
        <f>+K5/J5</f>
        <v>9.3478260869565205E-2</v>
      </c>
      <c r="M5" s="34" t="s">
        <v>94</v>
      </c>
      <c r="N5" s="38" t="s">
        <v>95</v>
      </c>
    </row>
    <row r="6" spans="1:17" customFormat="1" x14ac:dyDescent="0.35">
      <c r="A6" s="39">
        <f t="shared" ref="A6:A16" si="1">A5+1</f>
        <v>2</v>
      </c>
      <c r="B6" s="40">
        <v>110000436</v>
      </c>
      <c r="C6" s="41" t="s">
        <v>96</v>
      </c>
      <c r="D6" s="42">
        <v>40.871699999999997</v>
      </c>
      <c r="E6" s="43"/>
      <c r="F6" s="42">
        <v>28430</v>
      </c>
      <c r="G6" s="43">
        <v>23831</v>
      </c>
      <c r="H6" s="43"/>
      <c r="I6" s="44">
        <f>MROUND(800*$I$3/10^3,100)</f>
        <v>21200</v>
      </c>
      <c r="J6" s="34">
        <f t="shared" si="0"/>
        <v>866.48003999999992</v>
      </c>
      <c r="K6" s="36">
        <f>+(I6-F6)*D6/10^3</f>
        <v>-295.50239099999999</v>
      </c>
      <c r="L6" s="37">
        <f t="shared" ref="L6:L14" si="2">+K6/J6</f>
        <v>-0.34103773584905661</v>
      </c>
      <c r="M6" s="34" t="s">
        <v>97</v>
      </c>
      <c r="N6" s="45" t="s">
        <v>95</v>
      </c>
    </row>
    <row r="7" spans="1:17" x14ac:dyDescent="0.35">
      <c r="A7" s="39">
        <f t="shared" si="1"/>
        <v>3</v>
      </c>
      <c r="B7" s="40">
        <v>110000363</v>
      </c>
      <c r="C7" s="41" t="s">
        <v>6</v>
      </c>
      <c r="D7" s="42">
        <v>243.0951</v>
      </c>
      <c r="E7" s="43">
        <v>240</v>
      </c>
      <c r="F7" s="42">
        <v>18654</v>
      </c>
      <c r="G7" s="43">
        <v>18273</v>
      </c>
      <c r="H7" s="43">
        <v>1130</v>
      </c>
      <c r="I7" s="44">
        <f t="shared" ref="I7:I9" si="3">MROUND(670*$I$3/10^3,100)</f>
        <v>17800</v>
      </c>
      <c r="J7" s="34">
        <f t="shared" si="0"/>
        <v>4327.0927799999999</v>
      </c>
      <c r="K7" s="36">
        <f t="shared" ref="K7:K14" si="4">+(I7-F7)*D7/10^3</f>
        <v>-207.60321540000001</v>
      </c>
      <c r="L7" s="37">
        <f t="shared" si="2"/>
        <v>-4.7977528089887644E-2</v>
      </c>
      <c r="M7" s="34" t="s">
        <v>98</v>
      </c>
      <c r="N7" s="45" t="s">
        <v>95</v>
      </c>
    </row>
    <row r="8" spans="1:17" x14ac:dyDescent="0.35">
      <c r="A8" s="39">
        <f t="shared" si="1"/>
        <v>4</v>
      </c>
      <c r="B8" s="40">
        <v>110000431</v>
      </c>
      <c r="C8" s="41" t="s">
        <v>7</v>
      </c>
      <c r="D8" s="42">
        <v>22.952000000000002</v>
      </c>
      <c r="E8" s="43">
        <v>20</v>
      </c>
      <c r="F8" s="42">
        <v>20040</v>
      </c>
      <c r="G8" s="43">
        <v>13783</v>
      </c>
      <c r="H8" s="43">
        <v>1130</v>
      </c>
      <c r="I8" s="44">
        <f t="shared" si="3"/>
        <v>17800</v>
      </c>
      <c r="J8" s="34">
        <f t="shared" si="0"/>
        <v>408.54560000000004</v>
      </c>
      <c r="K8" s="36">
        <f t="shared" si="4"/>
        <v>-51.412480000000002</v>
      </c>
      <c r="L8" s="37">
        <f t="shared" si="2"/>
        <v>-0.12584269662921349</v>
      </c>
      <c r="M8" s="34" t="s">
        <v>98</v>
      </c>
      <c r="N8" s="45" t="s">
        <v>95</v>
      </c>
    </row>
    <row r="9" spans="1:17" ht="29" x14ac:dyDescent="0.35">
      <c r="A9" s="39">
        <f t="shared" si="1"/>
        <v>5</v>
      </c>
      <c r="B9" s="40">
        <v>110000341</v>
      </c>
      <c r="C9" s="41" t="s">
        <v>8</v>
      </c>
      <c r="D9" s="42">
        <v>111.8005</v>
      </c>
      <c r="E9" s="43"/>
      <c r="F9" s="42">
        <v>20412</v>
      </c>
      <c r="G9" s="43">
        <v>16177</v>
      </c>
      <c r="H9" s="43">
        <v>1350</v>
      </c>
      <c r="I9" s="44">
        <f t="shared" si="3"/>
        <v>17800</v>
      </c>
      <c r="J9" s="34">
        <f t="shared" si="0"/>
        <v>1990.0489</v>
      </c>
      <c r="K9" s="36">
        <f t="shared" si="4"/>
        <v>-292.02290600000003</v>
      </c>
      <c r="L9" s="37">
        <f t="shared" si="2"/>
        <v>-0.14674157303370788</v>
      </c>
      <c r="M9" s="34" t="s">
        <v>98</v>
      </c>
      <c r="N9" s="45" t="s">
        <v>99</v>
      </c>
    </row>
    <row r="10" spans="1:17" ht="29" x14ac:dyDescent="0.35">
      <c r="A10" s="39">
        <f t="shared" si="1"/>
        <v>6</v>
      </c>
      <c r="B10" s="40">
        <v>160012951</v>
      </c>
      <c r="C10" s="41" t="s">
        <v>56</v>
      </c>
      <c r="D10" s="42">
        <v>35.799999999999997</v>
      </c>
      <c r="E10" s="43"/>
      <c r="F10" s="42">
        <v>8239</v>
      </c>
      <c r="G10" s="43">
        <v>8000</v>
      </c>
      <c r="H10" s="43"/>
      <c r="I10" s="35">
        <v>13000</v>
      </c>
      <c r="J10" s="46">
        <f t="shared" si="0"/>
        <v>465.39999999999992</v>
      </c>
      <c r="K10" s="47">
        <f t="shared" si="4"/>
        <v>170.44379999999998</v>
      </c>
      <c r="L10" s="37">
        <f t="shared" si="2"/>
        <v>0.36623076923076925</v>
      </c>
      <c r="M10" s="48" t="s">
        <v>100</v>
      </c>
      <c r="N10" s="45" t="s">
        <v>101</v>
      </c>
    </row>
    <row r="11" spans="1:17" ht="29" x14ac:dyDescent="0.35">
      <c r="A11" s="39">
        <f t="shared" si="1"/>
        <v>7</v>
      </c>
      <c r="B11" s="40">
        <v>160012611</v>
      </c>
      <c r="C11" s="41" t="s">
        <v>55</v>
      </c>
      <c r="D11" s="42">
        <v>121.17725799999999</v>
      </c>
      <c r="E11" s="43"/>
      <c r="F11" s="42">
        <v>4840</v>
      </c>
      <c r="G11" s="43">
        <v>4000</v>
      </c>
      <c r="H11" s="43"/>
      <c r="I11" s="44">
        <v>13000</v>
      </c>
      <c r="J11" s="46">
        <f t="shared" si="0"/>
        <v>1575.3043539999999</v>
      </c>
      <c r="K11" s="47">
        <f t="shared" si="4"/>
        <v>988.80642527999998</v>
      </c>
      <c r="L11" s="37">
        <f t="shared" si="2"/>
        <v>0.62769230769230777</v>
      </c>
      <c r="M11" s="48" t="s">
        <v>100</v>
      </c>
      <c r="N11" s="45" t="s">
        <v>101</v>
      </c>
    </row>
    <row r="12" spans="1:17" ht="29" x14ac:dyDescent="0.35">
      <c r="A12" s="39">
        <f t="shared" si="1"/>
        <v>8</v>
      </c>
      <c r="B12" s="40">
        <v>160012974</v>
      </c>
      <c r="C12" s="41" t="s">
        <v>102</v>
      </c>
      <c r="D12" s="42">
        <v>49.923000000000002</v>
      </c>
      <c r="E12" s="49"/>
      <c r="F12" s="42">
        <v>16810</v>
      </c>
      <c r="G12" s="43">
        <v>14163</v>
      </c>
      <c r="H12" s="43"/>
      <c r="I12" s="44">
        <v>13000</v>
      </c>
      <c r="J12" s="46">
        <f t="shared" si="0"/>
        <v>648.99900000000002</v>
      </c>
      <c r="K12" s="47">
        <f t="shared" si="4"/>
        <v>-190.20663000000002</v>
      </c>
      <c r="L12" s="37">
        <f t="shared" si="2"/>
        <v>-0.29307692307692307</v>
      </c>
      <c r="M12" s="48" t="s">
        <v>100</v>
      </c>
      <c r="N12" s="45" t="s">
        <v>101</v>
      </c>
    </row>
    <row r="13" spans="1:17" customFormat="1" ht="43.5" x14ac:dyDescent="0.35">
      <c r="A13" s="39">
        <f t="shared" si="1"/>
        <v>9</v>
      </c>
      <c r="B13" s="40">
        <v>160012801</v>
      </c>
      <c r="C13" s="41" t="s">
        <v>103</v>
      </c>
      <c r="D13" s="42">
        <v>117.438</v>
      </c>
      <c r="E13" s="43"/>
      <c r="F13" s="42">
        <v>25647</v>
      </c>
      <c r="G13" s="43">
        <v>8000</v>
      </c>
      <c r="H13" s="43"/>
      <c r="I13" s="44">
        <v>14000</v>
      </c>
      <c r="J13" s="46">
        <f t="shared" si="0"/>
        <v>1644.1320000000001</v>
      </c>
      <c r="K13" s="36">
        <f t="shared" si="4"/>
        <v>-1367.8003859999999</v>
      </c>
      <c r="L13" s="37">
        <f t="shared" si="2"/>
        <v>-0.83192857142857135</v>
      </c>
      <c r="M13" s="34"/>
      <c r="N13" s="45" t="s">
        <v>104</v>
      </c>
      <c r="P13" s="50" t="s">
        <v>105</v>
      </c>
    </row>
    <row r="14" spans="1:17" ht="29" x14ac:dyDescent="0.35">
      <c r="A14" s="39">
        <f t="shared" si="1"/>
        <v>10</v>
      </c>
      <c r="B14" s="40">
        <v>160012956</v>
      </c>
      <c r="C14" s="41" t="s">
        <v>13</v>
      </c>
      <c r="D14" s="42">
        <v>97.198999999999998</v>
      </c>
      <c r="E14" s="43"/>
      <c r="F14" s="42">
        <v>8041</v>
      </c>
      <c r="G14" s="43">
        <v>7500</v>
      </c>
      <c r="H14" s="43"/>
      <c r="I14" s="44">
        <v>11111.1111</v>
      </c>
      <c r="J14" s="46">
        <f t="shared" si="0"/>
        <v>1079.9888878089</v>
      </c>
      <c r="K14" s="36">
        <f t="shared" si="4"/>
        <v>298.41172880889997</v>
      </c>
      <c r="L14" s="37">
        <f t="shared" si="2"/>
        <v>0.27630999927630995</v>
      </c>
      <c r="M14" s="43" t="s">
        <v>76</v>
      </c>
      <c r="N14" s="45" t="s">
        <v>104</v>
      </c>
    </row>
    <row r="15" spans="1:17" ht="29" x14ac:dyDescent="0.35">
      <c r="A15" s="39">
        <f t="shared" si="1"/>
        <v>11</v>
      </c>
      <c r="B15" s="40">
        <v>160012746</v>
      </c>
      <c r="C15" s="41" t="s">
        <v>58</v>
      </c>
      <c r="D15" s="42">
        <v>209.73479999999998</v>
      </c>
      <c r="E15" s="43">
        <v>164</v>
      </c>
      <c r="F15" s="42"/>
      <c r="G15" s="43"/>
      <c r="H15" s="43"/>
      <c r="I15" s="44"/>
      <c r="J15" s="46"/>
      <c r="K15" s="36"/>
      <c r="L15" s="37"/>
      <c r="M15" s="34" t="s">
        <v>106</v>
      </c>
      <c r="N15" s="45" t="s">
        <v>107</v>
      </c>
    </row>
    <row r="16" spans="1:17" ht="29" x14ac:dyDescent="0.35">
      <c r="A16" s="51">
        <f t="shared" si="1"/>
        <v>12</v>
      </c>
      <c r="B16" s="52">
        <v>160012949</v>
      </c>
      <c r="C16" s="53" t="s">
        <v>57</v>
      </c>
      <c r="D16" s="54">
        <v>39.208800000000004</v>
      </c>
      <c r="E16" s="55">
        <v>24</v>
      </c>
      <c r="F16" s="54"/>
      <c r="G16" s="55"/>
      <c r="H16" s="55"/>
      <c r="I16" s="56"/>
      <c r="J16" s="57"/>
      <c r="K16" s="58"/>
      <c r="L16" s="59"/>
      <c r="M16" s="55" t="s">
        <v>106</v>
      </c>
      <c r="N16" s="60" t="s">
        <v>107</v>
      </c>
    </row>
    <row r="17" spans="1:14" ht="15.5" x14ac:dyDescent="0.35">
      <c r="A17" s="61"/>
      <c r="B17" s="61"/>
      <c r="C17" s="61" t="s">
        <v>108</v>
      </c>
      <c r="D17" s="62">
        <f>SUM(D5:D16)</f>
        <v>1192.9906579999999</v>
      </c>
      <c r="E17" s="62">
        <f>SUM(E5:E16)</f>
        <v>448</v>
      </c>
      <c r="F17" s="61"/>
      <c r="G17" s="61"/>
      <c r="H17" s="61"/>
      <c r="I17" s="61"/>
      <c r="J17" s="62">
        <f>SUM(J5:J16)</f>
        <v>15154.4549118089</v>
      </c>
      <c r="K17" s="63">
        <f>SUM(K5:K16)</f>
        <v>-746.05143681109996</v>
      </c>
      <c r="L17" s="64">
        <f>+K17/J17</f>
        <v>-4.9229843049633522E-2</v>
      </c>
      <c r="M17" s="61"/>
      <c r="N17" s="61"/>
    </row>
  </sheetData>
  <conditionalFormatting sqref="B1:B1048576">
    <cfRule type="duplicateValues" dxfId="2" priority="3"/>
  </conditionalFormatting>
  <conditionalFormatting sqref="K5:L16">
    <cfRule type="cellIs" dxfId="1" priority="2" operator="lessThan">
      <formula>0</formula>
    </cfRule>
  </conditionalFormatting>
  <conditionalFormatting sqref="L17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D4C7-AEDC-4B7C-8B83-7F9ECBB9351B}">
  <sheetPr>
    <tabColor theme="5" tint="0.39997558519241921"/>
  </sheetPr>
  <dimension ref="A1"/>
  <sheetViews>
    <sheetView showGridLines="0" workbookViewId="0">
      <selection activeCell="E15" sqref="E1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D7419-0B3C-4BE1-AF48-59A60872897F}">
  <sheetPr>
    <tabColor theme="5" tint="0.59999389629810485"/>
  </sheetPr>
  <dimension ref="A1"/>
  <sheetViews>
    <sheetView workbookViewId="0">
      <selection activeCell="G33" sqref="G3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Hàng Phó sản </vt:lpstr>
      <vt:lpstr>2. Hàng tồn kho lâu năm</vt:lpstr>
      <vt:lpstr>Giá TGĐ duyệt</vt:lpstr>
      <vt:lpstr>Mail 1</vt:lpstr>
      <vt:lpstr>Mail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Anh, Nguyễn Thị Quỳnh (Bella)</dc:creator>
  <cp:lastModifiedBy>Tâm, Lưu Thị Minh</cp:lastModifiedBy>
  <dcterms:created xsi:type="dcterms:W3CDTF">2015-06-05T18:17:20Z</dcterms:created>
  <dcterms:modified xsi:type="dcterms:W3CDTF">2026-06-12T03:48:28Z</dcterms:modified>
</cp:coreProperties>
</file>