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https://dtg-my.sharepoint.com/personal/phamngocphuongphuong_duytanrecycling_com/Documents/2. Data/2. Report 2023/22. Công nghệ cao/4. Hoso DuAn/3. ThongTinDA/"/>
    </mc:Choice>
  </mc:AlternateContent>
  <xr:revisionPtr revIDLastSave="5" documentId="13_ncr:1_{AF20C240-1858-4614-B488-D02CD4248013}" xr6:coauthVersionLast="47" xr6:coauthVersionMax="47" xr10:uidLastSave="{04C9D775-C24F-41DF-AAC4-6C790E65775A}"/>
  <bookViews>
    <workbookView xWindow="-110" yWindow="-110" windowWidth="19420" windowHeight="10300" xr2:uid="{54B30C49-DF3A-4AD8-ABBF-007D668EE8FB}"/>
  </bookViews>
  <sheets>
    <sheet name="Sheet1" sheetId="1" r:id="rId1"/>
    <sheet name="Holiday" sheetId="2" r:id="rId2"/>
  </sheets>
  <definedNames>
    <definedName name="_xlnm._FilterDatabase" localSheetId="0" hidden="1">Sheet1!$A$1:$AC$58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1" l="1"/>
  <c r="F13" i="1"/>
  <c r="F4" i="1"/>
  <c r="AD52" i="1"/>
  <c r="AD44" i="1"/>
  <c r="AD36" i="1"/>
  <c r="AD28" i="1"/>
  <c r="AD22" i="1"/>
  <c r="AD13" i="1"/>
  <c r="AD4" i="1"/>
  <c r="AD7" i="1"/>
  <c r="AD57" i="1"/>
  <c r="AD56" i="1"/>
  <c r="AD55" i="1"/>
  <c r="AD54" i="1"/>
  <c r="AD53" i="1"/>
  <c r="AD51" i="1"/>
  <c r="AD50" i="1"/>
  <c r="AD49" i="1"/>
  <c r="AD48" i="1"/>
  <c r="AD47" i="1"/>
  <c r="AD46" i="1"/>
  <c r="AD45" i="1"/>
  <c r="AD43" i="1"/>
  <c r="AD42" i="1"/>
  <c r="AD41" i="1"/>
  <c r="AD40" i="1"/>
  <c r="AD39" i="1"/>
  <c r="AD38" i="1"/>
  <c r="AD37" i="1"/>
  <c r="AD35" i="1"/>
  <c r="AD34" i="1"/>
  <c r="AD33" i="1"/>
  <c r="AD32" i="1"/>
  <c r="AD31" i="1"/>
  <c r="AD30" i="1"/>
  <c r="AD29" i="1"/>
  <c r="AD23" i="1"/>
  <c r="F6" i="1" l="1"/>
  <c r="AC27" i="1"/>
  <c r="AC26" i="1"/>
  <c r="AB27" i="1"/>
  <c r="AB26" i="1"/>
  <c r="AA27" i="1"/>
  <c r="AA26" i="1"/>
  <c r="AA25" i="1"/>
  <c r="U3" i="1"/>
  <c r="W3" i="1"/>
  <c r="A20" i="2" l="1"/>
  <c r="Z25" i="1"/>
  <c r="AD25" i="1" s="1"/>
  <c r="Z24" i="1"/>
  <c r="AD24" i="1" s="1"/>
  <c r="F56" i="1" l="1"/>
  <c r="F57" i="1"/>
  <c r="F55" i="1"/>
  <c r="F54" i="1"/>
  <c r="F53" i="1"/>
  <c r="F46" i="1"/>
  <c r="F45" i="1"/>
  <c r="F51" i="1"/>
  <c r="F50" i="1"/>
  <c r="F49" i="1"/>
  <c r="F48" i="1"/>
  <c r="F47" i="1"/>
  <c r="F43" i="1"/>
  <c r="F42" i="1"/>
  <c r="F41" i="1"/>
  <c r="F40" i="1"/>
  <c r="F39" i="1"/>
  <c r="F38" i="1"/>
  <c r="F37" i="1"/>
  <c r="F30" i="1"/>
  <c r="F35" i="1"/>
  <c r="F34" i="1"/>
  <c r="F31" i="1"/>
  <c r="F29" i="1"/>
  <c r="F22" i="1"/>
  <c r="W2" i="1"/>
  <c r="U2" i="1"/>
  <c r="AC5" i="1"/>
  <c r="A15" i="2"/>
  <c r="A17" i="2"/>
  <c r="A18" i="2" s="1"/>
  <c r="A4" i="2"/>
  <c r="A5" i="2" s="1"/>
  <c r="A6" i="2" s="1"/>
  <c r="A7" i="2" s="1"/>
  <c r="A8" i="2" s="1"/>
  <c r="A9" i="2" s="1"/>
  <c r="A10" i="2" s="1"/>
  <c r="A11" i="2" s="1"/>
  <c r="F19" i="1"/>
  <c r="F16" i="1"/>
  <c r="F15" i="1"/>
  <c r="F17" i="1"/>
  <c r="F18" i="1"/>
  <c r="F20" i="1"/>
  <c r="F21" i="1"/>
  <c r="F28" i="1" l="1"/>
  <c r="F36" i="1"/>
  <c r="F44" i="1"/>
  <c r="X21" i="1"/>
  <c r="Z26" i="1"/>
  <c r="AD26" i="1" s="1"/>
  <c r="Z27" i="1"/>
  <c r="AD27" i="1" s="1"/>
  <c r="AC20" i="1"/>
  <c r="AB17" i="1"/>
  <c r="AB18" i="1"/>
  <c r="AB20" i="1"/>
  <c r="AB21" i="1"/>
  <c r="AA18" i="1"/>
  <c r="Z18" i="1"/>
  <c r="Z19" i="1"/>
  <c r="Z20" i="1"/>
  <c r="Y18" i="1"/>
  <c r="Y19" i="1"/>
  <c r="X18" i="1"/>
  <c r="X20" i="1"/>
  <c r="V21" i="1"/>
  <c r="V3" i="1" s="1"/>
  <c r="T16" i="1"/>
  <c r="T17" i="1"/>
  <c r="T20" i="1"/>
  <c r="T19" i="1"/>
  <c r="T21" i="1"/>
  <c r="T15" i="1"/>
  <c r="S16" i="1"/>
  <c r="S17" i="1"/>
  <c r="S19" i="1"/>
  <c r="R16" i="1"/>
  <c r="AD16" i="1" s="1"/>
  <c r="R15" i="1"/>
  <c r="R17" i="1"/>
  <c r="R18" i="1"/>
  <c r="R19" i="1"/>
  <c r="R20" i="1"/>
  <c r="AD20" i="1" s="1"/>
  <c r="R21" i="1"/>
  <c r="AD19" i="1" l="1"/>
  <c r="AD18" i="1"/>
  <c r="AD21" i="1"/>
  <c r="AD17" i="1"/>
  <c r="AD15" i="1"/>
  <c r="AB3" i="1"/>
  <c r="AB2" i="1" s="1"/>
  <c r="R3" i="1"/>
  <c r="S3" i="1"/>
  <c r="T3" i="1"/>
  <c r="T2" i="1" s="1"/>
  <c r="S2" i="1"/>
  <c r="V2" i="1"/>
  <c r="F12" i="1"/>
  <c r="F11" i="1"/>
  <c r="AC11" i="1" s="1"/>
  <c r="AC3" i="1" s="1"/>
  <c r="F10" i="1"/>
  <c r="F9" i="1"/>
  <c r="F8" i="1"/>
  <c r="F7" i="1"/>
  <c r="R2" i="1" l="1"/>
  <c r="AC2" i="1"/>
  <c r="Z6" i="1"/>
  <c r="AA6" i="1"/>
  <c r="Z10" i="1"/>
  <c r="AA10" i="1"/>
  <c r="Z7" i="1"/>
  <c r="AA7" i="1"/>
  <c r="Z8" i="1"/>
  <c r="AA8" i="1"/>
  <c r="Z9" i="1"/>
  <c r="AA9" i="1"/>
  <c r="Z11" i="1"/>
  <c r="AA11" i="1"/>
  <c r="Z12" i="1"/>
  <c r="AA12" i="1"/>
  <c r="X10" i="1"/>
  <c r="Y10" i="1"/>
  <c r="X6" i="1"/>
  <c r="AD6" i="1" s="1"/>
  <c r="Y6" i="1"/>
  <c r="X7" i="1"/>
  <c r="Y7" i="1"/>
  <c r="X9" i="1"/>
  <c r="AD9" i="1" s="1"/>
  <c r="Y9" i="1"/>
  <c r="X11" i="1"/>
  <c r="Y11" i="1"/>
  <c r="X8" i="1"/>
  <c r="AD8" i="1" s="1"/>
  <c r="Y8" i="1"/>
  <c r="X12" i="1"/>
  <c r="AD12" i="1" s="1"/>
  <c r="Y12" i="1"/>
  <c r="AD10" i="1" l="1"/>
  <c r="AD11" i="1"/>
  <c r="Y3" i="1"/>
  <c r="Y2" i="1" s="1"/>
  <c r="X3" i="1"/>
  <c r="AA3" i="1"/>
  <c r="AA2" i="1" s="1"/>
  <c r="Z3" i="1"/>
  <c r="Z2" i="1" s="1"/>
  <c r="AD3" i="1" l="1"/>
  <c r="X2" i="1"/>
  <c r="AD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Phương, Phạm Ngọc Phương</author>
  </authors>
  <commentList>
    <comment ref="E5" authorId="0" shapeId="0" xr:uid="{2C641EB0-718F-4875-81E3-3D87C7617863}">
      <text>
        <r>
          <rPr>
            <b/>
            <sz val="9"/>
            <color indexed="81"/>
            <rFont val="Tahoma"/>
            <family val="2"/>
          </rPr>
          <t>Phương, Phạm Ngọc Phương: chỉ định trưởng dự án</t>
        </r>
        <r>
          <rPr>
            <sz val="9"/>
            <color indexed="81"/>
            <rFont val="Tahoma"/>
            <family val="2"/>
          </rPr>
          <t xml:space="preserve">
</t>
        </r>
      </text>
    </comment>
  </commentList>
</comments>
</file>

<file path=xl/sharedStrings.xml><?xml version="1.0" encoding="utf-8"?>
<sst xmlns="http://schemas.openxmlformats.org/spreadsheetml/2006/main" count="101" uniqueCount="72">
  <si>
    <t>STT</t>
  </si>
  <si>
    <t>Dự án NC&amp;PT</t>
  </si>
  <si>
    <t>Nghiên cứu tái chế các loại chai có tỷ lệ vảy PET dính keo cao</t>
  </si>
  <si>
    <t>Khảo sát đặc tính keo, nhãn dính trên vảy PET sau băm: 3 ngày</t>
  </si>
  <si>
    <t>Khảo sát hóa phẩm tẩy rửa phù hợp để tách keo, nhãn nhưng vẫn bảo lưu đặc tính vảy PET: 3 ngày</t>
  </si>
  <si>
    <t>Order hóa chất, lập danh sách thứ tự ưu tiên dựa trên đặc tính vảy thử nghiệm: 7 ngày</t>
  </si>
  <si>
    <t>Tiến hành thử nghiệm, đánh giá hiệu quả tẩy rửa và đặc tính vảy sau rửa: 7 ngày</t>
  </si>
  <si>
    <t>Báo cáo nghiệm thu và tiến hành thử nghiệm quy mô lớn 20 tấn vảy: 5 ngày</t>
  </si>
  <si>
    <t>Báo cáo nghiệm thu và bàn giao quy trình, yêu cầu kế hoạch áp dụng mass-production: 1 ngày</t>
  </si>
  <si>
    <t>Theo dõi và đánh giá hậu kiểm: 2 ngày</t>
  </si>
  <si>
    <t>Ngày bắt đầu</t>
  </si>
  <si>
    <t>Ngày kết thúc</t>
  </si>
  <si>
    <t>Holiday</t>
  </si>
  <si>
    <t>Đái Trung Quân</t>
  </si>
  <si>
    <t>Trần Minh Hoàng</t>
  </si>
  <si>
    <t>Đặng Lê Châu Đoan</t>
  </si>
  <si>
    <t>Sầm Minh Tuấn</t>
  </si>
  <si>
    <t>Cao Thùy Linh</t>
  </si>
  <si>
    <t>Phạm Thị Kim Hồng</t>
  </si>
  <si>
    <t>Lê Văn Ty</t>
  </si>
  <si>
    <t>Võ Tiến Dũng</t>
  </si>
  <si>
    <t>Đổ Quốc Sang</t>
  </si>
  <si>
    <t>Nguyễn Ngọc Sơn</t>
  </si>
  <si>
    <t>Võ Thị Bích Phượng</t>
  </si>
  <si>
    <t>Nguyễn Thị Huỳnh Như</t>
  </si>
  <si>
    <t>Đặng Thị Anh Thư</t>
  </si>
  <si>
    <t>Phan Hồ Thủy</t>
  </si>
  <si>
    <t>Nguyễn Trung Tài</t>
  </si>
  <si>
    <t>Ngô Quốc Huy</t>
  </si>
  <si>
    <t>Lê Minh Thanh</t>
  </si>
  <si>
    <t>Trần Văn Hớn</t>
  </si>
  <si>
    <t>Huỳnh Hữu Lộc</t>
  </si>
  <si>
    <t>Ngô Tuấn Nghĩa</t>
  </si>
  <si>
    <t>Huỳnh Ngọc Thạch</t>
  </si>
  <si>
    <t>Trưởng dự án</t>
  </si>
  <si>
    <t>Thư ký dự án</t>
  </si>
  <si>
    <t>Triển khai và khởi động dự án</t>
  </si>
  <si>
    <t>Nghiên cứu cách giảm ánh vàng trên hạt nhựa tái chế</t>
  </si>
  <si>
    <t>Khảo sát đặc tính chai nhập đầu vào dựa trên màu sắc, thiết kế, độ nhớt và hàm lượng tạp trong vảy sau băm: 7 ngày</t>
  </si>
  <si>
    <t>Đề xuất nhóm phân loại và đánh giá mức độ ảnh hưởng ánh vàng trên hạt nhựa theo từng nhóm phân loại: 21 ngày</t>
  </si>
  <si>
    <t>Báo cáo đánh giá sơ bộ nhóm nguyên liệu, khảo sát nhóm thiết bị và thông số vận hành đang áp dụng trên chuyền: 3 ngày</t>
  </si>
  <si>
    <t>Tiến hành thử nghiệm, đánh giá khả năng khử ánh vàng trên hạt nhựa bằng cách tối ưu thông số vận hành từng nhóm thiết bị (cô lập nhóm để khảo sát): 7 ngày</t>
  </si>
  <si>
    <t>Báo cáo nghiệm thu và tiến hành thử nghiệm quy mô lớn 20 tấn vảy/nhóm: 14 ngày</t>
  </si>
  <si>
    <t>Thực hiện 75 thử nghiệm cho PET &amp; HDPE, TB &gt;6 thử nghiệm/tháng</t>
  </si>
  <si>
    <t>Khảo sát tình trạng sản phẩm, dây chuyền sản xuất và hiệu quả vận hành dựa trên báo cáo tuần của bộ phận Chất lượng/Kỹ thuật/Sản xuất: Định kỳ 1 tuần/lần</t>
  </si>
  <si>
    <t>Tham khảo tiến bộ KH&amp;CN (thông qua hội thảo, bài báo khoa học, ứng dụng và quảng cáo công nghiệp,...vv), báo cáo đánh giá tính khả thi theo từng tình trạng cần xử lý trong các cuộc họp giao ban: Định kỳ 1 tháng/lần</t>
  </si>
  <si>
    <t>Lập biểu đồ kế hoạch thực hiện và báo cáo dự án theo từng giai đoạn: Định kỳ 1 tuần/lần</t>
  </si>
  <si>
    <t>Nghiên cứu và sản xuất thành công sản phẩm ứng dụng cho chai CSD</t>
  </si>
  <si>
    <t>Nghiên cứu thành công phụ gia ổn định MI (rHDPE)</t>
  </si>
  <si>
    <t>Khảo sát đặc tính phụ gia và tính tương thích với nền mẫu HDPE: 5 ngày</t>
  </si>
  <si>
    <t>Liên hệ đặt mẫu phụ gia và chuẩn bị các mẫu nguyên liệu rHDPE với mức MI từ thấp tới cao: 5 ngày</t>
  </si>
  <si>
    <t>Tiến hành thử nghiệm với các tỉ lệ khác nhau, khảo sát biến thiên MI trong quy mô PTN: 3 ngày</t>
  </si>
  <si>
    <t>Báo cáo đánh giá sơ bộ và đề xuất thử nghiệm trên chuyền: 7 ngày</t>
  </si>
  <si>
    <t>Lập ma trận đánh giá hiệu quả và độ ổn định của MI thành phẩm theo từng tỷ lệ thử nghiệm: 2 ngày</t>
  </si>
  <si>
    <t>Báo cáo nghiệm thu và bàn giao công thức, áp dụng mass-production: 1 ngày</t>
  </si>
  <si>
    <t>Nghiên cứu công thức xử lý linh động theo nguồn nguyên vật liệu</t>
  </si>
  <si>
    <t xml:space="preserve"> Khảo sát đặc tính các thành phần nguyên liệu (dòng chai mới, phó sản phát sinh,...vv) dựa trên màu sắc, thiết kế, độ nhớt và hàm lượng tạp trong vảy bán thành phẩm sau xử lý: 14 ngày</t>
  </si>
  <si>
    <t>Đề xuất công thức xử lý dựa trên kết quả đánh giá các mẫu thẻ màu, thẻ cơ tính và phôi ép: 21 ngày</t>
  </si>
  <si>
    <t>Báo cáo đánh giá sơ bộ công thức xử lý, khảo sát nhóm thiết bị và thông số vận hành phù hợp trên chuyền: 3 ngày</t>
  </si>
  <si>
    <t>Tiến hành thử nghiệm sản lượng nhỏ (5MT) trên chuyền theo từng công thức xử lý: 7 ngày</t>
  </si>
  <si>
    <t>Lập ma trận đánh giá hiệu quả và độ ổn định của đặc tính thành phẩm theo từng thử nghiệm: 2 ngày</t>
  </si>
  <si>
    <t>Nghiên cứu biện pháp giảm tạp chất trong vảy PET sau băm, sau rửa</t>
  </si>
  <si>
    <t>Lập bảng phân tích nguồn gốc sự cố (Root cause analysis) của các vấn đề gây lỗi trên vảy PET sau băm, sau rửa đến từ tạp chất: 7 ngày</t>
  </si>
  <si>
    <t>Tham khảo các tính năng mới hoặc cải tiến phù hợp trên máy móc, thiết bị đã có hoặc mua mới để xử lý vấn đề phát sinh: 7 ngày</t>
  </si>
  <si>
    <t>Đề xuất chỉnh sửa thông số vận hành và/hoặc đầu tư trang thiết bị mới dựa trên đặc điểm và mục tiêu vấn đề cần xử lý: 1 ngày</t>
  </si>
  <si>
    <t>Tiến hành thử nghiệm sản lượng nhỏ (5MT) với mỗi phương án điều chỉnh trên chuyền, theo dõi và đánh giá hiệu quả thay đổi: 21 ngày</t>
  </si>
  <si>
    <t>Báo cáo nghiệm thu và bàn giao chỉnh sửa: 1 ngày</t>
  </si>
  <si>
    <t>Số tháng làm việc</t>
  </si>
  <si>
    <t>Số ngày làm việc</t>
  </si>
  <si>
    <t>TỔNG</t>
  </si>
  <si>
    <t>Tiến độ và thực tế thực hiện</t>
  </si>
  <si>
    <t>Số ngày thống kê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</si>
</sst>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m/dd/yy;@"/>
    <numFmt numFmtId="165" formatCode="0.0"/>
  </numFmts>
  <fonts count="9" x14ac:knownFonts="1">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i/>
      <sz val="15"/>
      <color rgb="FF000000"/>
      <name val="Times New Roman"/>
      <family val="1"/>
    </font>
    <font>
      <sz val="15"/>
      <color theme="1"/>
      <name val="Times New Roman"/>
      <family val="1"/>
    </font>
    <font>
      <sz val="15"/>
      <name val="Times New Roman"/>
      <family val="1"/>
    </font>
    <font>
      <b/>
      <i/>
      <sz val="15"/>
      <color rgb="FF000000"/>
      <name val="Times New Roman"/>
      <family val="1"/>
    </font>
    <font>
      <b/>
      <sz val="15"/>
      <color theme="1"/>
      <name val="Times New Roman"/>
      <family val="1"/>
    </font>
  </fonts>
  <fills count="7">
    <fill>
      <patternFill patternType="none"/>
    </fill>
    <fill>
      <patternFill patternType="gray125"/>
    </fill>
    <fill>
      <patternFill patternType="solid">
        <fgColor rgb="FFDDD9C3"/>
        <bgColor indexed="64"/>
      </patternFill>
    </fill>
    <fill>
      <patternFill patternType="solid">
        <fgColor rgb="FF92D05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8"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0" fontId="1" fillId="0" borderId="0"/>
    <xf numFmtId="43" fontId="1" fillId="0" borderId="0" applyFont="0" applyFill="0" applyBorder="0" applyAlignment="0" applyProtection="0"/>
  </cellStyleXfs>
  <cellXfs count="47">
    <xf numFmtId="0" fontId="0" fillId="0" borderId="0" xfId="0"/>
    <xf numFmtId="164" fontId="0" fillId="0" borderId="0" xfId="0" applyNumberFormat="1"/>
    <xf numFmtId="14" fontId="0" fillId="0" borderId="0" xfId="0" applyNumberFormat="1"/>
    <xf numFmtId="164" fontId="0" fillId="0" borderId="0" xfId="0" applyNumberFormat="1" applyAlignment="1">
      <alignment horizontal="center"/>
    </xf>
    <xf numFmtId="43" fontId="0" fillId="0" borderId="0" xfId="3" applyFont="1"/>
    <xf numFmtId="0" fontId="4" fillId="2" borderId="1" xfId="0" applyFont="1" applyFill="1" applyBorder="1" applyAlignment="1">
      <alignment horizontal="center" vertical="top"/>
    </xf>
    <xf numFmtId="0" fontId="4" fillId="2" borderId="1" xfId="0" applyFont="1" applyFill="1" applyBorder="1" applyAlignment="1">
      <alignment horizontal="center" vertical="top" wrapText="1"/>
    </xf>
    <xf numFmtId="0" fontId="5" fillId="0" borderId="0" xfId="0" applyFont="1" applyAlignment="1">
      <alignment vertical="top"/>
    </xf>
    <xf numFmtId="0" fontId="4" fillId="0" borderId="1" xfId="0" applyFont="1" applyBorder="1" applyAlignment="1">
      <alignment horizontal="center" vertical="top"/>
    </xf>
    <xf numFmtId="165" fontId="7" fillId="0" borderId="1" xfId="0" applyNumberFormat="1" applyFont="1" applyBorder="1" applyAlignment="1">
      <alignment horizontal="center" vertical="top"/>
    </xf>
    <xf numFmtId="0" fontId="4" fillId="0" borderId="1" xfId="0" applyFont="1" applyBorder="1" applyAlignment="1">
      <alignment horizontal="center" vertical="center"/>
    </xf>
    <xf numFmtId="0" fontId="6" fillId="0" borderId="1" xfId="2" applyFont="1" applyBorder="1" applyAlignment="1">
      <alignment horizontal="left" vertical="top"/>
    </xf>
    <xf numFmtId="165" fontId="6" fillId="3" borderId="1" xfId="2" applyNumberFormat="1" applyFont="1" applyFill="1" applyBorder="1" applyAlignment="1">
      <alignment horizontal="left" vertical="top"/>
    </xf>
    <xf numFmtId="0" fontId="7" fillId="0" borderId="1" xfId="0" applyFont="1" applyBorder="1" applyAlignment="1">
      <alignment horizontal="center" vertical="top"/>
    </xf>
    <xf numFmtId="0" fontId="6" fillId="3" borderId="1" xfId="2" applyFont="1" applyFill="1" applyBorder="1" applyAlignment="1">
      <alignment horizontal="left" vertical="top"/>
    </xf>
    <xf numFmtId="0" fontId="4" fillId="5" borderId="1" xfId="0" applyFont="1" applyFill="1" applyBorder="1" applyAlignment="1">
      <alignment horizontal="center" vertical="top"/>
    </xf>
    <xf numFmtId="0" fontId="4" fillId="5" borderId="1" xfId="0" applyFont="1" applyFill="1" applyBorder="1" applyAlignment="1">
      <alignment horizontal="center" vertical="top" wrapText="1"/>
    </xf>
    <xf numFmtId="0" fontId="4" fillId="5" borderId="1" xfId="0" applyFont="1" applyFill="1" applyBorder="1" applyAlignment="1">
      <alignment horizontal="center" vertical="center"/>
    </xf>
    <xf numFmtId="0" fontId="5" fillId="0" borderId="1" xfId="0" applyFont="1" applyBorder="1" applyAlignment="1">
      <alignment horizontal="center" vertical="top"/>
    </xf>
    <xf numFmtId="0" fontId="5" fillId="0" borderId="2" xfId="0" applyFont="1" applyBorder="1" applyAlignment="1">
      <alignment horizontal="center" vertical="center" wrapText="1"/>
    </xf>
    <xf numFmtId="0" fontId="5" fillId="0" borderId="1" xfId="0" applyFont="1" applyBorder="1" applyAlignment="1">
      <alignment vertical="top" wrapText="1"/>
    </xf>
    <xf numFmtId="0" fontId="5" fillId="4" borderId="1" xfId="0" applyFont="1" applyFill="1" applyBorder="1" applyAlignment="1">
      <alignment horizontal="center" vertical="top"/>
    </xf>
    <xf numFmtId="14" fontId="5" fillId="0" borderId="1" xfId="0" applyNumberFormat="1" applyFont="1" applyBorder="1" applyAlignment="1">
      <alignment horizontal="center" vertical="center"/>
    </xf>
    <xf numFmtId="0" fontId="5" fillId="0" borderId="1" xfId="0" applyFont="1" applyBorder="1" applyAlignment="1">
      <alignment vertical="top"/>
    </xf>
    <xf numFmtId="0" fontId="8" fillId="4" borderId="1" xfId="0" applyFont="1" applyFill="1" applyBorder="1" applyAlignment="1">
      <alignment vertical="top"/>
    </xf>
    <xf numFmtId="0" fontId="6" fillId="0" borderId="1" xfId="0" applyFont="1" applyBorder="1" applyAlignment="1">
      <alignment horizontal="center" vertical="top"/>
    </xf>
    <xf numFmtId="0" fontId="6" fillId="0" borderId="1" xfId="0" applyFont="1" applyBorder="1" applyAlignment="1">
      <alignment vertical="top" wrapText="1"/>
    </xf>
    <xf numFmtId="0" fontId="6" fillId="0" borderId="1" xfId="0" applyFont="1" applyBorder="1" applyAlignment="1">
      <alignment vertical="top"/>
    </xf>
    <xf numFmtId="0" fontId="6" fillId="0" borderId="0" xfId="0" applyFont="1" applyAlignment="1">
      <alignment vertical="top"/>
    </xf>
    <xf numFmtId="0" fontId="5" fillId="0" borderId="1" xfId="0" applyFont="1" applyBorder="1" applyAlignment="1">
      <alignment horizontal="center" vertical="top" wrapText="1"/>
    </xf>
    <xf numFmtId="0" fontId="5" fillId="0" borderId="0" xfId="0" applyFont="1" applyAlignment="1">
      <alignment horizontal="center" vertical="top"/>
    </xf>
    <xf numFmtId="0" fontId="5" fillId="0" borderId="0" xfId="0" applyFont="1" applyAlignment="1">
      <alignment vertical="top" wrapText="1"/>
    </xf>
    <xf numFmtId="0" fontId="5" fillId="0" borderId="0" xfId="0" applyFont="1" applyAlignment="1">
      <alignment horizontal="center" vertical="center"/>
    </xf>
    <xf numFmtId="165" fontId="5" fillId="0" borderId="0" xfId="0" applyNumberFormat="1" applyFont="1" applyAlignment="1">
      <alignment vertical="top"/>
    </xf>
    <xf numFmtId="0" fontId="4" fillId="3" borderId="1" xfId="0" applyFont="1" applyFill="1" applyBorder="1" applyAlignment="1">
      <alignment horizontal="center" vertical="top" wrapText="1"/>
    </xf>
    <xf numFmtId="0" fontId="4" fillId="3" borderId="1" xfId="0" applyFont="1" applyFill="1" applyBorder="1" applyAlignment="1">
      <alignment horizontal="center" vertical="center" wrapText="1"/>
    </xf>
    <xf numFmtId="0" fontId="5" fillId="6" borderId="1" xfId="0" applyFont="1" applyFill="1" applyBorder="1" applyAlignment="1">
      <alignment vertical="top" wrapText="1"/>
    </xf>
    <xf numFmtId="0" fontId="6" fillId="4" borderId="1" xfId="2" applyFont="1" applyFill="1" applyBorder="1" applyAlignment="1">
      <alignment horizontal="left" vertical="top" wrapText="1"/>
    </xf>
    <xf numFmtId="0" fontId="5" fillId="4" borderId="1" xfId="0" applyFont="1" applyFill="1" applyBorder="1" applyAlignment="1">
      <alignment vertical="top" wrapText="1"/>
    </xf>
    <xf numFmtId="0" fontId="7" fillId="5" borderId="1" xfId="0" applyFont="1" applyFill="1" applyBorder="1" applyAlignment="1">
      <alignment horizontal="center" vertical="top"/>
    </xf>
    <xf numFmtId="0" fontId="4" fillId="0" borderId="5" xfId="0" applyFont="1" applyBorder="1" applyAlignment="1">
      <alignment horizontal="center" vertical="top"/>
    </xf>
    <xf numFmtId="0" fontId="4" fillId="0" borderId="6" xfId="0" applyFont="1" applyBorder="1" applyAlignment="1">
      <alignment horizontal="center" vertical="top"/>
    </xf>
    <xf numFmtId="0" fontId="4" fillId="0" borderId="7" xfId="0" applyFont="1" applyBorder="1" applyAlignment="1">
      <alignment horizontal="center" vertical="top"/>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1" xfId="0" applyFont="1" applyBorder="1" applyAlignment="1">
      <alignment horizontal="center" vertical="center" wrapText="1"/>
    </xf>
  </cellXfs>
  <cellStyles count="4">
    <cellStyle name="Comma" xfId="3" builtinId="3"/>
    <cellStyle name="Comma 2" xfId="1" xr:uid="{E42A6F52-9230-4A94-AF98-5C6F2A4A819E}"/>
    <cellStyle name="Normal" xfId="0" builtinId="0"/>
    <cellStyle name="Normal 2" xfId="2" xr:uid="{CD2EDCED-C804-496F-9701-B619B74537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F38A4-57F1-4889-8E94-A664AE3E7510}">
  <dimension ref="A1:AD74"/>
  <sheetViews>
    <sheetView tabSelected="1" zoomScale="60" zoomScaleNormal="60" workbookViewId="0">
      <pane xSplit="6" ySplit="4" topLeftCell="G48" activePane="bottomRight" state="frozen"/>
      <selection pane="topRight" activeCell="G1" sqref="G1"/>
      <selection pane="bottomLeft" activeCell="A3" sqref="A3"/>
      <selection pane="bottomRight" activeCell="F53" sqref="F53"/>
    </sheetView>
  </sheetViews>
  <sheetFormatPr defaultColWidth="8.7265625" defaultRowHeight="19" x14ac:dyDescent="0.35"/>
  <cols>
    <col min="1" max="1" width="2.81640625" style="30" customWidth="1"/>
    <col min="2" max="2" width="16.08984375" style="7" customWidth="1"/>
    <col min="3" max="3" width="9.90625" style="7" customWidth="1"/>
    <col min="4" max="4" width="10.90625" style="7" customWidth="1"/>
    <col min="5" max="5" width="32.90625" style="31" customWidth="1"/>
    <col min="6" max="6" width="10.81640625" style="30" customWidth="1"/>
    <col min="7" max="7" width="14.54296875" style="32" customWidth="1"/>
    <col min="8" max="8" width="15" style="32" bestFit="1" customWidth="1"/>
    <col min="9" max="9" width="13.81640625" style="7" hidden="1" customWidth="1"/>
    <col min="10" max="10" width="15.453125" style="7" hidden="1" customWidth="1"/>
    <col min="11" max="11" width="17.1796875" style="7" hidden="1" customWidth="1"/>
    <col min="12" max="12" width="13.81640625" style="7" hidden="1" customWidth="1"/>
    <col min="13" max="13" width="12.453125" style="7" hidden="1" customWidth="1"/>
    <col min="14" max="14" width="17.1796875" style="7" hidden="1" customWidth="1"/>
    <col min="15" max="15" width="8.54296875" style="7" hidden="1" customWidth="1"/>
    <col min="16" max="16" width="11.81640625" style="7" hidden="1" customWidth="1"/>
    <col min="17" max="17" width="12.453125" style="7" hidden="1" customWidth="1"/>
    <col min="18" max="18" width="12.36328125" style="7" customWidth="1"/>
    <col min="19" max="20" width="14" style="7" customWidth="1"/>
    <col min="21" max="21" width="12.26953125" style="7" customWidth="1"/>
    <col min="22" max="22" width="12.453125" style="7" bestFit="1" customWidth="1"/>
    <col min="23" max="23" width="12.90625" style="7" customWidth="1"/>
    <col min="24" max="24" width="12.54296875" style="7" bestFit="1" customWidth="1"/>
    <col min="25" max="25" width="13.26953125" style="7" bestFit="1" customWidth="1"/>
    <col min="26" max="26" width="12.26953125" style="7" bestFit="1" customWidth="1"/>
    <col min="27" max="27" width="13.54296875" style="7" bestFit="1" customWidth="1"/>
    <col min="28" max="28" width="14" style="7" bestFit="1" customWidth="1"/>
    <col min="29" max="29" width="11.26953125" style="7" customWidth="1"/>
    <col min="30" max="30" width="13.26953125" style="7" customWidth="1"/>
    <col min="31" max="16384" width="8.7265625" style="7"/>
  </cols>
  <sheetData>
    <row r="1" spans="1:30" ht="57" x14ac:dyDescent="0.35">
      <c r="A1" s="5" t="s">
        <v>0</v>
      </c>
      <c r="B1" s="6" t="s">
        <v>1</v>
      </c>
      <c r="C1" s="6" t="s">
        <v>34</v>
      </c>
      <c r="D1" s="6" t="s">
        <v>35</v>
      </c>
      <c r="E1" s="6" t="s">
        <v>70</v>
      </c>
      <c r="F1" s="34" t="s">
        <v>71</v>
      </c>
      <c r="G1" s="35" t="s">
        <v>10</v>
      </c>
      <c r="H1" s="35" t="s">
        <v>11</v>
      </c>
      <c r="I1" s="36" t="s">
        <v>13</v>
      </c>
      <c r="J1" s="36" t="s">
        <v>14</v>
      </c>
      <c r="K1" s="36" t="s">
        <v>15</v>
      </c>
      <c r="L1" s="36" t="s">
        <v>16</v>
      </c>
      <c r="M1" s="36" t="s">
        <v>17</v>
      </c>
      <c r="N1" s="36" t="s">
        <v>18</v>
      </c>
      <c r="O1" s="36" t="s">
        <v>19</v>
      </c>
      <c r="P1" s="36" t="s">
        <v>20</v>
      </c>
      <c r="Q1" s="36" t="s">
        <v>21</v>
      </c>
      <c r="R1" s="37" t="s">
        <v>22</v>
      </c>
      <c r="S1" s="37" t="s">
        <v>23</v>
      </c>
      <c r="T1" s="37" t="s">
        <v>24</v>
      </c>
      <c r="U1" s="37" t="s">
        <v>25</v>
      </c>
      <c r="V1" s="37" t="s">
        <v>26</v>
      </c>
      <c r="W1" s="37" t="s">
        <v>27</v>
      </c>
      <c r="X1" s="37" t="s">
        <v>28</v>
      </c>
      <c r="Y1" s="38" t="s">
        <v>29</v>
      </c>
      <c r="Z1" s="38" t="s">
        <v>30</v>
      </c>
      <c r="AA1" s="38" t="s">
        <v>31</v>
      </c>
      <c r="AB1" s="38" t="s">
        <v>32</v>
      </c>
      <c r="AC1" s="37" t="s">
        <v>33</v>
      </c>
      <c r="AD1" s="37" t="s">
        <v>69</v>
      </c>
    </row>
    <row r="2" spans="1:30" x14ac:dyDescent="0.35">
      <c r="A2" s="8"/>
      <c r="B2" s="40" t="s">
        <v>67</v>
      </c>
      <c r="C2" s="41"/>
      <c r="D2" s="41"/>
      <c r="E2" s="42"/>
      <c r="F2" s="9"/>
      <c r="G2" s="10"/>
      <c r="H2" s="10"/>
      <c r="I2" s="11"/>
      <c r="J2" s="11"/>
      <c r="K2" s="11"/>
      <c r="L2" s="11"/>
      <c r="M2" s="11"/>
      <c r="N2" s="11"/>
      <c r="O2" s="11"/>
      <c r="P2" s="11"/>
      <c r="Q2" s="11"/>
      <c r="R2" s="12">
        <f>R3/26</f>
        <v>11</v>
      </c>
      <c r="S2" s="12">
        <f t="shared" ref="S2:AC2" si="0">S3/26</f>
        <v>9</v>
      </c>
      <c r="T2" s="12">
        <f t="shared" si="0"/>
        <v>9.0384615384615383</v>
      </c>
      <c r="U2" s="12">
        <f t="shared" si="0"/>
        <v>2</v>
      </c>
      <c r="V2" s="12">
        <f t="shared" si="0"/>
        <v>1.9615384615384615</v>
      </c>
      <c r="W2" s="12">
        <f t="shared" si="0"/>
        <v>1</v>
      </c>
      <c r="X2" s="12">
        <f t="shared" si="0"/>
        <v>11</v>
      </c>
      <c r="Y2" s="12">
        <f t="shared" si="0"/>
        <v>11.038461538461538</v>
      </c>
      <c r="Z2" s="12">
        <f t="shared" si="0"/>
        <v>10</v>
      </c>
      <c r="AA2" s="12">
        <f t="shared" si="0"/>
        <v>9</v>
      </c>
      <c r="AB2" s="12">
        <f t="shared" si="0"/>
        <v>4</v>
      </c>
      <c r="AC2" s="12">
        <f t="shared" si="0"/>
        <v>4.9615384615384617</v>
      </c>
      <c r="AD2" s="12">
        <f>SUM(R2:AC2)</f>
        <v>84.000000000000014</v>
      </c>
    </row>
    <row r="3" spans="1:30" x14ac:dyDescent="0.35">
      <c r="A3" s="8"/>
      <c r="B3" s="40" t="s">
        <v>68</v>
      </c>
      <c r="C3" s="41"/>
      <c r="D3" s="41"/>
      <c r="E3" s="42"/>
      <c r="F3" s="13"/>
      <c r="G3" s="10"/>
      <c r="H3" s="10"/>
      <c r="I3" s="11"/>
      <c r="J3" s="11"/>
      <c r="K3" s="11"/>
      <c r="L3" s="11"/>
      <c r="M3" s="11"/>
      <c r="N3" s="11"/>
      <c r="O3" s="11"/>
      <c r="P3" s="11"/>
      <c r="Q3" s="11"/>
      <c r="R3" s="14">
        <f>SUM(R5:R57)</f>
        <v>286</v>
      </c>
      <c r="S3" s="14">
        <f t="shared" ref="S3:AB3" si="1">SUM(S5:S57)</f>
        <v>234</v>
      </c>
      <c r="T3" s="14">
        <f t="shared" si="1"/>
        <v>235</v>
      </c>
      <c r="U3" s="14">
        <f t="shared" si="1"/>
        <v>52</v>
      </c>
      <c r="V3" s="14">
        <f t="shared" si="1"/>
        <v>51</v>
      </c>
      <c r="W3" s="14">
        <f t="shared" si="1"/>
        <v>26</v>
      </c>
      <c r="X3" s="14">
        <f t="shared" si="1"/>
        <v>286</v>
      </c>
      <c r="Y3" s="14">
        <f t="shared" si="1"/>
        <v>287</v>
      </c>
      <c r="Z3" s="14">
        <f t="shared" si="1"/>
        <v>260</v>
      </c>
      <c r="AA3" s="14">
        <f t="shared" si="1"/>
        <v>234</v>
      </c>
      <c r="AB3" s="14">
        <f t="shared" si="1"/>
        <v>104</v>
      </c>
      <c r="AC3" s="14">
        <f>SUM(AC5:AC57)</f>
        <v>129</v>
      </c>
      <c r="AD3" s="12">
        <f>SUM(R3:AC3)</f>
        <v>2184</v>
      </c>
    </row>
    <row r="4" spans="1:30" x14ac:dyDescent="0.35">
      <c r="A4" s="15"/>
      <c r="B4" s="15"/>
      <c r="C4" s="15"/>
      <c r="D4" s="15"/>
      <c r="E4" s="16"/>
      <c r="F4" s="39">
        <f>SUM(F6:F12)</f>
        <v>28</v>
      </c>
      <c r="G4" s="17"/>
      <c r="H4" s="17"/>
      <c r="I4" s="15"/>
      <c r="J4" s="15"/>
      <c r="K4" s="15"/>
      <c r="L4" s="15"/>
      <c r="M4" s="15"/>
      <c r="N4" s="15"/>
      <c r="O4" s="15"/>
      <c r="P4" s="15"/>
      <c r="Q4" s="15"/>
      <c r="R4" s="15"/>
      <c r="S4" s="15"/>
      <c r="T4" s="15"/>
      <c r="U4" s="15"/>
      <c r="V4" s="15"/>
      <c r="W4" s="15"/>
      <c r="X4" s="15"/>
      <c r="Y4" s="15"/>
      <c r="Z4" s="15"/>
      <c r="AA4" s="15"/>
      <c r="AB4" s="15"/>
      <c r="AC4" s="15"/>
      <c r="AD4" s="24">
        <f>SUM(AD5:AD12)</f>
        <v>118</v>
      </c>
    </row>
    <row r="5" spans="1:30" ht="38" hidden="1" x14ac:dyDescent="0.35">
      <c r="A5" s="18">
        <v>1</v>
      </c>
      <c r="B5" s="43" t="s">
        <v>2</v>
      </c>
      <c r="C5" s="43" t="s">
        <v>14</v>
      </c>
      <c r="D5" s="43" t="s">
        <v>17</v>
      </c>
      <c r="E5" s="20" t="s">
        <v>36</v>
      </c>
      <c r="F5" s="21"/>
      <c r="G5" s="22">
        <v>44565</v>
      </c>
      <c r="H5" s="22">
        <v>44565</v>
      </c>
      <c r="I5" s="23"/>
      <c r="J5" s="23"/>
      <c r="K5" s="23"/>
      <c r="L5" s="23"/>
      <c r="M5" s="23"/>
      <c r="N5" s="23"/>
      <c r="O5" s="23"/>
      <c r="P5" s="23"/>
      <c r="Q5" s="23"/>
      <c r="R5" s="23"/>
      <c r="S5" s="23"/>
      <c r="T5" s="23"/>
      <c r="U5" s="23"/>
      <c r="V5" s="23"/>
      <c r="W5" s="23"/>
      <c r="X5" s="23"/>
      <c r="Y5" s="23"/>
      <c r="Z5" s="23"/>
      <c r="AA5" s="23"/>
      <c r="AB5" s="23"/>
      <c r="AC5" s="23">
        <f>$F5</f>
        <v>0</v>
      </c>
    </row>
    <row r="6" spans="1:30" ht="57" x14ac:dyDescent="0.35">
      <c r="A6" s="18"/>
      <c r="B6" s="44"/>
      <c r="C6" s="44"/>
      <c r="D6" s="44"/>
      <c r="E6" s="20" t="s">
        <v>3</v>
      </c>
      <c r="F6" s="18">
        <f>VALUE(LEFT(RIGHT(E6,6),1))</f>
        <v>3</v>
      </c>
      <c r="G6" s="22">
        <v>44565</v>
      </c>
      <c r="H6" s="22">
        <v>44567</v>
      </c>
      <c r="I6" s="23"/>
      <c r="J6" s="23"/>
      <c r="K6" s="23"/>
      <c r="L6" s="23"/>
      <c r="M6" s="23"/>
      <c r="N6" s="23"/>
      <c r="O6" s="23"/>
      <c r="P6" s="23"/>
      <c r="Q6" s="23"/>
      <c r="R6" s="23"/>
      <c r="S6" s="23"/>
      <c r="T6" s="23"/>
      <c r="U6" s="23"/>
      <c r="V6" s="23"/>
      <c r="W6" s="23"/>
      <c r="X6" s="23">
        <f t="shared" ref="X6:AA12" si="2">$F6</f>
        <v>3</v>
      </c>
      <c r="Y6" s="23">
        <f t="shared" si="2"/>
        <v>3</v>
      </c>
      <c r="Z6" s="23">
        <f t="shared" si="2"/>
        <v>3</v>
      </c>
      <c r="AA6" s="23">
        <f t="shared" si="2"/>
        <v>3</v>
      </c>
      <c r="AB6" s="23"/>
      <c r="AC6" s="23"/>
      <c r="AD6" s="23">
        <f>SUM(Q6:AC6)</f>
        <v>12</v>
      </c>
    </row>
    <row r="7" spans="1:30" ht="76" x14ac:dyDescent="0.35">
      <c r="A7" s="18"/>
      <c r="B7" s="44"/>
      <c r="C7" s="44"/>
      <c r="D7" s="44"/>
      <c r="E7" s="20" t="s">
        <v>4</v>
      </c>
      <c r="F7" s="18">
        <f t="shared" ref="F7:F57" si="3">VALUE(LEFT(RIGHT(E7,6),1))</f>
        <v>3</v>
      </c>
      <c r="G7" s="22">
        <v>44568</v>
      </c>
      <c r="H7" s="22">
        <v>44572</v>
      </c>
      <c r="I7" s="23"/>
      <c r="J7" s="23"/>
      <c r="K7" s="23"/>
      <c r="L7" s="23"/>
      <c r="M7" s="23"/>
      <c r="N7" s="23"/>
      <c r="O7" s="23"/>
      <c r="P7" s="23"/>
      <c r="Q7" s="23"/>
      <c r="R7" s="23"/>
      <c r="S7" s="23"/>
      <c r="T7" s="23"/>
      <c r="U7" s="23"/>
      <c r="V7" s="23"/>
      <c r="W7" s="23"/>
      <c r="X7" s="23">
        <f t="shared" si="2"/>
        <v>3</v>
      </c>
      <c r="Y7" s="23">
        <f t="shared" si="2"/>
        <v>3</v>
      </c>
      <c r="Z7" s="23">
        <f t="shared" si="2"/>
        <v>3</v>
      </c>
      <c r="AA7" s="23">
        <f t="shared" si="2"/>
        <v>3</v>
      </c>
      <c r="AB7" s="23"/>
      <c r="AC7" s="23"/>
      <c r="AD7" s="23">
        <f>SUM(Q7:AC7)</f>
        <v>12</v>
      </c>
    </row>
    <row r="8" spans="1:30" ht="76" x14ac:dyDescent="0.35">
      <c r="A8" s="18"/>
      <c r="B8" s="44"/>
      <c r="C8" s="44"/>
      <c r="D8" s="44"/>
      <c r="E8" s="20" t="s">
        <v>5</v>
      </c>
      <c r="F8" s="18">
        <f t="shared" si="3"/>
        <v>7</v>
      </c>
      <c r="G8" s="22">
        <v>44573</v>
      </c>
      <c r="H8" s="22">
        <v>44581</v>
      </c>
      <c r="I8" s="23"/>
      <c r="J8" s="23"/>
      <c r="K8" s="23"/>
      <c r="L8" s="23"/>
      <c r="M8" s="23"/>
      <c r="N8" s="23"/>
      <c r="O8" s="23"/>
      <c r="P8" s="23"/>
      <c r="Q8" s="23"/>
      <c r="R8" s="23"/>
      <c r="S8" s="23"/>
      <c r="T8" s="23"/>
      <c r="U8" s="23"/>
      <c r="V8" s="23"/>
      <c r="W8" s="23"/>
      <c r="X8" s="23">
        <f t="shared" si="2"/>
        <v>7</v>
      </c>
      <c r="Y8" s="23">
        <f t="shared" si="2"/>
        <v>7</v>
      </c>
      <c r="Z8" s="23">
        <f t="shared" si="2"/>
        <v>7</v>
      </c>
      <c r="AA8" s="23">
        <f t="shared" si="2"/>
        <v>7</v>
      </c>
      <c r="AB8" s="23"/>
      <c r="AC8" s="23"/>
      <c r="AD8" s="23">
        <f t="shared" ref="AD8:AD12" si="4">SUM(Q8:AC8)</f>
        <v>28</v>
      </c>
    </row>
    <row r="9" spans="1:30" ht="57" x14ac:dyDescent="0.35">
      <c r="A9" s="18"/>
      <c r="B9" s="44"/>
      <c r="C9" s="44"/>
      <c r="D9" s="44"/>
      <c r="E9" s="20" t="s">
        <v>6</v>
      </c>
      <c r="F9" s="18">
        <f t="shared" si="3"/>
        <v>7</v>
      </c>
      <c r="G9" s="22">
        <v>44582</v>
      </c>
      <c r="H9" s="22">
        <v>44599</v>
      </c>
      <c r="I9" s="23"/>
      <c r="J9" s="23"/>
      <c r="K9" s="23"/>
      <c r="L9" s="23"/>
      <c r="M9" s="23"/>
      <c r="N9" s="23"/>
      <c r="O9" s="23"/>
      <c r="P9" s="23"/>
      <c r="Q9" s="23"/>
      <c r="R9" s="23"/>
      <c r="S9" s="23"/>
      <c r="T9" s="23"/>
      <c r="U9" s="23"/>
      <c r="V9" s="23"/>
      <c r="W9" s="23"/>
      <c r="X9" s="23">
        <f t="shared" si="2"/>
        <v>7</v>
      </c>
      <c r="Y9" s="23">
        <f t="shared" si="2"/>
        <v>7</v>
      </c>
      <c r="Z9" s="23">
        <f t="shared" si="2"/>
        <v>7</v>
      </c>
      <c r="AA9" s="23">
        <f t="shared" si="2"/>
        <v>7</v>
      </c>
      <c r="AB9" s="23"/>
      <c r="AC9" s="23"/>
      <c r="AD9" s="23">
        <f t="shared" si="4"/>
        <v>28</v>
      </c>
    </row>
    <row r="10" spans="1:30" ht="57" x14ac:dyDescent="0.35">
      <c r="A10" s="18"/>
      <c r="B10" s="44"/>
      <c r="C10" s="44"/>
      <c r="D10" s="44"/>
      <c r="E10" s="20" t="s">
        <v>7</v>
      </c>
      <c r="F10" s="18">
        <f t="shared" si="3"/>
        <v>5</v>
      </c>
      <c r="G10" s="22">
        <v>44600</v>
      </c>
      <c r="H10" s="22">
        <v>44606</v>
      </c>
      <c r="I10" s="23"/>
      <c r="J10" s="23"/>
      <c r="K10" s="23"/>
      <c r="L10" s="23"/>
      <c r="M10" s="23"/>
      <c r="N10" s="23"/>
      <c r="O10" s="23"/>
      <c r="P10" s="23"/>
      <c r="Q10" s="23"/>
      <c r="R10" s="23"/>
      <c r="S10" s="23"/>
      <c r="T10" s="23"/>
      <c r="U10" s="23"/>
      <c r="V10" s="23"/>
      <c r="W10" s="23"/>
      <c r="X10" s="23">
        <f t="shared" si="2"/>
        <v>5</v>
      </c>
      <c r="Y10" s="23">
        <f t="shared" si="2"/>
        <v>5</v>
      </c>
      <c r="Z10" s="23">
        <f t="shared" si="2"/>
        <v>5</v>
      </c>
      <c r="AA10" s="23">
        <f t="shared" si="2"/>
        <v>5</v>
      </c>
      <c r="AB10" s="23"/>
      <c r="AC10" s="23">
        <v>3</v>
      </c>
      <c r="AD10" s="23">
        <f t="shared" si="4"/>
        <v>23</v>
      </c>
    </row>
    <row r="11" spans="1:30" ht="76" x14ac:dyDescent="0.35">
      <c r="A11" s="18"/>
      <c r="B11" s="44"/>
      <c r="C11" s="44"/>
      <c r="D11" s="44"/>
      <c r="E11" s="20" t="s">
        <v>8</v>
      </c>
      <c r="F11" s="18">
        <f t="shared" si="3"/>
        <v>1</v>
      </c>
      <c r="G11" s="22">
        <v>44607</v>
      </c>
      <c r="H11" s="22">
        <v>44608</v>
      </c>
      <c r="I11" s="23"/>
      <c r="J11" s="23"/>
      <c r="K11" s="23"/>
      <c r="L11" s="23"/>
      <c r="M11" s="23"/>
      <c r="N11" s="23"/>
      <c r="O11" s="23"/>
      <c r="P11" s="23"/>
      <c r="Q11" s="23"/>
      <c r="R11" s="23"/>
      <c r="S11" s="23"/>
      <c r="T11" s="23"/>
      <c r="U11" s="23"/>
      <c r="V11" s="23"/>
      <c r="W11" s="23"/>
      <c r="X11" s="23">
        <f t="shared" si="2"/>
        <v>1</v>
      </c>
      <c r="Y11" s="23">
        <f t="shared" si="2"/>
        <v>1</v>
      </c>
      <c r="Z11" s="23">
        <f t="shared" si="2"/>
        <v>1</v>
      </c>
      <c r="AA11" s="23">
        <f t="shared" si="2"/>
        <v>1</v>
      </c>
      <c r="AB11" s="23"/>
      <c r="AC11" s="23">
        <f t="shared" ref="AC11" si="5">$F11</f>
        <v>1</v>
      </c>
      <c r="AD11" s="23">
        <f t="shared" si="4"/>
        <v>5</v>
      </c>
    </row>
    <row r="12" spans="1:30" ht="38" x14ac:dyDescent="0.35">
      <c r="A12" s="18"/>
      <c r="B12" s="45"/>
      <c r="C12" s="45"/>
      <c r="D12" s="45"/>
      <c r="E12" s="20" t="s">
        <v>9</v>
      </c>
      <c r="F12" s="18">
        <f t="shared" si="3"/>
        <v>2</v>
      </c>
      <c r="G12" s="22">
        <v>44609</v>
      </c>
      <c r="H12" s="22">
        <v>44611</v>
      </c>
      <c r="I12" s="23"/>
      <c r="J12" s="23"/>
      <c r="K12" s="23"/>
      <c r="L12" s="23"/>
      <c r="M12" s="23"/>
      <c r="N12" s="23"/>
      <c r="O12" s="23"/>
      <c r="P12" s="23"/>
      <c r="Q12" s="23"/>
      <c r="R12" s="23"/>
      <c r="S12" s="23"/>
      <c r="T12" s="23"/>
      <c r="U12" s="23"/>
      <c r="V12" s="23"/>
      <c r="W12" s="23"/>
      <c r="X12" s="23">
        <f t="shared" si="2"/>
        <v>2</v>
      </c>
      <c r="Y12" s="23">
        <f t="shared" si="2"/>
        <v>2</v>
      </c>
      <c r="Z12" s="23">
        <f t="shared" si="2"/>
        <v>2</v>
      </c>
      <c r="AA12" s="23">
        <f t="shared" si="2"/>
        <v>2</v>
      </c>
      <c r="AB12" s="23"/>
      <c r="AC12" s="23">
        <v>2</v>
      </c>
      <c r="AD12" s="23">
        <f t="shared" si="4"/>
        <v>10</v>
      </c>
    </row>
    <row r="13" spans="1:30" x14ac:dyDescent="0.35">
      <c r="A13" s="15"/>
      <c r="B13" s="15"/>
      <c r="C13" s="15"/>
      <c r="D13" s="15"/>
      <c r="E13" s="16"/>
      <c r="F13" s="39">
        <f>SUM(F15:F21)</f>
        <v>55</v>
      </c>
      <c r="G13" s="17"/>
      <c r="H13" s="17"/>
      <c r="I13" s="15"/>
      <c r="J13" s="15"/>
      <c r="K13" s="23"/>
      <c r="L13" s="23"/>
      <c r="M13" s="23"/>
      <c r="N13" s="23"/>
      <c r="O13" s="23"/>
      <c r="P13" s="23"/>
      <c r="Q13" s="23"/>
      <c r="R13" s="15"/>
      <c r="S13" s="15"/>
      <c r="T13" s="15"/>
      <c r="U13" s="15"/>
      <c r="V13" s="15"/>
      <c r="W13" s="15"/>
      <c r="X13" s="15"/>
      <c r="Y13" s="15"/>
      <c r="Z13" s="15"/>
      <c r="AA13" s="15"/>
      <c r="AB13" s="15"/>
      <c r="AC13" s="15"/>
      <c r="AD13" s="24">
        <f>SUM(AD15:AD21)</f>
        <v>329</v>
      </c>
    </row>
    <row r="14" spans="1:30" ht="38" hidden="1" x14ac:dyDescent="0.35">
      <c r="A14" s="18">
        <v>2</v>
      </c>
      <c r="B14" s="43" t="s">
        <v>37</v>
      </c>
      <c r="C14" s="43" t="s">
        <v>14</v>
      </c>
      <c r="D14" s="43" t="s">
        <v>18</v>
      </c>
      <c r="E14" s="20" t="s">
        <v>36</v>
      </c>
      <c r="F14" s="21"/>
      <c r="G14" s="22">
        <v>44650</v>
      </c>
      <c r="H14" s="22">
        <v>44651</v>
      </c>
      <c r="I14" s="23"/>
      <c r="J14" s="23"/>
      <c r="K14" s="23"/>
      <c r="L14" s="23"/>
      <c r="M14" s="23"/>
      <c r="N14" s="23"/>
      <c r="O14" s="23"/>
      <c r="P14" s="23"/>
      <c r="Q14" s="23"/>
      <c r="R14" s="23"/>
      <c r="S14" s="23"/>
      <c r="T14" s="23"/>
      <c r="U14" s="23"/>
      <c r="V14" s="23"/>
      <c r="W14" s="23"/>
      <c r="X14" s="23"/>
      <c r="Y14" s="23"/>
      <c r="Z14" s="23"/>
      <c r="AA14" s="23"/>
      <c r="AB14" s="23"/>
      <c r="AC14" s="23"/>
    </row>
    <row r="15" spans="1:30" ht="95" x14ac:dyDescent="0.35">
      <c r="A15" s="18"/>
      <c r="B15" s="44"/>
      <c r="C15" s="44"/>
      <c r="D15" s="44"/>
      <c r="E15" s="20" t="s">
        <v>38</v>
      </c>
      <c r="F15" s="18">
        <f>VALUE(LEFT(RIGHT(E15,6),1))</f>
        <v>7</v>
      </c>
      <c r="G15" s="22">
        <v>44650</v>
      </c>
      <c r="H15" s="22">
        <v>44658</v>
      </c>
      <c r="I15" s="23"/>
      <c r="J15" s="23"/>
      <c r="K15" s="23"/>
      <c r="L15" s="23"/>
      <c r="M15" s="23"/>
      <c r="N15" s="23"/>
      <c r="O15" s="23"/>
      <c r="P15" s="23"/>
      <c r="Q15" s="23"/>
      <c r="R15" s="23">
        <f t="shared" ref="R15:S21" si="6">$F15</f>
        <v>7</v>
      </c>
      <c r="S15" s="23">
        <v>1</v>
      </c>
      <c r="T15" s="23">
        <f t="shared" ref="T15:T21" si="7">$F15</f>
        <v>7</v>
      </c>
      <c r="U15" s="23"/>
      <c r="V15" s="23"/>
      <c r="W15" s="23"/>
      <c r="X15" s="23">
        <v>1</v>
      </c>
      <c r="Y15" s="23">
        <v>7</v>
      </c>
      <c r="Z15" s="23"/>
      <c r="AA15" s="23">
        <v>7</v>
      </c>
      <c r="AB15" s="23">
        <v>1</v>
      </c>
      <c r="AC15" s="23"/>
      <c r="AD15" s="23">
        <f t="shared" ref="AD15:AD57" si="8">SUM(Q15:AC15)</f>
        <v>31</v>
      </c>
    </row>
    <row r="16" spans="1:30" s="28" customFormat="1" ht="95" x14ac:dyDescent="0.35">
      <c r="A16" s="25"/>
      <c r="B16" s="44"/>
      <c r="C16" s="44"/>
      <c r="D16" s="44"/>
      <c r="E16" s="26" t="s">
        <v>39</v>
      </c>
      <c r="F16" s="25">
        <f>VALUE(LEFT(RIGHT(E16,7),2))</f>
        <v>21</v>
      </c>
      <c r="G16" s="22">
        <v>44659</v>
      </c>
      <c r="H16" s="22">
        <v>44686</v>
      </c>
      <c r="I16" s="23"/>
      <c r="J16" s="23"/>
      <c r="K16" s="23"/>
      <c r="L16" s="23"/>
      <c r="M16" s="23"/>
      <c r="N16" s="23"/>
      <c r="O16" s="23"/>
      <c r="P16" s="23"/>
      <c r="Q16" s="23"/>
      <c r="R16" s="23">
        <f t="shared" si="6"/>
        <v>21</v>
      </c>
      <c r="S16" s="23">
        <f t="shared" si="6"/>
        <v>21</v>
      </c>
      <c r="T16" s="23">
        <f t="shared" si="7"/>
        <v>21</v>
      </c>
      <c r="U16" s="27"/>
      <c r="V16" s="23">
        <v>6</v>
      </c>
      <c r="W16" s="27"/>
      <c r="X16" s="27"/>
      <c r="Y16" s="27"/>
      <c r="Z16" s="27"/>
      <c r="AA16" s="23">
        <v>15</v>
      </c>
      <c r="AB16" s="23">
        <v>3</v>
      </c>
      <c r="AC16" s="27"/>
      <c r="AD16" s="23">
        <f t="shared" si="8"/>
        <v>87</v>
      </c>
    </row>
    <row r="17" spans="1:30" s="28" customFormat="1" ht="95" x14ac:dyDescent="0.35">
      <c r="A17" s="25"/>
      <c r="B17" s="44"/>
      <c r="C17" s="44"/>
      <c r="D17" s="44"/>
      <c r="E17" s="26" t="s">
        <v>40</v>
      </c>
      <c r="F17" s="25">
        <f t="shared" si="3"/>
        <v>3</v>
      </c>
      <c r="G17" s="22">
        <v>44687</v>
      </c>
      <c r="H17" s="22">
        <v>44691</v>
      </c>
      <c r="I17" s="23"/>
      <c r="J17" s="23"/>
      <c r="K17" s="23"/>
      <c r="L17" s="23"/>
      <c r="M17" s="23"/>
      <c r="N17" s="23"/>
      <c r="O17" s="23"/>
      <c r="P17" s="23"/>
      <c r="Q17" s="23"/>
      <c r="R17" s="23">
        <f t="shared" si="6"/>
        <v>3</v>
      </c>
      <c r="S17" s="23">
        <f t="shared" si="6"/>
        <v>3</v>
      </c>
      <c r="T17" s="23">
        <f t="shared" si="7"/>
        <v>3</v>
      </c>
      <c r="U17" s="27"/>
      <c r="V17" s="27"/>
      <c r="W17" s="27"/>
      <c r="X17" s="27">
        <v>3</v>
      </c>
      <c r="Y17" s="27">
        <v>3</v>
      </c>
      <c r="Z17" s="27">
        <v>3</v>
      </c>
      <c r="AA17" s="27">
        <v>3</v>
      </c>
      <c r="AB17" s="23">
        <f t="shared" ref="AB17:AC21" si="9">$F17</f>
        <v>3</v>
      </c>
      <c r="AC17" s="27">
        <v>2</v>
      </c>
      <c r="AD17" s="23">
        <f t="shared" si="8"/>
        <v>26</v>
      </c>
    </row>
    <row r="18" spans="1:30" s="28" customFormat="1" ht="114" x14ac:dyDescent="0.35">
      <c r="A18" s="25"/>
      <c r="B18" s="44"/>
      <c r="C18" s="44"/>
      <c r="D18" s="44"/>
      <c r="E18" s="26" t="s">
        <v>41</v>
      </c>
      <c r="F18" s="25">
        <f t="shared" si="3"/>
        <v>7</v>
      </c>
      <c r="G18" s="22">
        <v>44692</v>
      </c>
      <c r="H18" s="22">
        <v>44700</v>
      </c>
      <c r="I18" s="23"/>
      <c r="J18" s="23"/>
      <c r="K18" s="23"/>
      <c r="L18" s="23"/>
      <c r="M18" s="23"/>
      <c r="N18" s="23"/>
      <c r="O18" s="23"/>
      <c r="P18" s="23"/>
      <c r="Q18" s="23"/>
      <c r="R18" s="23">
        <f t="shared" si="6"/>
        <v>7</v>
      </c>
      <c r="S18" s="23">
        <v>4</v>
      </c>
      <c r="T18" s="23">
        <v>7</v>
      </c>
      <c r="U18" s="27"/>
      <c r="V18" s="27"/>
      <c r="W18" s="27"/>
      <c r="X18" s="23">
        <f>$F18</f>
        <v>7</v>
      </c>
      <c r="Y18" s="23">
        <f t="shared" ref="Y18:AA20" si="10">$F18</f>
        <v>7</v>
      </c>
      <c r="Z18" s="23">
        <f t="shared" si="10"/>
        <v>7</v>
      </c>
      <c r="AA18" s="23">
        <f t="shared" si="10"/>
        <v>7</v>
      </c>
      <c r="AB18" s="23">
        <f t="shared" si="9"/>
        <v>7</v>
      </c>
      <c r="AC18" s="27"/>
      <c r="AD18" s="23">
        <f t="shared" si="8"/>
        <v>53</v>
      </c>
    </row>
    <row r="19" spans="1:30" s="28" customFormat="1" ht="57" x14ac:dyDescent="0.35">
      <c r="A19" s="25"/>
      <c r="B19" s="44"/>
      <c r="C19" s="44"/>
      <c r="D19" s="44"/>
      <c r="E19" s="26" t="s">
        <v>42</v>
      </c>
      <c r="F19" s="25">
        <f>VALUE(LEFT(RIGHT(E19,7),2))</f>
        <v>14</v>
      </c>
      <c r="G19" s="22">
        <v>44701</v>
      </c>
      <c r="H19" s="22">
        <v>44718</v>
      </c>
      <c r="I19" s="23"/>
      <c r="J19" s="23"/>
      <c r="K19" s="23"/>
      <c r="L19" s="23"/>
      <c r="M19" s="23"/>
      <c r="N19" s="23"/>
      <c r="O19" s="23"/>
      <c r="P19" s="23"/>
      <c r="Q19" s="23"/>
      <c r="R19" s="23">
        <f t="shared" si="6"/>
        <v>14</v>
      </c>
      <c r="S19" s="23">
        <f t="shared" si="6"/>
        <v>14</v>
      </c>
      <c r="T19" s="23">
        <f t="shared" si="7"/>
        <v>14</v>
      </c>
      <c r="U19" s="27"/>
      <c r="V19" s="27"/>
      <c r="W19" s="27"/>
      <c r="X19" s="27">
        <v>7</v>
      </c>
      <c r="Y19" s="23">
        <f t="shared" si="10"/>
        <v>14</v>
      </c>
      <c r="Z19" s="23">
        <f t="shared" si="10"/>
        <v>14</v>
      </c>
      <c r="AA19" s="23">
        <v>14</v>
      </c>
      <c r="AB19" s="23">
        <v>2</v>
      </c>
      <c r="AC19" s="23">
        <v>11</v>
      </c>
      <c r="AD19" s="23">
        <f t="shared" si="8"/>
        <v>104</v>
      </c>
    </row>
    <row r="20" spans="1:30" ht="76" x14ac:dyDescent="0.35">
      <c r="A20" s="18"/>
      <c r="B20" s="45"/>
      <c r="C20" s="45"/>
      <c r="D20" s="45"/>
      <c r="E20" s="20" t="s">
        <v>8</v>
      </c>
      <c r="F20" s="18">
        <f t="shared" si="3"/>
        <v>1</v>
      </c>
      <c r="G20" s="22">
        <v>44719</v>
      </c>
      <c r="H20" s="22">
        <v>44720</v>
      </c>
      <c r="I20" s="23"/>
      <c r="J20" s="23"/>
      <c r="K20" s="23"/>
      <c r="L20" s="23"/>
      <c r="M20" s="23"/>
      <c r="N20" s="23"/>
      <c r="O20" s="23"/>
      <c r="P20" s="23"/>
      <c r="Q20" s="23"/>
      <c r="R20" s="23">
        <f t="shared" si="6"/>
        <v>1</v>
      </c>
      <c r="S20" s="7">
        <v>1</v>
      </c>
      <c r="T20" s="23">
        <f t="shared" si="7"/>
        <v>1</v>
      </c>
      <c r="U20" s="23"/>
      <c r="V20" s="23"/>
      <c r="W20" s="23"/>
      <c r="X20" s="23">
        <f t="shared" ref="X20" si="11">$F20</f>
        <v>1</v>
      </c>
      <c r="Y20" s="23">
        <v>1</v>
      </c>
      <c r="Z20" s="23">
        <f t="shared" si="10"/>
        <v>1</v>
      </c>
      <c r="AA20" s="27">
        <v>1</v>
      </c>
      <c r="AB20" s="23">
        <f t="shared" si="9"/>
        <v>1</v>
      </c>
      <c r="AC20" s="23">
        <f t="shared" si="9"/>
        <v>1</v>
      </c>
      <c r="AD20" s="23">
        <f t="shared" si="8"/>
        <v>9</v>
      </c>
    </row>
    <row r="21" spans="1:30" ht="38" x14ac:dyDescent="0.35">
      <c r="A21" s="18"/>
      <c r="B21" s="23"/>
      <c r="C21" s="19"/>
      <c r="D21" s="19"/>
      <c r="E21" s="20" t="s">
        <v>9</v>
      </c>
      <c r="F21" s="18">
        <f t="shared" si="3"/>
        <v>2</v>
      </c>
      <c r="G21" s="22">
        <v>44721</v>
      </c>
      <c r="H21" s="22">
        <v>44723</v>
      </c>
      <c r="I21" s="23"/>
      <c r="J21" s="23"/>
      <c r="K21" s="23"/>
      <c r="L21" s="23"/>
      <c r="M21" s="23"/>
      <c r="N21" s="23"/>
      <c r="O21" s="23"/>
      <c r="P21" s="23"/>
      <c r="Q21" s="23"/>
      <c r="R21" s="23">
        <f t="shared" si="6"/>
        <v>2</v>
      </c>
      <c r="S21" s="23">
        <v>2</v>
      </c>
      <c r="T21" s="23">
        <f t="shared" si="7"/>
        <v>2</v>
      </c>
      <c r="U21" s="23"/>
      <c r="V21" s="23">
        <f>$F21</f>
        <v>2</v>
      </c>
      <c r="W21" s="23"/>
      <c r="X21" s="23">
        <f>$F21</f>
        <v>2</v>
      </c>
      <c r="Y21" s="23">
        <v>2</v>
      </c>
      <c r="Z21" s="23">
        <v>2</v>
      </c>
      <c r="AA21" s="23">
        <v>2</v>
      </c>
      <c r="AB21" s="23">
        <f t="shared" si="9"/>
        <v>2</v>
      </c>
      <c r="AC21" s="23">
        <v>1</v>
      </c>
      <c r="AD21" s="23">
        <f t="shared" si="8"/>
        <v>19</v>
      </c>
    </row>
    <row r="22" spans="1:30" x14ac:dyDescent="0.35">
      <c r="A22" s="15"/>
      <c r="B22" s="15"/>
      <c r="C22" s="15"/>
      <c r="D22" s="15"/>
      <c r="E22" s="16"/>
      <c r="F22" s="39">
        <f>SUM(F23:F27)</f>
        <v>119</v>
      </c>
      <c r="G22" s="17"/>
      <c r="H22" s="17"/>
      <c r="I22" s="15"/>
      <c r="J22" s="15"/>
      <c r="K22" s="23"/>
      <c r="L22" s="23"/>
      <c r="M22" s="23"/>
      <c r="N22" s="23"/>
      <c r="O22" s="23"/>
      <c r="P22" s="23"/>
      <c r="Q22" s="23"/>
      <c r="R22" s="15"/>
      <c r="S22" s="15"/>
      <c r="T22" s="15"/>
      <c r="U22" s="15"/>
      <c r="V22" s="15"/>
      <c r="W22" s="15"/>
      <c r="X22" s="15"/>
      <c r="Y22" s="15"/>
      <c r="Z22" s="15"/>
      <c r="AA22" s="15"/>
      <c r="AB22" s="15"/>
      <c r="AC22" s="15"/>
      <c r="AD22" s="24">
        <f>SUM(AD23:AD27)</f>
        <v>838</v>
      </c>
    </row>
    <row r="23" spans="1:30" ht="60.75" customHeight="1" x14ac:dyDescent="0.35">
      <c r="A23" s="29">
        <v>3</v>
      </c>
      <c r="B23" s="43" t="s">
        <v>43</v>
      </c>
      <c r="C23" s="43" t="s">
        <v>13</v>
      </c>
      <c r="D23" s="43" t="s">
        <v>19</v>
      </c>
      <c r="E23" s="20" t="s">
        <v>44</v>
      </c>
      <c r="F23" s="18">
        <v>52</v>
      </c>
      <c r="G23" s="22">
        <v>44565</v>
      </c>
      <c r="H23" s="22">
        <v>44923</v>
      </c>
      <c r="I23" s="23"/>
      <c r="J23" s="23"/>
      <c r="K23" s="23"/>
      <c r="L23" s="23"/>
      <c r="M23" s="23"/>
      <c r="N23" s="23"/>
      <c r="O23" s="23"/>
      <c r="P23" s="23"/>
      <c r="Q23" s="23"/>
      <c r="R23" s="18">
        <v>52</v>
      </c>
      <c r="S23" s="18">
        <v>45</v>
      </c>
      <c r="T23" s="18">
        <v>52</v>
      </c>
      <c r="U23" s="18">
        <v>26</v>
      </c>
      <c r="V23" s="18">
        <v>12</v>
      </c>
      <c r="W23" s="23"/>
      <c r="X23" s="18">
        <v>30</v>
      </c>
      <c r="Y23" s="18">
        <v>50</v>
      </c>
      <c r="Z23" s="23">
        <v>50</v>
      </c>
      <c r="AA23" s="23">
        <v>26</v>
      </c>
      <c r="AB23" s="23">
        <v>10</v>
      </c>
      <c r="AC23" s="23"/>
      <c r="AD23" s="23">
        <f t="shared" si="8"/>
        <v>353</v>
      </c>
    </row>
    <row r="24" spans="1:30" ht="171" x14ac:dyDescent="0.35">
      <c r="A24" s="18"/>
      <c r="B24" s="44"/>
      <c r="C24" s="44"/>
      <c r="D24" s="44"/>
      <c r="E24" s="20" t="s">
        <v>45</v>
      </c>
      <c r="F24" s="18">
        <v>12</v>
      </c>
      <c r="G24" s="22">
        <v>44565</v>
      </c>
      <c r="H24" s="22">
        <v>44923</v>
      </c>
      <c r="I24" s="23"/>
      <c r="J24" s="23"/>
      <c r="K24" s="23"/>
      <c r="L24" s="23"/>
      <c r="M24" s="23"/>
      <c r="N24" s="23"/>
      <c r="O24" s="23"/>
      <c r="P24" s="23"/>
      <c r="Q24" s="23"/>
      <c r="R24" s="18">
        <v>12</v>
      </c>
      <c r="S24" s="18">
        <v>12</v>
      </c>
      <c r="T24" s="18">
        <v>12</v>
      </c>
      <c r="U24" s="18">
        <v>6</v>
      </c>
      <c r="V24" s="30">
        <v>4</v>
      </c>
      <c r="W24" s="23"/>
      <c r="X24" s="18">
        <v>2</v>
      </c>
      <c r="Y24" s="18">
        <v>12</v>
      </c>
      <c r="Z24" s="23">
        <f t="shared" ref="Z24:AC27" si="12">$F24</f>
        <v>12</v>
      </c>
      <c r="AA24" s="23">
        <v>5</v>
      </c>
      <c r="AB24" s="23">
        <v>5</v>
      </c>
      <c r="AC24" s="23">
        <v>12</v>
      </c>
      <c r="AD24" s="23">
        <f t="shared" si="8"/>
        <v>94</v>
      </c>
    </row>
    <row r="25" spans="1:30" ht="76" x14ac:dyDescent="0.35">
      <c r="A25" s="18"/>
      <c r="B25" s="44"/>
      <c r="C25" s="44"/>
      <c r="D25" s="44"/>
      <c r="E25" s="20" t="s">
        <v>46</v>
      </c>
      <c r="F25" s="18">
        <v>52</v>
      </c>
      <c r="G25" s="22">
        <v>44565</v>
      </c>
      <c r="H25" s="22">
        <v>44923</v>
      </c>
      <c r="I25" s="23"/>
      <c r="J25" s="23"/>
      <c r="K25" s="23"/>
      <c r="L25" s="23"/>
      <c r="M25" s="23"/>
      <c r="N25" s="23"/>
      <c r="O25" s="23"/>
      <c r="P25" s="23"/>
      <c r="Q25" s="23"/>
      <c r="R25" s="18">
        <v>26</v>
      </c>
      <c r="S25" s="18">
        <v>50</v>
      </c>
      <c r="T25" s="18">
        <v>12</v>
      </c>
      <c r="U25" s="18">
        <v>6</v>
      </c>
      <c r="V25" s="18">
        <v>6</v>
      </c>
      <c r="W25" s="23"/>
      <c r="X25" s="18">
        <v>52</v>
      </c>
      <c r="Y25" s="18">
        <v>52</v>
      </c>
      <c r="Z25" s="23">
        <f t="shared" si="12"/>
        <v>52</v>
      </c>
      <c r="AA25" s="23">
        <f t="shared" si="12"/>
        <v>52</v>
      </c>
      <c r="AB25" s="23">
        <v>12</v>
      </c>
      <c r="AC25" s="23">
        <v>38</v>
      </c>
      <c r="AD25" s="23">
        <f t="shared" si="8"/>
        <v>358</v>
      </c>
    </row>
    <row r="26" spans="1:30" ht="76" x14ac:dyDescent="0.35">
      <c r="A26" s="18"/>
      <c r="B26" s="44"/>
      <c r="C26" s="44"/>
      <c r="D26" s="44"/>
      <c r="E26" s="20" t="s">
        <v>8</v>
      </c>
      <c r="F26" s="18">
        <v>1</v>
      </c>
      <c r="G26" s="22">
        <v>44923</v>
      </c>
      <c r="H26" s="22">
        <v>44923</v>
      </c>
      <c r="I26" s="23"/>
      <c r="J26" s="23"/>
      <c r="K26" s="23"/>
      <c r="L26" s="23"/>
      <c r="M26" s="23"/>
      <c r="N26" s="23"/>
      <c r="O26" s="23"/>
      <c r="P26" s="23"/>
      <c r="Q26" s="23"/>
      <c r="R26" s="18">
        <v>1</v>
      </c>
      <c r="S26" s="18">
        <v>1</v>
      </c>
      <c r="T26" s="18">
        <v>1</v>
      </c>
      <c r="U26" s="18">
        <v>1</v>
      </c>
      <c r="V26" s="18">
        <v>1</v>
      </c>
      <c r="W26" s="23"/>
      <c r="X26" s="18">
        <v>1</v>
      </c>
      <c r="Y26" s="18">
        <v>1</v>
      </c>
      <c r="Z26" s="23">
        <f t="shared" si="12"/>
        <v>1</v>
      </c>
      <c r="AA26" s="23">
        <f t="shared" si="12"/>
        <v>1</v>
      </c>
      <c r="AB26" s="23">
        <f t="shared" si="12"/>
        <v>1</v>
      </c>
      <c r="AC26" s="23">
        <f t="shared" si="12"/>
        <v>1</v>
      </c>
      <c r="AD26" s="23">
        <f t="shared" si="8"/>
        <v>11</v>
      </c>
    </row>
    <row r="27" spans="1:30" ht="38" x14ac:dyDescent="0.35">
      <c r="A27" s="18"/>
      <c r="B27" s="45"/>
      <c r="C27" s="45"/>
      <c r="D27" s="45"/>
      <c r="E27" s="20" t="s">
        <v>9</v>
      </c>
      <c r="F27" s="18">
        <v>2</v>
      </c>
      <c r="G27" s="22">
        <v>44924</v>
      </c>
      <c r="H27" s="22">
        <v>44926</v>
      </c>
      <c r="I27" s="23"/>
      <c r="J27" s="23"/>
      <c r="K27" s="23"/>
      <c r="L27" s="23"/>
      <c r="M27" s="23"/>
      <c r="N27" s="23"/>
      <c r="O27" s="23"/>
      <c r="P27" s="23"/>
      <c r="Q27" s="23"/>
      <c r="R27" s="18">
        <v>2</v>
      </c>
      <c r="S27" s="18">
        <v>2</v>
      </c>
      <c r="T27" s="18">
        <v>2</v>
      </c>
      <c r="U27" s="18">
        <v>2</v>
      </c>
      <c r="V27" s="18">
        <v>2</v>
      </c>
      <c r="W27" s="23"/>
      <c r="X27" s="18">
        <v>2</v>
      </c>
      <c r="Y27" s="23">
        <v>2</v>
      </c>
      <c r="Z27" s="23">
        <f t="shared" si="12"/>
        <v>2</v>
      </c>
      <c r="AA27" s="23">
        <f t="shared" si="12"/>
        <v>2</v>
      </c>
      <c r="AB27" s="23">
        <f t="shared" si="12"/>
        <v>2</v>
      </c>
      <c r="AC27" s="23">
        <f t="shared" si="12"/>
        <v>2</v>
      </c>
      <c r="AD27" s="23">
        <f t="shared" si="8"/>
        <v>22</v>
      </c>
    </row>
    <row r="28" spans="1:30" x14ac:dyDescent="0.35">
      <c r="A28" s="15"/>
      <c r="B28" s="15"/>
      <c r="C28" s="15"/>
      <c r="D28" s="15"/>
      <c r="E28" s="16"/>
      <c r="F28" s="39">
        <f>SUM(F29:F35)</f>
        <v>44</v>
      </c>
      <c r="G28" s="17"/>
      <c r="H28" s="17"/>
      <c r="I28" s="15"/>
      <c r="J28" s="15"/>
      <c r="K28" s="23"/>
      <c r="L28" s="23"/>
      <c r="M28" s="23"/>
      <c r="N28" s="23"/>
      <c r="O28" s="23"/>
      <c r="P28" s="23"/>
      <c r="Q28" s="23"/>
      <c r="R28" s="15"/>
      <c r="S28" s="15"/>
      <c r="T28" s="15"/>
      <c r="U28" s="15"/>
      <c r="V28" s="15"/>
      <c r="W28" s="15"/>
      <c r="X28" s="15"/>
      <c r="Y28" s="15"/>
      <c r="Z28" s="15"/>
      <c r="AA28" s="15"/>
      <c r="AB28" s="15"/>
      <c r="AC28" s="15"/>
      <c r="AD28" s="24">
        <f>SUM(AD29:AD35)</f>
        <v>201</v>
      </c>
    </row>
    <row r="29" spans="1:30" ht="43.5" customHeight="1" x14ac:dyDescent="0.35">
      <c r="A29" s="18">
        <v>4</v>
      </c>
      <c r="B29" s="43" t="s">
        <v>47</v>
      </c>
      <c r="C29" s="43" t="s">
        <v>15</v>
      </c>
      <c r="D29" s="43" t="s">
        <v>17</v>
      </c>
      <c r="E29" s="20" t="s">
        <v>38</v>
      </c>
      <c r="F29" s="18">
        <f t="shared" si="3"/>
        <v>7</v>
      </c>
      <c r="G29" s="22">
        <v>44691</v>
      </c>
      <c r="H29" s="22">
        <v>44699</v>
      </c>
      <c r="I29" s="23"/>
      <c r="J29" s="23"/>
      <c r="K29" s="23"/>
      <c r="L29" s="23"/>
      <c r="M29" s="23"/>
      <c r="N29" s="23"/>
      <c r="O29" s="23"/>
      <c r="P29" s="23"/>
      <c r="Q29" s="23"/>
      <c r="R29" s="18">
        <v>7</v>
      </c>
      <c r="S29" s="18">
        <v>4</v>
      </c>
      <c r="T29" s="18">
        <v>7</v>
      </c>
      <c r="U29" s="23"/>
      <c r="V29" s="23"/>
      <c r="W29" s="23"/>
      <c r="X29" s="18">
        <v>7</v>
      </c>
      <c r="Y29" s="18">
        <v>7</v>
      </c>
      <c r="Z29" s="23"/>
      <c r="AA29" s="23"/>
      <c r="AB29" s="18">
        <v>1</v>
      </c>
      <c r="AC29" s="18">
        <v>1</v>
      </c>
      <c r="AD29" s="23">
        <f t="shared" si="8"/>
        <v>34</v>
      </c>
    </row>
    <row r="30" spans="1:30" ht="95" x14ac:dyDescent="0.35">
      <c r="A30" s="18"/>
      <c r="B30" s="44"/>
      <c r="C30" s="44"/>
      <c r="D30" s="44"/>
      <c r="E30" s="20" t="s">
        <v>39</v>
      </c>
      <c r="F30" s="25">
        <f>VALUE(LEFT(RIGHT(E30,7),2))</f>
        <v>21</v>
      </c>
      <c r="G30" s="22">
        <v>44700</v>
      </c>
      <c r="H30" s="22">
        <v>44725</v>
      </c>
      <c r="I30" s="23"/>
      <c r="J30" s="23"/>
      <c r="K30" s="23"/>
      <c r="L30" s="23"/>
      <c r="M30" s="23"/>
      <c r="N30" s="23"/>
      <c r="O30" s="23"/>
      <c r="P30" s="23"/>
      <c r="Q30" s="23"/>
      <c r="R30" s="25">
        <v>21</v>
      </c>
      <c r="S30" s="25">
        <v>3</v>
      </c>
      <c r="T30" s="25">
        <v>21</v>
      </c>
      <c r="U30" s="23"/>
      <c r="V30" s="23"/>
      <c r="W30" s="23"/>
      <c r="X30" s="25">
        <v>21</v>
      </c>
      <c r="Y30" s="25">
        <v>3</v>
      </c>
      <c r="Z30" s="23"/>
      <c r="AA30" s="23"/>
      <c r="AB30" s="25">
        <v>3</v>
      </c>
      <c r="AC30" s="25">
        <v>1</v>
      </c>
      <c r="AD30" s="23">
        <f t="shared" si="8"/>
        <v>73</v>
      </c>
    </row>
    <row r="31" spans="1:30" ht="95" x14ac:dyDescent="0.35">
      <c r="A31" s="18"/>
      <c r="B31" s="44"/>
      <c r="C31" s="44"/>
      <c r="D31" s="44"/>
      <c r="E31" s="20" t="s">
        <v>40</v>
      </c>
      <c r="F31" s="18">
        <f t="shared" si="3"/>
        <v>3</v>
      </c>
      <c r="G31" s="22">
        <v>44726</v>
      </c>
      <c r="H31" s="22">
        <v>44730</v>
      </c>
      <c r="I31" s="23"/>
      <c r="J31" s="23"/>
      <c r="K31" s="23"/>
      <c r="L31" s="23"/>
      <c r="M31" s="23"/>
      <c r="N31" s="23"/>
      <c r="O31" s="23"/>
      <c r="P31" s="23"/>
      <c r="Q31" s="23"/>
      <c r="R31" s="18">
        <v>3</v>
      </c>
      <c r="S31" s="18">
        <v>3</v>
      </c>
      <c r="T31" s="18">
        <v>3</v>
      </c>
      <c r="U31" s="23"/>
      <c r="V31" s="23"/>
      <c r="W31" s="23"/>
      <c r="X31" s="18">
        <v>3</v>
      </c>
      <c r="Y31" s="18">
        <v>3</v>
      </c>
      <c r="Z31" s="23"/>
      <c r="AA31" s="23"/>
      <c r="AB31" s="18">
        <v>3</v>
      </c>
      <c r="AC31" s="18">
        <v>1</v>
      </c>
      <c r="AD31" s="23">
        <f t="shared" si="8"/>
        <v>19</v>
      </c>
    </row>
    <row r="32" spans="1:30" ht="171" x14ac:dyDescent="0.35">
      <c r="A32" s="18"/>
      <c r="B32" s="44"/>
      <c r="C32" s="44"/>
      <c r="D32" s="44"/>
      <c r="E32" s="20" t="s">
        <v>45</v>
      </c>
      <c r="F32" s="18">
        <v>2</v>
      </c>
      <c r="G32" s="22">
        <v>44691</v>
      </c>
      <c r="H32" s="22">
        <v>44730</v>
      </c>
      <c r="I32" s="23"/>
      <c r="J32" s="23"/>
      <c r="K32" s="23"/>
      <c r="L32" s="23"/>
      <c r="M32" s="23"/>
      <c r="N32" s="23"/>
      <c r="O32" s="23"/>
      <c r="P32" s="23"/>
      <c r="Q32" s="23"/>
      <c r="R32" s="18">
        <v>2</v>
      </c>
      <c r="S32" s="18">
        <v>2</v>
      </c>
      <c r="T32" s="18">
        <v>2</v>
      </c>
      <c r="U32" s="23"/>
      <c r="V32" s="23"/>
      <c r="W32" s="23"/>
      <c r="X32" s="18">
        <v>2</v>
      </c>
      <c r="Y32" s="18">
        <v>2</v>
      </c>
      <c r="Z32" s="23"/>
      <c r="AA32" s="23"/>
      <c r="AB32" s="18">
        <v>2</v>
      </c>
      <c r="AC32" s="18">
        <v>2</v>
      </c>
      <c r="AD32" s="23">
        <f t="shared" si="8"/>
        <v>14</v>
      </c>
    </row>
    <row r="33" spans="1:30" ht="76" x14ac:dyDescent="0.35">
      <c r="A33" s="18"/>
      <c r="B33" s="44"/>
      <c r="C33" s="44"/>
      <c r="D33" s="44"/>
      <c r="E33" s="20" t="s">
        <v>46</v>
      </c>
      <c r="F33" s="18">
        <v>8</v>
      </c>
      <c r="G33" s="22">
        <v>44691</v>
      </c>
      <c r="H33" s="22">
        <v>44730</v>
      </c>
      <c r="I33" s="23"/>
      <c r="J33" s="23"/>
      <c r="K33" s="23"/>
      <c r="L33" s="23"/>
      <c r="M33" s="23"/>
      <c r="N33" s="23"/>
      <c r="O33" s="23"/>
      <c r="P33" s="23"/>
      <c r="Q33" s="23"/>
      <c r="R33" s="18">
        <v>8</v>
      </c>
      <c r="S33" s="18">
        <v>2</v>
      </c>
      <c r="T33" s="18">
        <v>8</v>
      </c>
      <c r="U33" s="23"/>
      <c r="V33" s="23"/>
      <c r="W33" s="23"/>
      <c r="X33" s="18">
        <v>8</v>
      </c>
      <c r="Y33" s="18">
        <v>5</v>
      </c>
      <c r="Z33" s="23"/>
      <c r="AA33" s="23"/>
      <c r="AB33" s="18">
        <v>4</v>
      </c>
      <c r="AC33" s="18">
        <v>5</v>
      </c>
      <c r="AD33" s="23">
        <f t="shared" si="8"/>
        <v>40</v>
      </c>
    </row>
    <row r="34" spans="1:30" ht="76" x14ac:dyDescent="0.35">
      <c r="A34" s="18"/>
      <c r="B34" s="44"/>
      <c r="C34" s="44"/>
      <c r="D34" s="44"/>
      <c r="E34" s="20" t="s">
        <v>8</v>
      </c>
      <c r="F34" s="18">
        <f t="shared" si="3"/>
        <v>1</v>
      </c>
      <c r="G34" s="22">
        <v>44732</v>
      </c>
      <c r="H34" s="22">
        <v>44732</v>
      </c>
      <c r="I34" s="23"/>
      <c r="J34" s="23"/>
      <c r="K34" s="23"/>
      <c r="L34" s="23"/>
      <c r="M34" s="23"/>
      <c r="N34" s="23"/>
      <c r="O34" s="23"/>
      <c r="P34" s="23"/>
      <c r="Q34" s="23"/>
      <c r="R34" s="18">
        <v>1</v>
      </c>
      <c r="S34" s="18">
        <v>1</v>
      </c>
      <c r="T34" s="18">
        <v>1</v>
      </c>
      <c r="U34" s="23"/>
      <c r="V34" s="23"/>
      <c r="W34" s="23"/>
      <c r="X34" s="18">
        <v>1</v>
      </c>
      <c r="Y34" s="18">
        <v>1</v>
      </c>
      <c r="Z34" s="23"/>
      <c r="AA34" s="23"/>
      <c r="AB34" s="18">
        <v>1</v>
      </c>
      <c r="AC34" s="18">
        <v>1</v>
      </c>
      <c r="AD34" s="23">
        <f t="shared" si="8"/>
        <v>7</v>
      </c>
    </row>
    <row r="35" spans="1:30" ht="38" x14ac:dyDescent="0.35">
      <c r="A35" s="18"/>
      <c r="B35" s="45"/>
      <c r="C35" s="45"/>
      <c r="D35" s="45"/>
      <c r="E35" s="20" t="s">
        <v>9</v>
      </c>
      <c r="F35" s="18">
        <f t="shared" si="3"/>
        <v>2</v>
      </c>
      <c r="G35" s="22">
        <v>44733</v>
      </c>
      <c r="H35" s="22">
        <v>44734</v>
      </c>
      <c r="I35" s="23"/>
      <c r="J35" s="23"/>
      <c r="K35" s="23"/>
      <c r="L35" s="23"/>
      <c r="M35" s="23"/>
      <c r="N35" s="23"/>
      <c r="O35" s="23"/>
      <c r="P35" s="23"/>
      <c r="Q35" s="23"/>
      <c r="R35" s="18">
        <v>2</v>
      </c>
      <c r="S35" s="18">
        <v>2</v>
      </c>
      <c r="T35" s="18">
        <v>2</v>
      </c>
      <c r="U35" s="23"/>
      <c r="V35" s="23"/>
      <c r="W35" s="23"/>
      <c r="X35" s="18">
        <v>2</v>
      </c>
      <c r="Y35" s="18">
        <v>2</v>
      </c>
      <c r="Z35" s="23"/>
      <c r="AA35" s="23"/>
      <c r="AB35" s="18">
        <v>2</v>
      </c>
      <c r="AC35" s="18">
        <v>2</v>
      </c>
      <c r="AD35" s="23">
        <f t="shared" si="8"/>
        <v>14</v>
      </c>
    </row>
    <row r="36" spans="1:30" x14ac:dyDescent="0.35">
      <c r="A36" s="15"/>
      <c r="B36" s="15"/>
      <c r="C36" s="15"/>
      <c r="D36" s="15"/>
      <c r="E36" s="16"/>
      <c r="F36" s="39">
        <f>SUM(F37:F43)</f>
        <v>25</v>
      </c>
      <c r="G36" s="17"/>
      <c r="H36" s="17"/>
      <c r="I36" s="15"/>
      <c r="J36" s="15"/>
      <c r="K36" s="23"/>
      <c r="L36" s="23"/>
      <c r="M36" s="23"/>
      <c r="N36" s="23"/>
      <c r="O36" s="23"/>
      <c r="P36" s="23"/>
      <c r="Q36" s="23"/>
      <c r="R36" s="15"/>
      <c r="S36" s="15"/>
      <c r="T36" s="15"/>
      <c r="U36" s="15"/>
      <c r="V36" s="15"/>
      <c r="W36" s="15"/>
      <c r="X36" s="15"/>
      <c r="Y36" s="15"/>
      <c r="Z36" s="15"/>
      <c r="AA36" s="15"/>
      <c r="AB36" s="15"/>
      <c r="AC36" s="15"/>
      <c r="AD36" s="24">
        <f>SUM(AD37:AD43)</f>
        <v>162</v>
      </c>
    </row>
    <row r="37" spans="1:30" ht="126" customHeight="1" x14ac:dyDescent="0.35">
      <c r="A37" s="29">
        <v>5</v>
      </c>
      <c r="B37" s="43" t="s">
        <v>48</v>
      </c>
      <c r="C37" s="43" t="s">
        <v>16</v>
      </c>
      <c r="D37" s="43" t="s">
        <v>18</v>
      </c>
      <c r="E37" s="20" t="s">
        <v>49</v>
      </c>
      <c r="F37" s="18">
        <f t="shared" si="3"/>
        <v>5</v>
      </c>
      <c r="G37" s="22">
        <v>44634</v>
      </c>
      <c r="H37" s="22">
        <v>44639</v>
      </c>
      <c r="I37" s="23"/>
      <c r="J37" s="23"/>
      <c r="K37" s="23"/>
      <c r="L37" s="23"/>
      <c r="M37" s="23"/>
      <c r="N37" s="23"/>
      <c r="O37" s="23"/>
      <c r="P37" s="23"/>
      <c r="Q37" s="23"/>
      <c r="R37" s="18">
        <v>5</v>
      </c>
      <c r="S37" s="18">
        <v>2</v>
      </c>
      <c r="T37" s="23"/>
      <c r="U37" s="18">
        <v>5</v>
      </c>
      <c r="V37" s="18">
        <v>1</v>
      </c>
      <c r="W37" s="23"/>
      <c r="X37" s="18">
        <v>5</v>
      </c>
      <c r="Y37" s="18">
        <v>5</v>
      </c>
      <c r="Z37" s="18">
        <v>5</v>
      </c>
      <c r="AA37" s="18">
        <v>4</v>
      </c>
      <c r="AB37" s="18">
        <v>2</v>
      </c>
      <c r="AC37" s="18"/>
      <c r="AD37" s="23">
        <f t="shared" si="8"/>
        <v>34</v>
      </c>
    </row>
    <row r="38" spans="1:30" ht="76" x14ac:dyDescent="0.35">
      <c r="A38" s="18"/>
      <c r="B38" s="44"/>
      <c r="C38" s="44"/>
      <c r="D38" s="44"/>
      <c r="E38" s="20" t="s">
        <v>50</v>
      </c>
      <c r="F38" s="18">
        <f t="shared" si="3"/>
        <v>5</v>
      </c>
      <c r="G38" s="22">
        <v>44638</v>
      </c>
      <c r="H38" s="22">
        <v>44644</v>
      </c>
      <c r="I38" s="23"/>
      <c r="J38" s="23"/>
      <c r="K38" s="23"/>
      <c r="L38" s="23"/>
      <c r="M38" s="23"/>
      <c r="N38" s="23"/>
      <c r="O38" s="23"/>
      <c r="P38" s="23"/>
      <c r="Q38" s="23"/>
      <c r="R38" s="18">
        <v>1</v>
      </c>
      <c r="S38" s="18">
        <v>1</v>
      </c>
      <c r="T38" s="23"/>
      <c r="U38" s="18">
        <v>1</v>
      </c>
      <c r="V38" s="18">
        <v>1</v>
      </c>
      <c r="W38" s="23"/>
      <c r="X38" s="18">
        <v>1</v>
      </c>
      <c r="Y38" s="18"/>
      <c r="Z38" s="18">
        <v>4</v>
      </c>
      <c r="AA38" s="18">
        <v>4</v>
      </c>
      <c r="AB38" s="18">
        <v>3</v>
      </c>
      <c r="AC38" s="18"/>
      <c r="AD38" s="23">
        <f t="shared" si="8"/>
        <v>16</v>
      </c>
    </row>
    <row r="39" spans="1:30" ht="76" x14ac:dyDescent="0.35">
      <c r="A39" s="18"/>
      <c r="B39" s="44"/>
      <c r="C39" s="44"/>
      <c r="D39" s="44"/>
      <c r="E39" s="20" t="s">
        <v>51</v>
      </c>
      <c r="F39" s="18">
        <f t="shared" si="3"/>
        <v>3</v>
      </c>
      <c r="G39" s="22">
        <v>44645</v>
      </c>
      <c r="H39" s="22">
        <v>44649</v>
      </c>
      <c r="I39" s="23"/>
      <c r="J39" s="23"/>
      <c r="K39" s="23"/>
      <c r="L39" s="23"/>
      <c r="M39" s="23"/>
      <c r="N39" s="23"/>
      <c r="O39" s="23"/>
      <c r="P39" s="23"/>
      <c r="Q39" s="23"/>
      <c r="R39" s="18">
        <v>3</v>
      </c>
      <c r="S39" s="18">
        <v>3</v>
      </c>
      <c r="T39" s="23"/>
      <c r="U39" s="18">
        <v>3</v>
      </c>
      <c r="V39" s="18">
        <v>1</v>
      </c>
      <c r="W39" s="23"/>
      <c r="X39" s="18">
        <v>3</v>
      </c>
      <c r="Y39" s="18">
        <v>3</v>
      </c>
      <c r="Z39" s="18">
        <v>3</v>
      </c>
      <c r="AA39" s="18">
        <v>3</v>
      </c>
      <c r="AB39" s="18">
        <v>3</v>
      </c>
      <c r="AC39" s="18"/>
      <c r="AD39" s="23">
        <f t="shared" si="8"/>
        <v>25</v>
      </c>
    </row>
    <row r="40" spans="1:30" ht="57" x14ac:dyDescent="0.35">
      <c r="A40" s="18"/>
      <c r="B40" s="44"/>
      <c r="C40" s="44"/>
      <c r="D40" s="44"/>
      <c r="E40" s="20" t="s">
        <v>52</v>
      </c>
      <c r="F40" s="18">
        <f t="shared" si="3"/>
        <v>7</v>
      </c>
      <c r="G40" s="22">
        <v>44650</v>
      </c>
      <c r="H40" s="22">
        <v>44658</v>
      </c>
      <c r="I40" s="23"/>
      <c r="J40" s="23"/>
      <c r="K40" s="23"/>
      <c r="L40" s="23"/>
      <c r="M40" s="23"/>
      <c r="N40" s="23"/>
      <c r="O40" s="23"/>
      <c r="P40" s="23"/>
      <c r="Q40" s="23"/>
      <c r="R40" s="18">
        <v>2</v>
      </c>
      <c r="S40" s="18">
        <v>2</v>
      </c>
      <c r="T40" s="23"/>
      <c r="U40" s="18">
        <v>2</v>
      </c>
      <c r="V40" s="18">
        <v>1</v>
      </c>
      <c r="W40" s="23"/>
      <c r="X40" s="18">
        <v>7</v>
      </c>
      <c r="Y40" s="18">
        <v>7</v>
      </c>
      <c r="Z40" s="18">
        <v>7</v>
      </c>
      <c r="AA40" s="18">
        <v>7</v>
      </c>
      <c r="AB40" s="18">
        <v>2</v>
      </c>
      <c r="AC40" s="18">
        <v>7</v>
      </c>
      <c r="AD40" s="23">
        <f t="shared" si="8"/>
        <v>44</v>
      </c>
    </row>
    <row r="41" spans="1:30" ht="76" x14ac:dyDescent="0.35">
      <c r="A41" s="18"/>
      <c r="B41" s="44"/>
      <c r="C41" s="44"/>
      <c r="D41" s="44"/>
      <c r="E41" s="20" t="s">
        <v>53</v>
      </c>
      <c r="F41" s="18">
        <f t="shared" si="3"/>
        <v>2</v>
      </c>
      <c r="G41" s="22">
        <v>44659</v>
      </c>
      <c r="H41" s="22">
        <v>44663</v>
      </c>
      <c r="I41" s="23"/>
      <c r="J41" s="23"/>
      <c r="K41" s="23"/>
      <c r="L41" s="23"/>
      <c r="M41" s="23"/>
      <c r="N41" s="23"/>
      <c r="O41" s="23"/>
      <c r="P41" s="23"/>
      <c r="Q41" s="23"/>
      <c r="R41" s="18">
        <v>2</v>
      </c>
      <c r="S41" s="18">
        <v>2</v>
      </c>
      <c r="T41" s="23"/>
      <c r="U41" s="18"/>
      <c r="V41" s="18">
        <v>1</v>
      </c>
      <c r="W41" s="23"/>
      <c r="X41" s="18">
        <v>2</v>
      </c>
      <c r="Y41" s="18">
        <v>2</v>
      </c>
      <c r="Z41" s="18">
        <v>2</v>
      </c>
      <c r="AA41" s="18">
        <v>2</v>
      </c>
      <c r="AB41" s="18">
        <v>2</v>
      </c>
      <c r="AC41" s="18">
        <v>2</v>
      </c>
      <c r="AD41" s="23">
        <f t="shared" si="8"/>
        <v>17</v>
      </c>
    </row>
    <row r="42" spans="1:30" ht="57" x14ac:dyDescent="0.35">
      <c r="A42" s="18"/>
      <c r="B42" s="44"/>
      <c r="C42" s="44"/>
      <c r="D42" s="44"/>
      <c r="E42" s="20" t="s">
        <v>54</v>
      </c>
      <c r="F42" s="18">
        <f t="shared" si="3"/>
        <v>1</v>
      </c>
      <c r="G42" s="22">
        <v>44664</v>
      </c>
      <c r="H42" s="22">
        <v>44664</v>
      </c>
      <c r="I42" s="23"/>
      <c r="J42" s="23"/>
      <c r="K42" s="23"/>
      <c r="L42" s="23"/>
      <c r="M42" s="23"/>
      <c r="N42" s="23"/>
      <c r="O42" s="23"/>
      <c r="P42" s="23"/>
      <c r="Q42" s="23"/>
      <c r="R42" s="18">
        <v>1</v>
      </c>
      <c r="S42" s="18">
        <v>1</v>
      </c>
      <c r="T42" s="23"/>
      <c r="U42" s="18"/>
      <c r="V42" s="18">
        <v>1</v>
      </c>
      <c r="W42" s="23"/>
      <c r="X42" s="18">
        <v>1</v>
      </c>
      <c r="Y42" s="18">
        <v>1</v>
      </c>
      <c r="Z42" s="18">
        <v>1</v>
      </c>
      <c r="AA42" s="18">
        <v>1</v>
      </c>
      <c r="AB42" s="18">
        <v>1</v>
      </c>
      <c r="AC42" s="18">
        <v>1</v>
      </c>
      <c r="AD42" s="23">
        <f t="shared" si="8"/>
        <v>9</v>
      </c>
    </row>
    <row r="43" spans="1:30" ht="38" x14ac:dyDescent="0.35">
      <c r="A43" s="18"/>
      <c r="B43" s="45"/>
      <c r="C43" s="45"/>
      <c r="D43" s="45"/>
      <c r="E43" s="20" t="s">
        <v>9</v>
      </c>
      <c r="F43" s="18">
        <f t="shared" si="3"/>
        <v>2</v>
      </c>
      <c r="G43" s="22">
        <v>44665</v>
      </c>
      <c r="H43" s="22">
        <v>44666</v>
      </c>
      <c r="I43" s="23"/>
      <c r="J43" s="23"/>
      <c r="K43" s="23"/>
      <c r="L43" s="23"/>
      <c r="M43" s="23"/>
      <c r="N43" s="23"/>
      <c r="O43" s="23"/>
      <c r="P43" s="23"/>
      <c r="Q43" s="23"/>
      <c r="R43" s="18">
        <v>2</v>
      </c>
      <c r="S43" s="18">
        <v>2</v>
      </c>
      <c r="T43" s="23"/>
      <c r="U43" s="18"/>
      <c r="V43" s="18">
        <v>1</v>
      </c>
      <c r="W43" s="23"/>
      <c r="X43" s="18">
        <v>2</v>
      </c>
      <c r="Y43" s="18">
        <v>2</v>
      </c>
      <c r="Z43" s="18">
        <v>2</v>
      </c>
      <c r="AA43" s="18">
        <v>2</v>
      </c>
      <c r="AB43" s="18">
        <v>2</v>
      </c>
      <c r="AC43" s="18">
        <v>2</v>
      </c>
      <c r="AD43" s="23">
        <f t="shared" si="8"/>
        <v>17</v>
      </c>
    </row>
    <row r="44" spans="1:30" x14ac:dyDescent="0.35">
      <c r="A44" s="15"/>
      <c r="B44" s="15"/>
      <c r="C44" s="15"/>
      <c r="D44" s="15"/>
      <c r="E44" s="16"/>
      <c r="F44" s="39">
        <f>SUM(F45:F51)</f>
        <v>50</v>
      </c>
      <c r="G44" s="17"/>
      <c r="H44" s="17"/>
      <c r="I44" s="15"/>
      <c r="J44" s="15"/>
      <c r="K44" s="15"/>
      <c r="L44" s="15"/>
      <c r="M44" s="15"/>
      <c r="N44" s="15"/>
      <c r="O44" s="15"/>
      <c r="P44" s="15"/>
      <c r="Q44" s="15"/>
      <c r="R44" s="15"/>
      <c r="S44" s="15"/>
      <c r="T44" s="15"/>
      <c r="U44" s="15"/>
      <c r="V44" s="15"/>
      <c r="W44" s="15"/>
      <c r="X44" s="15"/>
      <c r="Y44" s="15"/>
      <c r="Z44" s="15"/>
      <c r="AA44" s="15"/>
      <c r="AB44" s="15"/>
      <c r="AC44" s="15"/>
      <c r="AD44" s="24">
        <f>SUM(AD45:AD51)</f>
        <v>366</v>
      </c>
    </row>
    <row r="45" spans="1:30" ht="133" x14ac:dyDescent="0.35">
      <c r="A45" s="18">
        <v>6</v>
      </c>
      <c r="B45" s="43" t="s">
        <v>55</v>
      </c>
      <c r="C45" s="43" t="s">
        <v>13</v>
      </c>
      <c r="D45" s="43" t="s">
        <v>15</v>
      </c>
      <c r="E45" s="20" t="s">
        <v>56</v>
      </c>
      <c r="F45" s="25">
        <f>VALUE(LEFT(RIGHT(E45,7),2))</f>
        <v>14</v>
      </c>
      <c r="G45" s="22">
        <v>44692</v>
      </c>
      <c r="H45" s="22">
        <v>44708</v>
      </c>
      <c r="I45" s="23"/>
      <c r="J45" s="23"/>
      <c r="K45" s="23"/>
      <c r="L45" s="23"/>
      <c r="M45" s="23"/>
      <c r="N45" s="23"/>
      <c r="O45" s="23"/>
      <c r="P45" s="23"/>
      <c r="Q45" s="23"/>
      <c r="R45" s="25">
        <v>14</v>
      </c>
      <c r="S45" s="25">
        <v>10</v>
      </c>
      <c r="T45" s="25">
        <v>9</v>
      </c>
      <c r="U45" s="23"/>
      <c r="V45" s="25">
        <v>2</v>
      </c>
      <c r="W45" s="25">
        <v>14</v>
      </c>
      <c r="X45" s="25">
        <v>14</v>
      </c>
      <c r="Y45" s="25">
        <v>10</v>
      </c>
      <c r="Z45" s="25">
        <v>9</v>
      </c>
      <c r="AA45" s="25">
        <v>13</v>
      </c>
      <c r="AB45" s="25">
        <v>5</v>
      </c>
      <c r="AC45" s="18">
        <v>2</v>
      </c>
      <c r="AD45" s="23">
        <f t="shared" si="8"/>
        <v>102</v>
      </c>
    </row>
    <row r="46" spans="1:30" ht="76" x14ac:dyDescent="0.35">
      <c r="A46" s="18"/>
      <c r="B46" s="44"/>
      <c r="C46" s="44"/>
      <c r="D46" s="44"/>
      <c r="E46" s="20" t="s">
        <v>57</v>
      </c>
      <c r="F46" s="25">
        <f>VALUE(LEFT(RIGHT(E46,7),2))</f>
        <v>21</v>
      </c>
      <c r="G46" s="22">
        <v>44709</v>
      </c>
      <c r="H46" s="22">
        <v>44734</v>
      </c>
      <c r="I46" s="23"/>
      <c r="J46" s="23"/>
      <c r="K46" s="23"/>
      <c r="L46" s="23"/>
      <c r="M46" s="23"/>
      <c r="N46" s="23"/>
      <c r="O46" s="23"/>
      <c r="P46" s="23"/>
      <c r="Q46" s="23"/>
      <c r="R46" s="25">
        <v>21</v>
      </c>
      <c r="S46" s="25">
        <v>7</v>
      </c>
      <c r="T46" s="25">
        <v>21</v>
      </c>
      <c r="U46" s="23"/>
      <c r="V46" s="25">
        <v>3</v>
      </c>
      <c r="W46" s="25">
        <v>6</v>
      </c>
      <c r="X46" s="25">
        <v>19</v>
      </c>
      <c r="Y46" s="25">
        <v>19</v>
      </c>
      <c r="Z46" s="25">
        <v>19</v>
      </c>
      <c r="AA46" s="25">
        <v>10</v>
      </c>
      <c r="AB46" s="25">
        <v>3</v>
      </c>
      <c r="AC46" s="18">
        <v>2</v>
      </c>
      <c r="AD46" s="23">
        <f t="shared" si="8"/>
        <v>130</v>
      </c>
    </row>
    <row r="47" spans="1:30" ht="76" x14ac:dyDescent="0.35">
      <c r="A47" s="18"/>
      <c r="B47" s="44"/>
      <c r="C47" s="44"/>
      <c r="D47" s="44"/>
      <c r="E47" s="20" t="s">
        <v>58</v>
      </c>
      <c r="F47" s="18">
        <f t="shared" si="3"/>
        <v>3</v>
      </c>
      <c r="G47" s="22">
        <v>44735</v>
      </c>
      <c r="H47" s="22">
        <v>44739</v>
      </c>
      <c r="I47" s="23"/>
      <c r="J47" s="23"/>
      <c r="K47" s="23"/>
      <c r="L47" s="23"/>
      <c r="M47" s="23"/>
      <c r="N47" s="23"/>
      <c r="O47" s="23"/>
      <c r="P47" s="23"/>
      <c r="Q47" s="23"/>
      <c r="R47" s="18">
        <v>3</v>
      </c>
      <c r="S47" s="18">
        <v>1</v>
      </c>
      <c r="T47" s="18">
        <v>3</v>
      </c>
      <c r="U47" s="23"/>
      <c r="V47" s="18">
        <v>1</v>
      </c>
      <c r="W47" s="18">
        <v>1</v>
      </c>
      <c r="X47" s="18">
        <v>3</v>
      </c>
      <c r="Y47" s="18">
        <v>3</v>
      </c>
      <c r="Z47" s="18">
        <v>3</v>
      </c>
      <c r="AA47" s="18">
        <v>3</v>
      </c>
      <c r="AB47" s="18">
        <v>3</v>
      </c>
      <c r="AC47" s="18">
        <v>3</v>
      </c>
      <c r="AD47" s="23">
        <f t="shared" si="8"/>
        <v>27</v>
      </c>
    </row>
    <row r="48" spans="1:30" ht="76" x14ac:dyDescent="0.35">
      <c r="A48" s="18"/>
      <c r="B48" s="44"/>
      <c r="C48" s="44"/>
      <c r="D48" s="44"/>
      <c r="E48" s="20" t="s">
        <v>59</v>
      </c>
      <c r="F48" s="18">
        <f t="shared" si="3"/>
        <v>7</v>
      </c>
      <c r="G48" s="22">
        <v>44740</v>
      </c>
      <c r="H48" s="22">
        <v>44748</v>
      </c>
      <c r="I48" s="23"/>
      <c r="J48" s="23"/>
      <c r="K48" s="23"/>
      <c r="L48" s="23"/>
      <c r="M48" s="23"/>
      <c r="N48" s="23"/>
      <c r="O48" s="23"/>
      <c r="P48" s="23"/>
      <c r="Q48" s="23"/>
      <c r="R48" s="18">
        <v>7</v>
      </c>
      <c r="S48" s="18">
        <v>1</v>
      </c>
      <c r="T48" s="18">
        <v>7</v>
      </c>
      <c r="U48" s="23"/>
      <c r="V48" s="18">
        <v>1</v>
      </c>
      <c r="W48" s="18">
        <v>1</v>
      </c>
      <c r="X48" s="18">
        <v>7</v>
      </c>
      <c r="Y48" s="18">
        <v>7</v>
      </c>
      <c r="Z48" s="18">
        <v>7</v>
      </c>
      <c r="AA48" s="18">
        <v>7</v>
      </c>
      <c r="AB48" s="18">
        <v>2</v>
      </c>
      <c r="AC48" s="18">
        <v>7</v>
      </c>
      <c r="AD48" s="23">
        <f t="shared" si="8"/>
        <v>54</v>
      </c>
    </row>
    <row r="49" spans="1:30" ht="76" x14ac:dyDescent="0.35">
      <c r="A49" s="18"/>
      <c r="B49" s="44"/>
      <c r="C49" s="44"/>
      <c r="D49" s="44"/>
      <c r="E49" s="20" t="s">
        <v>60</v>
      </c>
      <c r="F49" s="18">
        <f t="shared" si="3"/>
        <v>2</v>
      </c>
      <c r="G49" s="22">
        <v>44749</v>
      </c>
      <c r="H49" s="22">
        <v>44751</v>
      </c>
      <c r="I49" s="23"/>
      <c r="J49" s="23"/>
      <c r="K49" s="23"/>
      <c r="L49" s="23"/>
      <c r="M49" s="23"/>
      <c r="N49" s="23"/>
      <c r="O49" s="23"/>
      <c r="P49" s="23"/>
      <c r="Q49" s="23"/>
      <c r="R49" s="18">
        <v>2</v>
      </c>
      <c r="S49" s="18">
        <v>2</v>
      </c>
      <c r="T49" s="18">
        <v>2</v>
      </c>
      <c r="U49" s="23"/>
      <c r="V49" s="18">
        <v>1</v>
      </c>
      <c r="W49" s="18">
        <v>1</v>
      </c>
      <c r="X49" s="18">
        <v>2</v>
      </c>
      <c r="Y49" s="18">
        <v>2</v>
      </c>
      <c r="Z49" s="18">
        <v>2</v>
      </c>
      <c r="AA49" s="18">
        <v>2</v>
      </c>
      <c r="AB49" s="18">
        <v>2</v>
      </c>
      <c r="AC49" s="18">
        <v>2</v>
      </c>
      <c r="AD49" s="23">
        <f t="shared" si="8"/>
        <v>20</v>
      </c>
    </row>
    <row r="50" spans="1:30" ht="57" x14ac:dyDescent="0.35">
      <c r="A50" s="18"/>
      <c r="B50" s="44"/>
      <c r="C50" s="44"/>
      <c r="D50" s="44"/>
      <c r="E50" s="20" t="s">
        <v>54</v>
      </c>
      <c r="F50" s="18">
        <f t="shared" si="3"/>
        <v>1</v>
      </c>
      <c r="G50" s="22">
        <v>44753</v>
      </c>
      <c r="H50" s="22">
        <v>44753</v>
      </c>
      <c r="I50" s="23"/>
      <c r="J50" s="23"/>
      <c r="K50" s="23"/>
      <c r="L50" s="23"/>
      <c r="M50" s="23"/>
      <c r="N50" s="23"/>
      <c r="O50" s="23"/>
      <c r="P50" s="23"/>
      <c r="Q50" s="23"/>
      <c r="R50" s="18">
        <v>1</v>
      </c>
      <c r="S50" s="18">
        <v>1</v>
      </c>
      <c r="T50" s="18">
        <v>1</v>
      </c>
      <c r="U50" s="23"/>
      <c r="V50" s="18">
        <v>1</v>
      </c>
      <c r="W50" s="18">
        <v>1</v>
      </c>
      <c r="X50" s="18">
        <v>1</v>
      </c>
      <c r="Y50" s="18">
        <v>1</v>
      </c>
      <c r="Z50" s="18">
        <v>1</v>
      </c>
      <c r="AA50" s="18">
        <v>2</v>
      </c>
      <c r="AB50" s="18">
        <v>1</v>
      </c>
      <c r="AC50" s="18">
        <v>1</v>
      </c>
      <c r="AD50" s="23">
        <f t="shared" si="8"/>
        <v>12</v>
      </c>
    </row>
    <row r="51" spans="1:30" ht="38" x14ac:dyDescent="0.35">
      <c r="A51" s="18"/>
      <c r="B51" s="45"/>
      <c r="C51" s="45"/>
      <c r="D51" s="45"/>
      <c r="E51" s="20" t="s">
        <v>9</v>
      </c>
      <c r="F51" s="18">
        <f t="shared" si="3"/>
        <v>2</v>
      </c>
      <c r="G51" s="22">
        <v>44754</v>
      </c>
      <c r="H51" s="22">
        <v>44755</v>
      </c>
      <c r="I51" s="23"/>
      <c r="J51" s="23"/>
      <c r="K51" s="23"/>
      <c r="L51" s="23"/>
      <c r="M51" s="23"/>
      <c r="N51" s="23"/>
      <c r="O51" s="23"/>
      <c r="P51" s="23"/>
      <c r="Q51" s="23"/>
      <c r="R51" s="18">
        <v>2</v>
      </c>
      <c r="S51" s="18">
        <v>2</v>
      </c>
      <c r="T51" s="18">
        <v>2</v>
      </c>
      <c r="U51" s="23"/>
      <c r="V51" s="18">
        <v>2</v>
      </c>
      <c r="W51" s="18">
        <v>2</v>
      </c>
      <c r="X51" s="18">
        <v>2</v>
      </c>
      <c r="Y51" s="18">
        <v>2</v>
      </c>
      <c r="Z51" s="18">
        <v>2</v>
      </c>
      <c r="AA51" s="18">
        <v>1</v>
      </c>
      <c r="AB51" s="18">
        <v>2</v>
      </c>
      <c r="AC51" s="18">
        <v>2</v>
      </c>
      <c r="AD51" s="23">
        <f t="shared" si="8"/>
        <v>21</v>
      </c>
    </row>
    <row r="52" spans="1:30" x14ac:dyDescent="0.35">
      <c r="A52" s="15"/>
      <c r="B52" s="15"/>
      <c r="C52" s="15"/>
      <c r="D52" s="15"/>
      <c r="E52" s="16"/>
      <c r="F52" s="39">
        <f>SUM(F53:F57)</f>
        <v>37</v>
      </c>
      <c r="G52" s="17"/>
      <c r="H52" s="17"/>
      <c r="I52" s="15"/>
      <c r="J52" s="15"/>
      <c r="K52" s="15"/>
      <c r="L52" s="15"/>
      <c r="M52" s="15"/>
      <c r="N52" s="15"/>
      <c r="O52" s="15"/>
      <c r="P52" s="15"/>
      <c r="Q52" s="15"/>
      <c r="R52" s="15"/>
      <c r="S52" s="15"/>
      <c r="T52" s="15"/>
      <c r="U52" s="15"/>
      <c r="V52" s="15"/>
      <c r="W52" s="15"/>
      <c r="X52" s="15"/>
      <c r="Y52" s="15"/>
      <c r="Z52" s="15"/>
      <c r="AA52" s="15"/>
      <c r="AB52" s="15"/>
      <c r="AC52" s="15"/>
      <c r="AD52" s="24">
        <f>SUM(AD53:AD57)</f>
        <v>170</v>
      </c>
    </row>
    <row r="53" spans="1:30" ht="64.5" customHeight="1" x14ac:dyDescent="0.35">
      <c r="A53" s="29">
        <v>7</v>
      </c>
      <c r="B53" s="46" t="s">
        <v>61</v>
      </c>
      <c r="C53" s="46" t="s">
        <v>13</v>
      </c>
      <c r="D53" s="46" t="s">
        <v>20</v>
      </c>
      <c r="E53" s="20" t="s">
        <v>62</v>
      </c>
      <c r="F53" s="18">
        <f t="shared" si="3"/>
        <v>7</v>
      </c>
      <c r="G53" s="22">
        <v>44573</v>
      </c>
      <c r="H53" s="22">
        <v>44581</v>
      </c>
      <c r="I53" s="23"/>
      <c r="J53" s="23"/>
      <c r="K53" s="23"/>
      <c r="L53" s="23"/>
      <c r="M53" s="23"/>
      <c r="N53" s="23"/>
      <c r="O53" s="23"/>
      <c r="P53" s="23"/>
      <c r="Q53" s="23"/>
      <c r="R53" s="18">
        <v>7</v>
      </c>
      <c r="S53" s="18">
        <v>5</v>
      </c>
      <c r="T53" s="18">
        <v>7</v>
      </c>
      <c r="U53" s="23"/>
      <c r="V53" s="23"/>
      <c r="W53" s="23"/>
      <c r="X53" s="18">
        <v>7</v>
      </c>
      <c r="Y53" s="18">
        <v>2</v>
      </c>
      <c r="Z53" s="18">
        <v>2</v>
      </c>
      <c r="AA53" s="18">
        <v>2</v>
      </c>
      <c r="AB53" s="18">
        <v>1</v>
      </c>
      <c r="AC53" s="23">
        <v>3</v>
      </c>
      <c r="AD53" s="23">
        <f t="shared" si="8"/>
        <v>36</v>
      </c>
    </row>
    <row r="54" spans="1:30" ht="95" x14ac:dyDescent="0.35">
      <c r="A54" s="18"/>
      <c r="B54" s="46"/>
      <c r="C54" s="46"/>
      <c r="D54" s="46"/>
      <c r="E54" s="20" t="s">
        <v>63</v>
      </c>
      <c r="F54" s="18">
        <f t="shared" si="3"/>
        <v>7</v>
      </c>
      <c r="G54" s="22">
        <v>44582</v>
      </c>
      <c r="H54" s="22">
        <v>44599</v>
      </c>
      <c r="I54" s="23"/>
      <c r="J54" s="23"/>
      <c r="K54" s="23"/>
      <c r="L54" s="23"/>
      <c r="M54" s="23"/>
      <c r="N54" s="23"/>
      <c r="O54" s="23"/>
      <c r="P54" s="23"/>
      <c r="Q54" s="23"/>
      <c r="R54" s="18">
        <v>7</v>
      </c>
      <c r="S54" s="18">
        <v>5</v>
      </c>
      <c r="T54" s="18"/>
      <c r="U54" s="23"/>
      <c r="V54" s="23"/>
      <c r="W54" s="23"/>
      <c r="X54" s="18">
        <v>7</v>
      </c>
      <c r="Y54" s="18">
        <v>5</v>
      </c>
      <c r="Z54" s="18">
        <v>5</v>
      </c>
      <c r="AA54" s="18">
        <v>5</v>
      </c>
      <c r="AB54" s="18"/>
      <c r="AC54" s="23">
        <v>3</v>
      </c>
      <c r="AD54" s="23">
        <f t="shared" si="8"/>
        <v>37</v>
      </c>
    </row>
    <row r="55" spans="1:30" ht="95" x14ac:dyDescent="0.35">
      <c r="A55" s="18"/>
      <c r="B55" s="46"/>
      <c r="C55" s="46"/>
      <c r="D55" s="46"/>
      <c r="E55" s="20" t="s">
        <v>64</v>
      </c>
      <c r="F55" s="18">
        <f t="shared" si="3"/>
        <v>1</v>
      </c>
      <c r="G55" s="22">
        <v>44600</v>
      </c>
      <c r="H55" s="22">
        <v>44601</v>
      </c>
      <c r="I55" s="23"/>
      <c r="J55" s="23"/>
      <c r="K55" s="23"/>
      <c r="L55" s="23"/>
      <c r="M55" s="23"/>
      <c r="N55" s="23"/>
      <c r="O55" s="23"/>
      <c r="P55" s="23"/>
      <c r="Q55" s="23"/>
      <c r="R55" s="18">
        <v>1</v>
      </c>
      <c r="S55" s="18">
        <v>1</v>
      </c>
      <c r="T55" s="18">
        <v>1</v>
      </c>
      <c r="U55" s="23"/>
      <c r="V55" s="23"/>
      <c r="W55" s="23"/>
      <c r="X55" s="18">
        <v>1</v>
      </c>
      <c r="Y55" s="18">
        <v>1</v>
      </c>
      <c r="Z55" s="18">
        <v>1</v>
      </c>
      <c r="AA55" s="18">
        <v>1</v>
      </c>
      <c r="AB55" s="18">
        <v>1</v>
      </c>
      <c r="AC55" s="23">
        <v>1</v>
      </c>
      <c r="AD55" s="23">
        <f t="shared" si="8"/>
        <v>9</v>
      </c>
    </row>
    <row r="56" spans="1:30" ht="95" x14ac:dyDescent="0.35">
      <c r="A56" s="18"/>
      <c r="B56" s="46"/>
      <c r="C56" s="46"/>
      <c r="D56" s="46"/>
      <c r="E56" s="20" t="s">
        <v>65</v>
      </c>
      <c r="F56" s="25">
        <f>VALUE(LEFT(RIGHT(E56,7),2))</f>
        <v>21</v>
      </c>
      <c r="G56" s="22">
        <v>44602</v>
      </c>
      <c r="H56" s="22">
        <v>44627</v>
      </c>
      <c r="I56" s="23"/>
      <c r="J56" s="23"/>
      <c r="K56" s="23"/>
      <c r="L56" s="23"/>
      <c r="M56" s="23"/>
      <c r="N56" s="23"/>
      <c r="O56" s="23"/>
      <c r="P56" s="23"/>
      <c r="Q56" s="23"/>
      <c r="R56" s="18">
        <v>12</v>
      </c>
      <c r="S56" s="18">
        <v>12</v>
      </c>
      <c r="T56" s="18">
        <v>3</v>
      </c>
      <c r="U56" s="23"/>
      <c r="V56" s="23"/>
      <c r="W56" s="23"/>
      <c r="X56" s="18">
        <v>21</v>
      </c>
      <c r="Y56" s="18">
        <v>12</v>
      </c>
      <c r="Z56" s="18">
        <v>12</v>
      </c>
      <c r="AA56" s="18">
        <v>1</v>
      </c>
      <c r="AB56" s="18">
        <v>3</v>
      </c>
      <c r="AC56" s="23">
        <v>3</v>
      </c>
      <c r="AD56" s="23">
        <f t="shared" si="8"/>
        <v>79</v>
      </c>
    </row>
    <row r="57" spans="1:30" ht="38" x14ac:dyDescent="0.35">
      <c r="A57" s="18"/>
      <c r="B57" s="46"/>
      <c r="C57" s="46"/>
      <c r="D57" s="46"/>
      <c r="E57" s="20" t="s">
        <v>66</v>
      </c>
      <c r="F57" s="18">
        <f t="shared" si="3"/>
        <v>1</v>
      </c>
      <c r="G57" s="22">
        <v>44628</v>
      </c>
      <c r="H57" s="22">
        <v>44628</v>
      </c>
      <c r="I57" s="23"/>
      <c r="J57" s="23"/>
      <c r="K57" s="23"/>
      <c r="L57" s="23"/>
      <c r="M57" s="23"/>
      <c r="N57" s="23"/>
      <c r="O57" s="23"/>
      <c r="P57" s="23"/>
      <c r="Q57" s="23"/>
      <c r="R57" s="18">
        <v>1</v>
      </c>
      <c r="S57" s="18">
        <v>1</v>
      </c>
      <c r="T57" s="18">
        <v>1</v>
      </c>
      <c r="U57" s="23"/>
      <c r="V57" s="23"/>
      <c r="W57" s="23"/>
      <c r="X57" s="18">
        <v>1</v>
      </c>
      <c r="Y57" s="18">
        <v>1</v>
      </c>
      <c r="Z57" s="18">
        <v>1</v>
      </c>
      <c r="AA57" s="18">
        <v>1</v>
      </c>
      <c r="AB57" s="18">
        <v>1</v>
      </c>
      <c r="AC57" s="23">
        <v>1</v>
      </c>
      <c r="AD57" s="23">
        <f t="shared" si="8"/>
        <v>9</v>
      </c>
    </row>
    <row r="72" spans="19:19" x14ac:dyDescent="0.35">
      <c r="S72" s="33"/>
    </row>
    <row r="74" spans="19:19" x14ac:dyDescent="0.35">
      <c r="S74" s="33"/>
    </row>
  </sheetData>
  <autoFilter ref="A1:AC58" xr:uid="{7F5F38A4-57F1-4889-8E94-A664AE3E7510}"/>
  <mergeCells count="23">
    <mergeCell ref="C53:C57"/>
    <mergeCell ref="D53:D57"/>
    <mergeCell ref="B45:B51"/>
    <mergeCell ref="B53:B57"/>
    <mergeCell ref="C5:C12"/>
    <mergeCell ref="D5:D12"/>
    <mergeCell ref="C14:C20"/>
    <mergeCell ref="D14:D20"/>
    <mergeCell ref="C23:C27"/>
    <mergeCell ref="D23:D27"/>
    <mergeCell ref="C29:C35"/>
    <mergeCell ref="D29:D35"/>
    <mergeCell ref="B5:B12"/>
    <mergeCell ref="B14:B20"/>
    <mergeCell ref="B23:B27"/>
    <mergeCell ref="B29:B35"/>
    <mergeCell ref="B2:E2"/>
    <mergeCell ref="B3:E3"/>
    <mergeCell ref="C37:C43"/>
    <mergeCell ref="D37:D43"/>
    <mergeCell ref="C45:C51"/>
    <mergeCell ref="D45:D51"/>
    <mergeCell ref="B37:B43"/>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172F1-8E01-4A36-8872-4C34B0CDFD8E}">
  <dimension ref="A1:B20"/>
  <sheetViews>
    <sheetView topLeftCell="A7" workbookViewId="0">
      <selection activeCell="A20" sqref="A20"/>
    </sheetView>
  </sheetViews>
  <sheetFormatPr defaultRowHeight="14.5" x14ac:dyDescent="0.35"/>
  <cols>
    <col min="1" max="1" width="10.453125" style="1" bestFit="1" customWidth="1"/>
    <col min="2" max="2" width="10.453125" bestFit="1" customWidth="1"/>
  </cols>
  <sheetData>
    <row r="1" spans="1:2" x14ac:dyDescent="0.35">
      <c r="A1" s="3" t="s">
        <v>12</v>
      </c>
    </row>
    <row r="2" spans="1:2" x14ac:dyDescent="0.35">
      <c r="A2" s="2">
        <v>44562</v>
      </c>
      <c r="B2" s="2"/>
    </row>
    <row r="3" spans="1:2" x14ac:dyDescent="0.35">
      <c r="A3" s="2">
        <v>44590</v>
      </c>
      <c r="B3" s="2"/>
    </row>
    <row r="4" spans="1:2" x14ac:dyDescent="0.35">
      <c r="A4" s="2">
        <f>A3+1</f>
        <v>44591</v>
      </c>
      <c r="B4" s="2"/>
    </row>
    <row r="5" spans="1:2" x14ac:dyDescent="0.35">
      <c r="A5" s="2">
        <f t="shared" ref="A5:A11" si="0">A4+1</f>
        <v>44592</v>
      </c>
      <c r="B5" s="2"/>
    </row>
    <row r="6" spans="1:2" x14ac:dyDescent="0.35">
      <c r="A6" s="2">
        <f t="shared" si="0"/>
        <v>44593</v>
      </c>
      <c r="B6" s="2"/>
    </row>
    <row r="7" spans="1:2" x14ac:dyDescent="0.35">
      <c r="A7" s="2">
        <f t="shared" si="0"/>
        <v>44594</v>
      </c>
      <c r="B7" s="2"/>
    </row>
    <row r="8" spans="1:2" x14ac:dyDescent="0.35">
      <c r="A8" s="2">
        <f t="shared" si="0"/>
        <v>44595</v>
      </c>
      <c r="B8" s="2"/>
    </row>
    <row r="9" spans="1:2" x14ac:dyDescent="0.35">
      <c r="A9" s="2">
        <f t="shared" si="0"/>
        <v>44596</v>
      </c>
      <c r="B9" s="2"/>
    </row>
    <row r="10" spans="1:2" x14ac:dyDescent="0.35">
      <c r="A10" s="2">
        <f t="shared" si="0"/>
        <v>44597</v>
      </c>
      <c r="B10" s="2"/>
    </row>
    <row r="11" spans="1:2" x14ac:dyDescent="0.35">
      <c r="A11" s="2">
        <f t="shared" si="0"/>
        <v>44598</v>
      </c>
      <c r="B11" s="2"/>
    </row>
    <row r="12" spans="1:2" x14ac:dyDescent="0.35">
      <c r="A12" s="2">
        <v>44660</v>
      </c>
      <c r="B12" s="2"/>
    </row>
    <row r="13" spans="1:2" x14ac:dyDescent="0.35">
      <c r="A13" s="2">
        <v>44661</v>
      </c>
      <c r="B13" s="2"/>
    </row>
    <row r="14" spans="1:2" x14ac:dyDescent="0.35">
      <c r="A14" s="2">
        <v>44681</v>
      </c>
    </row>
    <row r="15" spans="1:2" x14ac:dyDescent="0.35">
      <c r="A15" s="2">
        <f t="shared" ref="A15:A18" si="1">A14+1</f>
        <v>44682</v>
      </c>
    </row>
    <row r="16" spans="1:2" x14ac:dyDescent="0.35">
      <c r="A16" s="2">
        <v>44806</v>
      </c>
    </row>
    <row r="17" spans="1:1" x14ac:dyDescent="0.35">
      <c r="A17" s="2">
        <f t="shared" si="1"/>
        <v>44807</v>
      </c>
    </row>
    <row r="18" spans="1:1" x14ac:dyDescent="0.35">
      <c r="A18" s="2">
        <f t="shared" si="1"/>
        <v>44808</v>
      </c>
    </row>
    <row r="20" spans="1:1" x14ac:dyDescent="0.35">
      <c r="A20" s="4">
        <f>26*9</f>
        <v>234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Holiday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Phương, Phạm Ngọc Phương</dc:creator>
  <cp:lastModifiedBy>Phương, Phạm Ngọc Phương</cp:lastModifiedBy>
  <dcterms:created xsi:type="dcterms:W3CDTF">2023-10-05T03:07:49Z</dcterms:created>
  <dcterms:modified xsi:type="dcterms:W3CDTF">2023-10-16T15:09:04Z</dcterms:modified>
</cp:coreProperties>
</file>