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ata\GĐ Tài chính\Trạm\Chính sách hỗ trợ NCC\Chính sách hỗ trợ nhà cung ứng\"/>
    </mc:Choice>
  </mc:AlternateContent>
  <xr:revisionPtr revIDLastSave="0" documentId="13_ncr:1_{94A2BEC8-07DB-491E-8481-2C36A261ACB9}" xr6:coauthVersionLast="47" xr6:coauthVersionMax="47" xr10:uidLastSave="{00000000-0000-0000-0000-000000000000}"/>
  <bookViews>
    <workbookView xWindow="-110" yWindow="-110" windowWidth="19420" windowHeight="10300" xr2:uid="{A832B171-32F3-4149-8780-44BE764E3939}"/>
  </bookViews>
  <sheets>
    <sheet name="Giải trình tổng" sheetId="2" r:id="rId1"/>
  </sheets>
  <externalReferences>
    <externalReference r:id="rId2"/>
  </externalReferences>
  <definedNames>
    <definedName name="_xlnm.Print_Area" localSheetId="0">'Giải trình tổng'!$A$1:$Q$44</definedName>
    <definedName name="_xlnm.Print_Titles" localSheetId="0">'Giải trình tổng'!$16:$16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E42" i="2" l="1"/>
  <c r="E45" i="2"/>
  <c r="F42" i="2"/>
  <c r="G42" i="2"/>
  <c r="H42" i="2"/>
  <c r="I42" i="2"/>
  <c r="J42" i="2"/>
  <c r="K42" i="2"/>
  <c r="L42" i="2"/>
  <c r="M42" i="2"/>
  <c r="N42" i="2"/>
  <c r="O42" i="2"/>
  <c r="P42" i="2"/>
  <c r="D14" i="2" l="1"/>
  <c r="D13" i="2"/>
  <c r="F20" i="2"/>
  <c r="G20" i="2"/>
  <c r="H20" i="2"/>
  <c r="I20" i="2"/>
  <c r="J20" i="2"/>
  <c r="K20" i="2"/>
  <c r="L20" i="2"/>
  <c r="M20" i="2"/>
  <c r="N20" i="2"/>
  <c r="O20" i="2"/>
  <c r="P20" i="2"/>
  <c r="E20" i="2"/>
  <c r="D6" i="2"/>
  <c r="Q20" i="2" l="1"/>
  <c r="E17" i="2"/>
  <c r="E21" i="2" s="1"/>
  <c r="Q18" i="2"/>
  <c r="D29" i="2"/>
  <c r="D34" i="2"/>
  <c r="Q34" i="2"/>
  <c r="D35" i="2"/>
  <c r="D36" i="2"/>
  <c r="I36" i="2" s="1"/>
  <c r="D37" i="2"/>
  <c r="L37" i="2" s="1"/>
  <c r="D39" i="2"/>
  <c r="E39" i="2" s="1"/>
  <c r="E37" i="2" l="1"/>
  <c r="J37" i="2"/>
  <c r="F37" i="2"/>
  <c r="I37" i="2"/>
  <c r="I35" i="2" s="1"/>
  <c r="H37" i="2"/>
  <c r="G37" i="2"/>
  <c r="K37" i="2"/>
  <c r="P37" i="2"/>
  <c r="O37" i="2"/>
  <c r="N37" i="2"/>
  <c r="M37" i="2"/>
  <c r="E36" i="2"/>
  <c r="E22" i="2"/>
  <c r="F17" i="2"/>
  <c r="F21" i="2" s="1"/>
  <c r="H36" i="2"/>
  <c r="G36" i="2"/>
  <c r="F36" i="2"/>
  <c r="F35" i="2" s="1"/>
  <c r="E31" i="2"/>
  <c r="E30" i="2"/>
  <c r="E29" i="2"/>
  <c r="E28" i="2" s="1"/>
  <c r="E38" i="2"/>
  <c r="M36" i="2"/>
  <c r="L36" i="2"/>
  <c r="P36" i="2"/>
  <c r="K36" i="2"/>
  <c r="O36" i="2"/>
  <c r="N36" i="2"/>
  <c r="J36" i="2"/>
  <c r="G35" i="2" l="1"/>
  <c r="F29" i="2"/>
  <c r="F22" i="2"/>
  <c r="J35" i="2"/>
  <c r="H35" i="2"/>
  <c r="G17" i="2"/>
  <c r="G31" i="2" s="1"/>
  <c r="F30" i="2"/>
  <c r="F31" i="2"/>
  <c r="F39" i="2"/>
  <c r="F38" i="2" s="1"/>
  <c r="F33" i="2" s="1"/>
  <c r="E35" i="2"/>
  <c r="E33" i="2" s="1"/>
  <c r="L35" i="2"/>
  <c r="Q37" i="2"/>
  <c r="M35" i="2"/>
  <c r="K35" i="2"/>
  <c r="O35" i="2"/>
  <c r="Q36" i="2"/>
  <c r="P35" i="2"/>
  <c r="N35" i="2"/>
  <c r="E26" i="2" l="1"/>
  <c r="H17" i="2"/>
  <c r="H39" i="2" s="1"/>
  <c r="H38" i="2" s="1"/>
  <c r="H33" i="2" s="1"/>
  <c r="G21" i="2"/>
  <c r="G22" i="2" s="1"/>
  <c r="F28" i="2"/>
  <c r="F26" i="2" s="1"/>
  <c r="G39" i="2"/>
  <c r="G38" i="2" s="1"/>
  <c r="G33" i="2" s="1"/>
  <c r="G30" i="2"/>
  <c r="G29" i="2"/>
  <c r="Q35" i="2"/>
  <c r="I17" i="2" l="1"/>
  <c r="I31" i="2" s="1"/>
  <c r="H21" i="2"/>
  <c r="H22" i="2" s="1"/>
  <c r="H31" i="2"/>
  <c r="G28" i="2"/>
  <c r="G26" i="2" s="1"/>
  <c r="J17" i="2" l="1"/>
  <c r="J21" i="2" s="1"/>
  <c r="J22" i="2" s="1"/>
  <c r="I21" i="2"/>
  <c r="I22" i="2" s="1"/>
  <c r="H30" i="2"/>
  <c r="H29" i="2"/>
  <c r="I39" i="2"/>
  <c r="I38" i="2" s="1"/>
  <c r="I33" i="2" s="1"/>
  <c r="K17" i="2"/>
  <c r="I30" i="2"/>
  <c r="I29" i="2"/>
  <c r="J31" i="2" l="1"/>
  <c r="J39" i="2"/>
  <c r="J38" i="2" s="1"/>
  <c r="J33" i="2" s="1"/>
  <c r="H28" i="2"/>
  <c r="H26" i="2" s="1"/>
  <c r="I28" i="2"/>
  <c r="I26" i="2" s="1"/>
  <c r="K31" i="2"/>
  <c r="K39" i="2"/>
  <c r="K38" i="2" s="1"/>
  <c r="K33" i="2" s="1"/>
  <c r="K21" i="2"/>
  <c r="K22" i="2" s="1"/>
  <c r="L17" i="2"/>
  <c r="J29" i="2"/>
  <c r="J30" i="2"/>
  <c r="J28" i="2" l="1"/>
  <c r="J26" i="2" s="1"/>
  <c r="L21" i="2"/>
  <c r="L22" i="2" s="1"/>
  <c r="M17" i="2"/>
  <c r="L39" i="2"/>
  <c r="L38" i="2" s="1"/>
  <c r="L33" i="2" s="1"/>
  <c r="L31" i="2"/>
  <c r="K30" i="2"/>
  <c r="K29" i="2"/>
  <c r="K28" i="2" l="1"/>
  <c r="K26" i="2" s="1"/>
  <c r="M21" i="2"/>
  <c r="M22" i="2" s="1"/>
  <c r="N17" i="2"/>
  <c r="M39" i="2"/>
  <c r="M38" i="2" s="1"/>
  <c r="M33" i="2" s="1"/>
  <c r="M31" i="2"/>
  <c r="L30" i="2"/>
  <c r="L29" i="2"/>
  <c r="L28" i="2" l="1"/>
  <c r="L26" i="2" s="1"/>
  <c r="O17" i="2"/>
  <c r="N39" i="2"/>
  <c r="N31" i="2"/>
  <c r="N21" i="2"/>
  <c r="N22" i="2" s="1"/>
  <c r="M30" i="2"/>
  <c r="M29" i="2"/>
  <c r="M28" i="2" l="1"/>
  <c r="M26" i="2" s="1"/>
  <c r="N29" i="2"/>
  <c r="N30" i="2"/>
  <c r="N38" i="2"/>
  <c r="N33" i="2" s="1"/>
  <c r="P17" i="2"/>
  <c r="O31" i="2"/>
  <c r="O39" i="2"/>
  <c r="O38" i="2" s="1"/>
  <c r="O33" i="2" s="1"/>
  <c r="O21" i="2"/>
  <c r="O22" i="2" s="1"/>
  <c r="O30" i="2" l="1"/>
  <c r="O29" i="2"/>
  <c r="P21" i="2"/>
  <c r="P22" i="2" s="1"/>
  <c r="Q17" i="2"/>
  <c r="P31" i="2"/>
  <c r="Q31" i="2" s="1"/>
  <c r="P39" i="2"/>
  <c r="P38" i="2" s="1"/>
  <c r="N28" i="2"/>
  <c r="N26" i="2" s="1"/>
  <c r="Q22" i="2" l="1"/>
  <c r="Q38" i="2"/>
  <c r="P33" i="2"/>
  <c r="Q21" i="2"/>
  <c r="Q39" i="2"/>
  <c r="O28" i="2"/>
  <c r="O26" i="2" s="1"/>
  <c r="P29" i="2"/>
  <c r="P30" i="2"/>
  <c r="Q30" i="2" s="1"/>
  <c r="Q33" i="2" l="1"/>
  <c r="Q42" i="2"/>
  <c r="P28" i="2"/>
  <c r="P26" i="2" s="1"/>
  <c r="Q29" i="2"/>
  <c r="Q28" i="2" l="1"/>
  <c r="Q26" i="2" l="1"/>
  <c r="D11" i="2"/>
</calcChain>
</file>

<file path=xl/sharedStrings.xml><?xml version="1.0" encoding="utf-8"?>
<sst xmlns="http://schemas.openxmlformats.org/spreadsheetml/2006/main" count="84" uniqueCount="64">
  <si>
    <t>Ghi chú</t>
  </si>
  <si>
    <t>Giá mua trung bình</t>
  </si>
  <si>
    <t>VNĐ/kg</t>
  </si>
  <si>
    <t>Chỉ tiêu sản lượng Chai PET 2026</t>
  </si>
  <si>
    <t>Tấn</t>
  </si>
  <si>
    <t>Tổng số lượng Nhà cung ứng hiện hữu 2025</t>
  </si>
  <si>
    <t>NCƯ</t>
  </si>
  <si>
    <t>STT</t>
  </si>
  <si>
    <t>NỘI DUNG</t>
  </si>
  <si>
    <t>ĐVT</t>
  </si>
  <si>
    <t>GIÁ TRỊ</t>
  </si>
  <si>
    <t>Mức hỗ trợ theo kg</t>
  </si>
  <si>
    <t>NCƯ Đồng hành</t>
  </si>
  <si>
    <t>Đ/kg</t>
  </si>
  <si>
    <t>Tỷ trọng</t>
  </si>
  <si>
    <t>Sản lượng (Chai PET) 2026</t>
  </si>
  <si>
    <t>%</t>
  </si>
  <si>
    <t>Số lượng Nhà cung ứng</t>
  </si>
  <si>
    <t>CHI PHÍ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</si>
  <si>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</si>
  <si>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</si>
  <si>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</si>
  <si>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</si>
  <si>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</si>
  <si>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</si>
  <si>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</si>
  <si>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</si>
  <si>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</si>
  <si>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</si>
  <si>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</si>
  <si>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</si>
  <si>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TỔNG CỘNG</t>
  </si>
  <si>
    <t>GHI CHÚ</t>
  </si>
  <si>
    <t>SẢN LƯỢNG TRONG THÁNG</t>
  </si>
  <si>
    <t>NCƯ ĐỒNG HÀNH</t>
  </si>
  <si>
    <t>NGÂN SÁCH HỖ TRỢ THUẾ</t>
  </si>
  <si>
    <t>VNĐ</t>
  </si>
  <si>
    <t>Tổng đài tư vấn thuế</t>
  </si>
  <si>
    <t>Chi phí hỗ trợ một lần</t>
  </si>
  <si>
    <t>NCƯ còn lại</t>
  </si>
  <si>
    <t>Tổng chi phí hỗ trợ định kỳ/Tháng</t>
  </si>
  <si>
    <t>3.1</t>
  </si>
  <si>
    <t xml:space="preserve">Hỗ trợ vận chuyển </t>
  </si>
  <si>
    <t>Thưởng sản lượng (Tháng, quý, năm)</t>
  </si>
  <si>
    <t>Hỗ trợ lương Kế toán/ Admin văn phòng</t>
  </si>
  <si>
    <t xml:space="preserve">BẢNG GIẢI TRÌNH NGÂN SÁCH HỖ TRỢ THEO CHÍNH SÁCH </t>
  </si>
  <si>
    <t>Hỗ trợ trừ bì tạp</t>
  </si>
  <si>
    <t>4</t>
  </si>
  <si>
    <t>Chỉ tiêu sản lượng Chai PET trung bình tháng</t>
  </si>
  <si>
    <t>Tấn/ Năm</t>
  </si>
  <si>
    <t>Tấn/ Tháng</t>
  </si>
  <si>
    <t>SỐ LƯỢNG NHÀ CUNG ỨNG ĐỒNG HÀNH TÍCH LŨY</t>
  </si>
  <si>
    <t>SỐ LƯỢNG NHÀ CUNG ỨNG ĐỒNG HÀNH TRONG THÁNG</t>
  </si>
  <si>
    <t>NGƯ KHÁC (KHÔNG ĐỒNG HÀNH)</t>
  </si>
  <si>
    <t>HỖ TRỢ KHÔNG BẰNG TIỀN</t>
  </si>
  <si>
    <t>NGÂN SÁCH THƯỞNG MUA HÀNG NCƯ ĐỒNG HÀNH</t>
  </si>
  <si>
    <t>3.2</t>
  </si>
  <si>
    <t>NGÂN SÁCH HỖ TRỢ BẰNG TIỀN</t>
  </si>
  <si>
    <t>Dự kiến hỗ trợ tổng cộng 40 đối tác, 20 nhà vào tháng 1 và 20 nhà vào tháng 6</t>
  </si>
  <si>
    <t>Áp dụng đại trà, không phụ thuộc số lượng</t>
  </si>
  <si>
    <t>Hỗ trợ đào tạo huấn luyện và kiểm soát</t>
  </si>
  <si>
    <r>
      <t xml:space="preserve">Mục đích: Xây dựng  </t>
    </r>
    <r>
      <rPr>
        <sz val="10"/>
        <color theme="8"/>
        <rFont val="Arial"/>
        <family val="2"/>
      </rPr>
      <t>Đồng hành gắn kết lâu dài, tạo điều kiện kiểm soát việc mua bán của đối tác</t>
    </r>
  </si>
  <si>
    <r>
      <t xml:space="preserve">Mục đích: </t>
    </r>
    <r>
      <rPr>
        <sz val="10"/>
        <color theme="8"/>
        <rFont val="Arial"/>
        <family val="2"/>
      </rPr>
      <t>Đảm bảo đủ hóa đơn đầu vào cho công ty, với dữ liệu xác thực</t>
    </r>
  </si>
  <si>
    <t>Tính trên 60%  tổng sản lượng trong tháng do chỉ hỗ trợ hàng B0 ép kiện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</si>
</sst>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name val="Arial"/>
      <family val="2"/>
    </font>
    <font>
      <sz val="10"/>
      <name val="Arial"/>
      <family val="2"/>
    </font>
    <font>
      <sz val="20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rgb="FFC00000"/>
      <name val="Arial"/>
      <family val="2"/>
    </font>
    <font>
      <b/>
      <sz val="11"/>
      <color rgb="FFC00000"/>
      <name val="Calibri"/>
      <family val="2"/>
      <scheme val="minor"/>
    </font>
    <font>
      <sz val="10"/>
      <color rgb="FFC00000"/>
      <name val="Arial"/>
      <family val="2"/>
    </font>
    <font>
      <sz val="11"/>
      <color rgb="FFC00000"/>
      <name val="Calibri"/>
      <family val="2"/>
      <scheme val="minor"/>
    </font>
    <font>
      <b/>
      <sz val="10"/>
      <color theme="8"/>
      <name val="Arial"/>
      <family val="2"/>
    </font>
    <font>
      <i/>
      <sz val="10"/>
      <color theme="0" tint="-0.499984740745262"/>
      <name val="Arial"/>
      <family val="2"/>
    </font>
    <font>
      <i/>
      <sz val="11"/>
      <color theme="0" tint="-0.499984740745262"/>
      <name val="Calibri"/>
      <family val="2"/>
      <scheme val="minor"/>
    </font>
    <font>
      <sz val="10"/>
      <color theme="8"/>
      <name val="Arial"/>
      <family val="2"/>
    </font>
    <font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3" fontId="8" fillId="2" borderId="1" xfId="0" applyNumberFormat="1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3" fontId="8" fillId="0" borderId="0" xfId="0" applyNumberFormat="1" applyFont="1" applyAlignment="1">
      <alignment vertical="center"/>
    </xf>
    <xf numFmtId="3" fontId="9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3" fontId="8" fillId="0" borderId="4" xfId="0" applyNumberFormat="1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9" fontId="8" fillId="0" borderId="1" xfId="1" applyFont="1" applyFill="1" applyBorder="1" applyAlignment="1">
      <alignment vertical="center"/>
    </xf>
    <xf numFmtId="3" fontId="9" fillId="3" borderId="1" xfId="0" applyNumberFormat="1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 wrapText="1"/>
    </xf>
    <xf numFmtId="3" fontId="11" fillId="0" borderId="5" xfId="0" applyNumberFormat="1" applyFont="1" applyBorder="1" applyAlignment="1">
      <alignment horizontal="center" vertical="center"/>
    </xf>
    <xf numFmtId="3" fontId="11" fillId="5" borderId="5" xfId="0" applyNumberFormat="1" applyFont="1" applyFill="1" applyBorder="1" applyAlignment="1">
      <alignment vertical="center"/>
    </xf>
    <xf numFmtId="3" fontId="11" fillId="0" borderId="5" xfId="0" applyNumberFormat="1" applyFont="1" applyBorder="1" applyAlignment="1">
      <alignment vertical="center"/>
    </xf>
    <xf numFmtId="0" fontId="12" fillId="0" borderId="0" xfId="0" applyFont="1"/>
    <xf numFmtId="49" fontId="13" fillId="0" borderId="5" xfId="0" applyNumberFormat="1" applyFont="1" applyBorder="1" applyAlignment="1">
      <alignment horizontal="center" vertical="center"/>
    </xf>
    <xf numFmtId="3" fontId="13" fillId="0" borderId="5" xfId="0" applyNumberFormat="1" applyFont="1" applyBorder="1" applyAlignment="1">
      <alignment horizontal="left" vertical="center" wrapText="1"/>
    </xf>
    <xf numFmtId="3" fontId="13" fillId="0" borderId="5" xfId="0" applyNumberFormat="1" applyFont="1" applyBorder="1" applyAlignment="1">
      <alignment horizontal="center" vertical="center"/>
    </xf>
    <xf numFmtId="3" fontId="13" fillId="5" borderId="5" xfId="0" applyNumberFormat="1" applyFont="1" applyFill="1" applyBorder="1" applyAlignment="1">
      <alignment vertical="center"/>
    </xf>
    <xf numFmtId="3" fontId="13" fillId="0" borderId="5" xfId="0" applyNumberFormat="1" applyFont="1" applyBorder="1" applyAlignment="1">
      <alignment vertical="center"/>
    </xf>
    <xf numFmtId="0" fontId="14" fillId="0" borderId="0" xfId="0" applyFont="1"/>
    <xf numFmtId="49" fontId="15" fillId="0" borderId="5" xfId="0" applyNumberFormat="1" applyFont="1" applyBorder="1" applyAlignment="1">
      <alignment horizontal="center" vertical="center"/>
    </xf>
    <xf numFmtId="3" fontId="15" fillId="0" borderId="5" xfId="0" applyNumberFormat="1" applyFont="1" applyBorder="1" applyAlignment="1">
      <alignment horizontal="left" vertical="center"/>
    </xf>
    <xf numFmtId="3" fontId="15" fillId="0" borderId="5" xfId="0" applyNumberFormat="1" applyFont="1" applyBorder="1" applyAlignment="1">
      <alignment horizontal="center" vertical="center"/>
    </xf>
    <xf numFmtId="3" fontId="15" fillId="5" borderId="5" xfId="0" applyNumberFormat="1" applyFont="1" applyFill="1" applyBorder="1" applyAlignment="1">
      <alignment vertical="center"/>
    </xf>
    <xf numFmtId="3" fontId="15" fillId="0" borderId="5" xfId="0" applyNumberFormat="1" applyFont="1" applyBorder="1" applyAlignment="1">
      <alignment vertical="center"/>
    </xf>
    <xf numFmtId="0" fontId="2" fillId="0" borderId="0" xfId="0" applyFont="1"/>
    <xf numFmtId="3" fontId="9" fillId="0" borderId="5" xfId="0" applyNumberFormat="1" applyFont="1" applyBorder="1" applyAlignment="1">
      <alignment horizontal="left" vertical="center"/>
    </xf>
    <xf numFmtId="3" fontId="5" fillId="0" borderId="5" xfId="0" applyNumberFormat="1" applyFont="1" applyBorder="1" applyAlignment="1">
      <alignment horizontal="center" vertical="center"/>
    </xf>
    <xf numFmtId="3" fontId="9" fillId="5" borderId="5" xfId="0" applyNumberFormat="1" applyFont="1" applyFill="1" applyBorder="1" applyAlignment="1">
      <alignment vertical="center"/>
    </xf>
    <xf numFmtId="3" fontId="9" fillId="0" borderId="5" xfId="0" applyNumberFormat="1" applyFont="1" applyBorder="1" applyAlignment="1">
      <alignment vertical="center"/>
    </xf>
    <xf numFmtId="49" fontId="5" fillId="0" borderId="5" xfId="0" applyNumberFormat="1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left" vertical="center"/>
    </xf>
    <xf numFmtId="3" fontId="5" fillId="5" borderId="5" xfId="0" applyNumberFormat="1" applyFont="1" applyFill="1" applyBorder="1" applyAlignment="1">
      <alignment vertical="center"/>
    </xf>
    <xf numFmtId="3" fontId="5" fillId="0" borderId="5" xfId="0" applyNumberFormat="1" applyFont="1" applyBorder="1" applyAlignment="1">
      <alignment vertical="center"/>
    </xf>
    <xf numFmtId="49" fontId="9" fillId="0" borderId="5" xfId="0" applyNumberFormat="1" applyFont="1" applyBorder="1" applyAlignment="1">
      <alignment horizontal="center" vertical="center"/>
    </xf>
    <xf numFmtId="3" fontId="9" fillId="0" borderId="5" xfId="0" applyNumberFormat="1" applyFont="1" applyBorder="1" applyAlignment="1">
      <alignment horizontal="center" vertical="center"/>
    </xf>
    <xf numFmtId="49" fontId="16" fillId="0" borderId="5" xfId="0" applyNumberFormat="1" applyFont="1" applyBorder="1" applyAlignment="1">
      <alignment horizontal="center" vertical="center"/>
    </xf>
    <xf numFmtId="3" fontId="16" fillId="0" borderId="5" xfId="0" applyNumberFormat="1" applyFont="1" applyBorder="1" applyAlignment="1">
      <alignment horizontal="left" vertical="center" indent="2"/>
    </xf>
    <xf numFmtId="3" fontId="16" fillId="0" borderId="5" xfId="0" applyNumberFormat="1" applyFont="1" applyBorder="1" applyAlignment="1">
      <alignment horizontal="center" vertical="center"/>
    </xf>
    <xf numFmtId="3" fontId="16" fillId="5" borderId="5" xfId="0" applyNumberFormat="1" applyFont="1" applyFill="1" applyBorder="1" applyAlignment="1">
      <alignment vertical="center"/>
    </xf>
    <xf numFmtId="3" fontId="16" fillId="0" borderId="5" xfId="0" applyNumberFormat="1" applyFont="1" applyBorder="1" applyAlignment="1">
      <alignment vertical="center"/>
    </xf>
    <xf numFmtId="0" fontId="17" fillId="0" borderId="0" xfId="0" applyFont="1"/>
    <xf numFmtId="3" fontId="5" fillId="0" borderId="6" xfId="0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vertical="center"/>
    </xf>
    <xf numFmtId="0" fontId="5" fillId="0" borderId="0" xfId="0" applyFont="1" applyAlignment="1">
      <alignment vertical="center" wrapText="1"/>
    </xf>
    <xf numFmtId="3" fontId="5" fillId="0" borderId="0" xfId="0" applyNumberFormat="1" applyFont="1" applyAlignment="1">
      <alignment vertical="center"/>
    </xf>
    <xf numFmtId="3" fontId="16" fillId="0" borderId="6" xfId="0" applyNumberFormat="1" applyFont="1" applyBorder="1" applyAlignment="1">
      <alignment vertical="center"/>
    </xf>
    <xf numFmtId="3" fontId="11" fillId="0" borderId="6" xfId="0" applyNumberFormat="1" applyFont="1" applyBorder="1" applyAlignment="1">
      <alignment vertical="center"/>
    </xf>
    <xf numFmtId="3" fontId="5" fillId="0" borderId="5" xfId="0" applyNumberFormat="1" applyFont="1" applyBorder="1" applyAlignment="1">
      <alignment horizontal="right" vertical="center"/>
    </xf>
    <xf numFmtId="3" fontId="8" fillId="0" borderId="5" xfId="0" applyNumberFormat="1" applyFont="1" applyBorder="1" applyAlignment="1">
      <alignment vertical="center"/>
    </xf>
    <xf numFmtId="3" fontId="8" fillId="5" borderId="5" xfId="0" applyNumberFormat="1" applyFont="1" applyFill="1" applyBorder="1" applyAlignment="1">
      <alignment vertical="center"/>
    </xf>
    <xf numFmtId="3" fontId="8" fillId="0" borderId="5" xfId="0" applyNumberFormat="1" applyFont="1" applyBorder="1" applyAlignment="1">
      <alignment horizontal="center" vertical="center"/>
    </xf>
    <xf numFmtId="3" fontId="8" fillId="0" borderId="5" xfId="0" applyNumberFormat="1" applyFont="1" applyBorder="1" applyAlignment="1">
      <alignment horizontal="left" vertical="center"/>
    </xf>
    <xf numFmtId="49" fontId="8" fillId="0" borderId="5" xfId="0" applyNumberFormat="1" applyFont="1" applyBorder="1" applyAlignment="1">
      <alignment horizontal="center" vertical="center"/>
    </xf>
    <xf numFmtId="9" fontId="5" fillId="5" borderId="5" xfId="1" applyFont="1" applyFill="1" applyBorder="1" applyAlignment="1">
      <alignment vertical="center"/>
    </xf>
    <xf numFmtId="3" fontId="5" fillId="0" borderId="5" xfId="0" applyNumberFormat="1" applyFont="1" applyBorder="1" applyAlignment="1">
      <alignment vertical="center" wrapText="1"/>
    </xf>
    <xf numFmtId="3" fontId="16" fillId="0" borderId="5" xfId="0" applyNumberFormat="1" applyFont="1" applyBorder="1" applyAlignment="1">
      <alignment vertical="center" wrapText="1"/>
    </xf>
    <xf numFmtId="3" fontId="15" fillId="0" borderId="5" xfId="0" applyNumberFormat="1" applyFont="1" applyBorder="1" applyAlignment="1">
      <alignment vertical="center" wrapText="1"/>
    </xf>
    <xf numFmtId="164" fontId="5" fillId="0" borderId="0" xfId="2" applyNumberFormat="1" applyFont="1" applyAlignment="1">
      <alignment vertical="center"/>
    </xf>
    <xf numFmtId="3" fontId="19" fillId="6" borderId="1" xfId="0" applyNumberFormat="1" applyFont="1" applyFill="1" applyBorder="1" applyAlignment="1">
      <alignment vertical="center"/>
    </xf>
    <xf numFmtId="49" fontId="11" fillId="6" borderId="5" xfId="0" applyNumberFormat="1" applyFont="1" applyFill="1" applyBorder="1" applyAlignment="1">
      <alignment horizontal="center" vertical="center"/>
    </xf>
    <xf numFmtId="3" fontId="11" fillId="6" borderId="5" xfId="0" applyNumberFormat="1" applyFont="1" applyFill="1" applyBorder="1" applyAlignment="1">
      <alignment horizontal="left" vertical="center"/>
    </xf>
    <xf numFmtId="49" fontId="15" fillId="7" borderId="5" xfId="0" applyNumberFormat="1" applyFont="1" applyFill="1" applyBorder="1" applyAlignment="1">
      <alignment horizontal="center" vertical="center"/>
    </xf>
    <xf numFmtId="3" fontId="15" fillId="7" borderId="5" xfId="0" applyNumberFormat="1" applyFont="1" applyFill="1" applyBorder="1" applyAlignment="1">
      <alignment horizontal="left" vertical="center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dtg-my.sharepoint.com/personal/luuhongnhung_duytanrecycling_com/Documents/01.%20HE%20THONG%20THU%20MUA/00.%20DA%20SUPPLY%20CHAIN/05.%20Tru%20cot%202%20-%20He%20thong/5.1.%20He%20thong%20thu%20mua/1.%20Ch&#237;nh%20s&#225;ch/1.%20Ch&#237;nh%20s&#225;ch%20T&#7893;ng/Version%207/0.%20MA%20TR&#7852;N%20CH&#205;NH%20S&#193;CH%20NC&#431;%20V7%20-%202025.12.09.xlsx" TargetMode="External"/><Relationship Id="rId2" Type="http://schemas.microsoft.com/office/2019/04/relationships/externalLinkLongPath" Target="https://dtg-my.sharepoint.com/personal/luuhongnhung_duytanrecycling_com/Documents/01.%20HE%20THONG%20THU%20MUA/00.%20DA%20SUPPLY%20CHAIN/05.%20Tru%20cot%202%20-%20He%20thong/5.1.%20He%20thong%20thu%20mua/1.%20Ch&#237;nh%20s&#225;ch/1.%20Ch&#237;nh%20s&#225;ch%20T&#7893;ng/Version%207/0.%20MA%20TR&#7852;N%20CH&#205;NH%20S&#193;CH%20NC&#431;%20V7%20-%202025.12.09.xlsx?A19D9B19" TargetMode="External"/><Relationship Id="rId1" Type="http://schemas.openxmlformats.org/officeDocument/2006/relationships/externalLinkPath" Target="file:///\\A19D9B19\0.%20MA%20TR&#7852;N%20CH&#205;NH%20S&#193;CH%20NC&#431;%20V7%20-%202025.12.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Danh mục"/>
      <sheetName val="Thực trạng 2025"/>
      <sheetName val="CS Tổng"/>
      <sheetName val="CS Thuế"/>
      <sheetName val="Ngân sách CS thuế"/>
      <sheetName val="ĐM Vận chuyển V2"/>
      <sheetName val="Người kí duyệt"/>
      <sheetName val="ĐM Vận chuyển V1"/>
    </sheetNames>
    <sheetDataSet>
      <sheetData sheetId="0" refreshError="1"/>
      <sheetData sheetId="1" refreshError="1"/>
      <sheetData sheetId="2" refreshError="1">
        <row r="17">
          <cell r="F17">
            <v>150</v>
          </cell>
        </row>
        <row r="19">
          <cell r="F19">
            <v>50</v>
          </cell>
        </row>
        <row r="21">
          <cell r="F21">
            <v>50</v>
          </cell>
        </row>
        <row r="26">
          <cell r="F26">
            <v>5000000</v>
          </cell>
        </row>
      </sheetData>
      <sheetData sheetId="3" refreshError="1">
        <row r="24">
          <cell r="E24">
            <v>15000000</v>
          </cell>
        </row>
        <row r="27">
          <cell r="E27">
            <v>2500000</v>
          </cell>
          <cell r="F27">
            <v>2500000</v>
          </cell>
        </row>
        <row r="30">
          <cell r="E30">
            <v>3835000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DF3FC-D24B-486C-AE13-C252AADF8296}">
  <sheetPr>
    <tabColor theme="7" tint="0.79998168889431442"/>
    <pageSetUpPr fitToPage="1"/>
  </sheetPr>
  <dimension ref="A1:R49"/>
  <sheetViews>
    <sheetView tabSelected="1" zoomScale="70" zoomScaleNormal="70" workbookViewId="0">
      <selection activeCell="B5" sqref="B5"/>
    </sheetView>
  </sheetViews>
  <sheetFormatPr defaultRowHeight="14.5" x14ac:dyDescent="0.35"/>
  <cols>
    <col min="1" max="1" width="4.453125" style="7" customWidth="1"/>
    <col min="2" max="2" width="48.453125" style="7" bestFit="1" customWidth="1"/>
    <col min="3" max="3" width="10.90625" style="7" bestFit="1" customWidth="1"/>
    <col min="4" max="4" width="10.6328125" style="4" customWidth="1"/>
    <col min="5" max="14" width="12.90625" style="4" customWidth="1"/>
    <col min="15" max="16" width="13.54296875" style="4" bestFit="1" customWidth="1"/>
    <col min="17" max="17" width="15.453125" style="4" customWidth="1"/>
    <col min="18" max="18" width="33.08984375" style="4" customWidth="1"/>
    <col min="19" max="20" width="11.453125" customWidth="1"/>
    <col min="21" max="26" width="13" customWidth="1"/>
    <col min="27" max="27" width="14.08984375" customWidth="1"/>
    <col min="28" max="28" width="32.453125" customWidth="1"/>
    <col min="31" max="31" width="43.90625" customWidth="1"/>
    <col min="32" max="32" width="19.54296875" customWidth="1"/>
    <col min="33" max="33" width="18.36328125" customWidth="1"/>
  </cols>
  <sheetData>
    <row r="1" spans="1:18" ht="25" x14ac:dyDescent="0.35">
      <c r="A1" s="1" t="s">
        <v>45</v>
      </c>
      <c r="B1" s="2"/>
      <c r="C1" s="3"/>
      <c r="E1" s="3"/>
      <c r="F1" s="5"/>
      <c r="G1" s="5"/>
      <c r="H1" s="5"/>
      <c r="J1" s="5"/>
      <c r="K1" s="5"/>
      <c r="L1" s="5"/>
      <c r="M1" s="5"/>
      <c r="N1" s="1"/>
      <c r="O1" s="5"/>
      <c r="P1" s="5"/>
      <c r="Q1" s="5"/>
      <c r="R1" s="5"/>
    </row>
    <row r="2" spans="1:18" ht="15" customHeight="1" x14ac:dyDescent="0.35">
      <c r="A2" s="1"/>
      <c r="B2" s="2"/>
      <c r="C2" s="3"/>
      <c r="E2" s="3"/>
      <c r="F2" s="5"/>
      <c r="G2" s="5"/>
      <c r="H2" s="5"/>
      <c r="J2" s="5"/>
      <c r="K2" s="5"/>
      <c r="L2" s="5"/>
      <c r="M2" s="5"/>
      <c r="N2" s="1"/>
      <c r="O2" s="5"/>
      <c r="P2" s="5"/>
      <c r="Q2" s="5"/>
      <c r="R2" s="5"/>
    </row>
    <row r="3" spans="1:18" ht="24.65" customHeight="1" x14ac:dyDescent="0.35">
      <c r="A3" s="6" t="s">
        <v>0</v>
      </c>
      <c r="F3" s="5"/>
      <c r="G3" s="5"/>
      <c r="H3" s="5"/>
      <c r="J3" s="5"/>
    </row>
    <row r="4" spans="1:18" ht="20.399999999999999" customHeight="1" x14ac:dyDescent="0.35">
      <c r="A4" s="8">
        <v>1</v>
      </c>
      <c r="B4" s="9" t="s">
        <v>1</v>
      </c>
      <c r="C4" s="8" t="s">
        <v>2</v>
      </c>
      <c r="D4" s="10">
        <v>10000</v>
      </c>
      <c r="F4" s="5"/>
      <c r="G4" s="5"/>
      <c r="H4" s="5"/>
      <c r="J4" s="5"/>
    </row>
    <row r="5" spans="1:18" ht="20.399999999999999" customHeight="1" x14ac:dyDescent="0.35">
      <c r="A5" s="8">
        <v>2</v>
      </c>
      <c r="B5" s="9" t="s">
        <v>3</v>
      </c>
      <c r="C5" s="8" t="s">
        <v>49</v>
      </c>
      <c r="D5" s="10">
        <v>35000</v>
      </c>
      <c r="F5" s="5"/>
      <c r="G5" s="5"/>
      <c r="H5" s="5"/>
      <c r="J5" s="5"/>
    </row>
    <row r="6" spans="1:18" ht="20.399999999999999" customHeight="1" x14ac:dyDescent="0.35">
      <c r="A6" s="8">
        <v>3</v>
      </c>
      <c r="B6" s="9" t="s">
        <v>48</v>
      </c>
      <c r="C6" s="8" t="s">
        <v>50</v>
      </c>
      <c r="D6" s="10">
        <f>D5/12</f>
        <v>2916.6666666666665</v>
      </c>
      <c r="F6" s="5"/>
      <c r="G6" s="5"/>
      <c r="H6" s="5"/>
      <c r="J6" s="5"/>
    </row>
    <row r="7" spans="1:18" ht="20.399999999999999" customHeight="1" x14ac:dyDescent="0.35">
      <c r="A7" s="8">
        <v>4</v>
      </c>
      <c r="B7" s="9" t="s">
        <v>5</v>
      </c>
      <c r="C7" s="8" t="s">
        <v>6</v>
      </c>
      <c r="D7" s="75">
        <v>700</v>
      </c>
      <c r="F7" s="5"/>
      <c r="G7" s="5"/>
      <c r="H7" s="5"/>
      <c r="J7" s="5"/>
    </row>
    <row r="8" spans="1:18" ht="20.399999999999999" customHeight="1" x14ac:dyDescent="0.35">
      <c r="A8" s="11"/>
      <c r="B8" s="12"/>
      <c r="C8" s="11"/>
      <c r="D8" s="13"/>
      <c r="F8" s="5"/>
      <c r="G8" s="5"/>
      <c r="H8" s="5"/>
      <c r="J8" s="5"/>
    </row>
    <row r="9" spans="1:18" ht="20.399999999999999" customHeight="1" x14ac:dyDescent="0.35">
      <c r="A9" s="14" t="s">
        <v>7</v>
      </c>
      <c r="B9" s="14" t="s">
        <v>8</v>
      </c>
      <c r="C9" s="14" t="s">
        <v>9</v>
      </c>
      <c r="D9" s="14" t="s">
        <v>10</v>
      </c>
      <c r="F9" s="5"/>
      <c r="G9" s="5"/>
      <c r="H9" s="5"/>
      <c r="J9" s="5"/>
    </row>
    <row r="10" spans="1:18" ht="20.399999999999999" customHeight="1" x14ac:dyDescent="0.35">
      <c r="A10" s="15">
        <v>1</v>
      </c>
      <c r="B10" s="16" t="s">
        <v>11</v>
      </c>
      <c r="C10" s="17"/>
      <c r="D10" s="18"/>
      <c r="F10" s="5"/>
      <c r="G10" s="5"/>
      <c r="H10" s="5"/>
      <c r="J10" s="5"/>
    </row>
    <row r="11" spans="1:18" ht="20.399999999999999" customHeight="1" x14ac:dyDescent="0.35">
      <c r="A11" s="19">
        <v>1.1000000000000001</v>
      </c>
      <c r="B11" s="20" t="s">
        <v>12</v>
      </c>
      <c r="C11" s="19" t="s">
        <v>13</v>
      </c>
      <c r="D11" s="75">
        <f>SUM(Q28)/Q21/1000</f>
        <v>612.5</v>
      </c>
      <c r="F11" s="5"/>
      <c r="G11" s="5"/>
      <c r="H11" s="5"/>
      <c r="J11" s="5"/>
    </row>
    <row r="12" spans="1:18" ht="20.399999999999999" customHeight="1" x14ac:dyDescent="0.35">
      <c r="A12" s="15">
        <v>2</v>
      </c>
      <c r="B12" s="16" t="s">
        <v>14</v>
      </c>
      <c r="C12" s="17"/>
      <c r="D12" s="18"/>
      <c r="F12" s="5"/>
      <c r="G12" s="5"/>
      <c r="H12" s="5"/>
      <c r="J12" s="5"/>
    </row>
    <row r="13" spans="1:18" ht="20.399999999999999" customHeight="1" x14ac:dyDescent="0.35">
      <c r="A13" s="19">
        <v>2.1</v>
      </c>
      <c r="B13" s="21" t="s">
        <v>15</v>
      </c>
      <c r="C13" s="19" t="s">
        <v>16</v>
      </c>
      <c r="D13" s="22">
        <f>Q21/Q20</f>
        <v>0.26057142857142851</v>
      </c>
      <c r="F13" s="5"/>
      <c r="G13" s="5"/>
      <c r="H13" s="5"/>
      <c r="J13" s="5"/>
    </row>
    <row r="14" spans="1:18" ht="20.399999999999999" customHeight="1" x14ac:dyDescent="0.35">
      <c r="A14" s="19">
        <v>2.2000000000000002</v>
      </c>
      <c r="B14" s="21" t="s">
        <v>17</v>
      </c>
      <c r="C14" s="19" t="s">
        <v>16</v>
      </c>
      <c r="D14" s="22">
        <f>Q17/D7</f>
        <v>1.5714285714285715E-2</v>
      </c>
      <c r="F14" s="5"/>
      <c r="G14" s="5"/>
      <c r="H14" s="5"/>
      <c r="J14" s="5"/>
    </row>
    <row r="15" spans="1:18" ht="20.399999999999999" customHeight="1" x14ac:dyDescent="0.35">
      <c r="A15" s="11"/>
      <c r="B15" s="12"/>
      <c r="C15" s="11"/>
      <c r="D15" s="13"/>
      <c r="F15" s="5"/>
      <c r="G15" s="5"/>
      <c r="H15" s="5"/>
      <c r="J15" s="5"/>
    </row>
    <row r="16" spans="1:18" ht="30.65" customHeight="1" x14ac:dyDescent="0.35">
      <c r="A16" s="14" t="s">
        <v>7</v>
      </c>
      <c r="B16" s="14" t="s">
        <v>8</v>
      </c>
      <c r="C16" s="14" t="s">
        <v>9</v>
      </c>
      <c r="D16" s="14" t="s">
        <v>18</v>
      </c>
      <c r="E16" s="23" t="s">
        <v>19</v>
      </c>
      <c r="F16" s="23" t="s">
        <v>20</v>
      </c>
      <c r="G16" s="23" t="s">
        <v>21</v>
      </c>
      <c r="H16" s="23" t="s">
        <v>22</v>
      </c>
      <c r="I16" s="23" t="s">
        <v>23</v>
      </c>
      <c r="J16" s="23" t="s">
        <v>24</v>
      </c>
      <c r="K16" s="23" t="s">
        <v>25</v>
      </c>
      <c r="L16" s="23" t="s">
        <v>26</v>
      </c>
      <c r="M16" s="23" t="s">
        <v>27</v>
      </c>
      <c r="N16" s="23" t="s">
        <v>28</v>
      </c>
      <c r="O16" s="23" t="s">
        <v>29</v>
      </c>
      <c r="P16" s="23" t="s">
        <v>30</v>
      </c>
      <c r="Q16" s="24" t="s">
        <v>31</v>
      </c>
      <c r="R16" s="25" t="s">
        <v>32</v>
      </c>
    </row>
    <row r="17" spans="1:18" s="29" customFormat="1" ht="20.399999999999999" customHeight="1" x14ac:dyDescent="0.35">
      <c r="A17" s="76">
        <v>1</v>
      </c>
      <c r="B17" s="77" t="s">
        <v>51</v>
      </c>
      <c r="C17" s="26" t="s">
        <v>6</v>
      </c>
      <c r="D17" s="27"/>
      <c r="E17" s="28">
        <f>E18</f>
        <v>2</v>
      </c>
      <c r="F17" s="28">
        <f t="shared" ref="F17:P17" si="0">E17+F18</f>
        <v>5</v>
      </c>
      <c r="G17" s="28">
        <f t="shared" si="0"/>
        <v>8</v>
      </c>
      <c r="H17" s="28">
        <f t="shared" si="0"/>
        <v>11</v>
      </c>
      <c r="I17" s="28">
        <f t="shared" si="0"/>
        <v>11</v>
      </c>
      <c r="J17" s="28">
        <f t="shared" si="0"/>
        <v>11</v>
      </c>
      <c r="K17" s="28">
        <f t="shared" si="0"/>
        <v>11</v>
      </c>
      <c r="L17" s="28">
        <f t="shared" si="0"/>
        <v>11</v>
      </c>
      <c r="M17" s="28">
        <f t="shared" si="0"/>
        <v>11</v>
      </c>
      <c r="N17" s="28">
        <f t="shared" si="0"/>
        <v>11</v>
      </c>
      <c r="O17" s="28">
        <f t="shared" si="0"/>
        <v>11</v>
      </c>
      <c r="P17" s="28">
        <f t="shared" si="0"/>
        <v>11</v>
      </c>
      <c r="Q17" s="28">
        <f>P17</f>
        <v>11</v>
      </c>
      <c r="R17" s="28"/>
    </row>
    <row r="18" spans="1:18" s="35" customFormat="1" ht="33.9" customHeight="1" x14ac:dyDescent="0.35">
      <c r="A18" s="30"/>
      <c r="B18" s="31" t="s">
        <v>52</v>
      </c>
      <c r="C18" s="32"/>
      <c r="D18" s="33"/>
      <c r="E18" s="45">
        <v>2</v>
      </c>
      <c r="F18" s="45">
        <v>3</v>
      </c>
      <c r="G18" s="45">
        <v>3</v>
      </c>
      <c r="H18" s="45">
        <v>3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v>0</v>
      </c>
      <c r="Q18" s="45">
        <f>SUM(E18:P18)</f>
        <v>11</v>
      </c>
      <c r="R18" s="34"/>
    </row>
    <row r="19" spans="1:18" s="41" customFormat="1" ht="12.9" customHeight="1" x14ac:dyDescent="0.35">
      <c r="A19" s="36"/>
      <c r="B19" s="37"/>
      <c r="C19" s="38"/>
      <c r="D19" s="39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</row>
    <row r="20" spans="1:18" s="29" customFormat="1" ht="20.399999999999999" customHeight="1" x14ac:dyDescent="0.35">
      <c r="A20" s="76">
        <v>2</v>
      </c>
      <c r="B20" s="77" t="s">
        <v>33</v>
      </c>
      <c r="C20" s="26"/>
      <c r="D20" s="27"/>
      <c r="E20" s="28">
        <f>$D$5/12</f>
        <v>2916.6666666666665</v>
      </c>
      <c r="F20" s="28">
        <f t="shared" ref="F20:P20" si="1">$D$5/12</f>
        <v>2916.6666666666665</v>
      </c>
      <c r="G20" s="28">
        <f t="shared" si="1"/>
        <v>2916.6666666666665</v>
      </c>
      <c r="H20" s="28">
        <f t="shared" si="1"/>
        <v>2916.6666666666665</v>
      </c>
      <c r="I20" s="28">
        <f t="shared" si="1"/>
        <v>2916.6666666666665</v>
      </c>
      <c r="J20" s="28">
        <f t="shared" si="1"/>
        <v>2916.6666666666665</v>
      </c>
      <c r="K20" s="28">
        <f t="shared" si="1"/>
        <v>2916.6666666666665</v>
      </c>
      <c r="L20" s="28">
        <f t="shared" si="1"/>
        <v>2916.6666666666665</v>
      </c>
      <c r="M20" s="28">
        <f t="shared" si="1"/>
        <v>2916.6666666666665</v>
      </c>
      <c r="N20" s="28">
        <f t="shared" si="1"/>
        <v>2916.6666666666665</v>
      </c>
      <c r="O20" s="28">
        <f t="shared" si="1"/>
        <v>2916.6666666666665</v>
      </c>
      <c r="P20" s="28">
        <f t="shared" si="1"/>
        <v>2916.6666666666665</v>
      </c>
      <c r="Q20" s="28">
        <f>SUM(E20:P20)</f>
        <v>35000.000000000007</v>
      </c>
      <c r="R20" s="28"/>
    </row>
    <row r="21" spans="1:18" s="41" customFormat="1" ht="20.399999999999999" customHeight="1" x14ac:dyDescent="0.35">
      <c r="A21" s="50"/>
      <c r="B21" s="42" t="s">
        <v>34</v>
      </c>
      <c r="C21" s="51" t="s">
        <v>4</v>
      </c>
      <c r="D21" s="44">
        <v>80</v>
      </c>
      <c r="E21" s="45">
        <f t="shared" ref="E21:P21" si="2">$D$21*E17</f>
        <v>160</v>
      </c>
      <c r="F21" s="45">
        <f t="shared" si="2"/>
        <v>400</v>
      </c>
      <c r="G21" s="45">
        <f t="shared" si="2"/>
        <v>640</v>
      </c>
      <c r="H21" s="45">
        <f t="shared" si="2"/>
        <v>880</v>
      </c>
      <c r="I21" s="45">
        <f t="shared" si="2"/>
        <v>880</v>
      </c>
      <c r="J21" s="45">
        <f t="shared" si="2"/>
        <v>880</v>
      </c>
      <c r="K21" s="45">
        <f t="shared" si="2"/>
        <v>880</v>
      </c>
      <c r="L21" s="45">
        <f t="shared" si="2"/>
        <v>880</v>
      </c>
      <c r="M21" s="45">
        <f t="shared" si="2"/>
        <v>880</v>
      </c>
      <c r="N21" s="45">
        <f t="shared" si="2"/>
        <v>880</v>
      </c>
      <c r="O21" s="45">
        <f t="shared" si="2"/>
        <v>880</v>
      </c>
      <c r="P21" s="45">
        <f t="shared" si="2"/>
        <v>880</v>
      </c>
      <c r="Q21" s="45">
        <f>SUM(E21:P21)</f>
        <v>9120</v>
      </c>
      <c r="R21" s="45"/>
    </row>
    <row r="22" spans="1:18" s="41" customFormat="1" ht="20.399999999999999" customHeight="1" x14ac:dyDescent="0.35">
      <c r="A22" s="50"/>
      <c r="B22" s="42" t="s">
        <v>53</v>
      </c>
      <c r="C22" s="51" t="s">
        <v>4</v>
      </c>
      <c r="D22" s="44"/>
      <c r="E22" s="45">
        <f>$D$6-E21</f>
        <v>2756.6666666666665</v>
      </c>
      <c r="F22" s="45">
        <f t="shared" ref="F22:P22" si="3">$D$6-F21</f>
        <v>2516.6666666666665</v>
      </c>
      <c r="G22" s="45">
        <f t="shared" si="3"/>
        <v>2276.6666666666665</v>
      </c>
      <c r="H22" s="45">
        <f t="shared" si="3"/>
        <v>2036.6666666666665</v>
      </c>
      <c r="I22" s="45">
        <f t="shared" si="3"/>
        <v>2036.6666666666665</v>
      </c>
      <c r="J22" s="45">
        <f t="shared" si="3"/>
        <v>2036.6666666666665</v>
      </c>
      <c r="K22" s="45">
        <f t="shared" si="3"/>
        <v>2036.6666666666665</v>
      </c>
      <c r="L22" s="45">
        <f t="shared" si="3"/>
        <v>2036.6666666666665</v>
      </c>
      <c r="M22" s="45">
        <f t="shared" si="3"/>
        <v>2036.6666666666665</v>
      </c>
      <c r="N22" s="45">
        <f t="shared" si="3"/>
        <v>2036.6666666666665</v>
      </c>
      <c r="O22" s="45">
        <f t="shared" si="3"/>
        <v>2036.6666666666665</v>
      </c>
      <c r="P22" s="45">
        <f t="shared" si="3"/>
        <v>2036.6666666666665</v>
      </c>
      <c r="Q22" s="45">
        <f>SUM(E22:P22)</f>
        <v>25880.000000000004</v>
      </c>
      <c r="R22" s="45"/>
    </row>
    <row r="23" spans="1:18" ht="12.9" customHeight="1" x14ac:dyDescent="0.35">
      <c r="A23" s="46"/>
      <c r="B23" s="43"/>
      <c r="C23" s="43"/>
      <c r="D23" s="48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</row>
    <row r="24" spans="1:18" ht="12.9" customHeight="1" x14ac:dyDescent="0.35">
      <c r="A24" s="46"/>
      <c r="B24" s="43"/>
      <c r="C24" s="43"/>
      <c r="D24" s="48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</row>
    <row r="25" spans="1:18" ht="12.9" customHeight="1" x14ac:dyDescent="0.35">
      <c r="A25" s="46"/>
      <c r="B25" s="43"/>
      <c r="C25" s="43"/>
      <c r="D25" s="48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</row>
    <row r="26" spans="1:18" s="41" customFormat="1" ht="20.399999999999999" customHeight="1" x14ac:dyDescent="0.35">
      <c r="A26" s="76">
        <v>3</v>
      </c>
      <c r="B26" s="77" t="s">
        <v>57</v>
      </c>
      <c r="C26" s="26" t="s">
        <v>36</v>
      </c>
      <c r="D26" s="27"/>
      <c r="E26" s="28">
        <f>SUM(E28,E33,)</f>
        <v>175670000</v>
      </c>
      <c r="F26" s="28">
        <f t="shared" ref="F26:Q26" si="4">SUM(F28,F33)</f>
        <v>286675000</v>
      </c>
      <c r="G26" s="28">
        <f t="shared" si="4"/>
        <v>445180000</v>
      </c>
      <c r="H26" s="28">
        <f t="shared" si="4"/>
        <v>603685000</v>
      </c>
      <c r="I26" s="28">
        <f t="shared" si="4"/>
        <v>596185000</v>
      </c>
      <c r="J26" s="28">
        <f t="shared" si="4"/>
        <v>646185000</v>
      </c>
      <c r="K26" s="28">
        <f t="shared" si="4"/>
        <v>596185000</v>
      </c>
      <c r="L26" s="28">
        <f t="shared" si="4"/>
        <v>596185000</v>
      </c>
      <c r="M26" s="28">
        <f t="shared" si="4"/>
        <v>596185000</v>
      </c>
      <c r="N26" s="28">
        <f t="shared" si="4"/>
        <v>596185000</v>
      </c>
      <c r="O26" s="28">
        <f t="shared" si="4"/>
        <v>596185000</v>
      </c>
      <c r="P26" s="28">
        <f t="shared" si="4"/>
        <v>596185000</v>
      </c>
      <c r="Q26" s="28">
        <f t="shared" si="4"/>
        <v>6330690000</v>
      </c>
      <c r="R26" s="28"/>
    </row>
    <row r="27" spans="1:18" ht="12" customHeight="1" x14ac:dyDescent="0.35">
      <c r="A27" s="69"/>
      <c r="B27" s="68"/>
      <c r="C27" s="67"/>
      <c r="D27" s="66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56"/>
      <c r="R27" s="65"/>
    </row>
    <row r="28" spans="1:18" s="41" customFormat="1" ht="38" x14ac:dyDescent="0.35">
      <c r="A28" s="78" t="s">
        <v>41</v>
      </c>
      <c r="B28" s="79" t="s">
        <v>55</v>
      </c>
      <c r="C28" s="38" t="s">
        <v>36</v>
      </c>
      <c r="D28" s="39"/>
      <c r="E28" s="40">
        <f t="shared" ref="E28:P28" si="5">SUM(E29:E31)</f>
        <v>98000000</v>
      </c>
      <c r="F28" s="40">
        <f t="shared" si="5"/>
        <v>245000000</v>
      </c>
      <c r="G28" s="40">
        <f t="shared" si="5"/>
        <v>392000000</v>
      </c>
      <c r="H28" s="40">
        <f t="shared" si="5"/>
        <v>539000000</v>
      </c>
      <c r="I28" s="40">
        <f t="shared" si="5"/>
        <v>539000000</v>
      </c>
      <c r="J28" s="40">
        <f t="shared" si="5"/>
        <v>539000000</v>
      </c>
      <c r="K28" s="40">
        <f t="shared" si="5"/>
        <v>539000000</v>
      </c>
      <c r="L28" s="40">
        <f t="shared" si="5"/>
        <v>539000000</v>
      </c>
      <c r="M28" s="40">
        <f t="shared" si="5"/>
        <v>539000000</v>
      </c>
      <c r="N28" s="40">
        <f t="shared" si="5"/>
        <v>539000000</v>
      </c>
      <c r="O28" s="40">
        <f t="shared" si="5"/>
        <v>539000000</v>
      </c>
      <c r="P28" s="40">
        <f t="shared" si="5"/>
        <v>539000000</v>
      </c>
      <c r="Q28" s="40">
        <f>SUM(E28:P28)</f>
        <v>5586000000</v>
      </c>
      <c r="R28" s="73" t="s">
        <v>61</v>
      </c>
    </row>
    <row r="29" spans="1:18" s="57" customFormat="1" ht="20.399999999999999" customHeight="1" x14ac:dyDescent="0.35">
      <c r="A29" s="52"/>
      <c r="B29" s="47" t="s">
        <v>43</v>
      </c>
      <c r="C29" s="43" t="s">
        <v>36</v>
      </c>
      <c r="D29" s="48">
        <f>SUM('[1]CS Tổng'!$F$17,'[1]CS Tổng'!$F$19:$F$19,'[1]CS Tổng'!$F$21:$F$21)*1000</f>
        <v>250000</v>
      </c>
      <c r="E29" s="49">
        <f t="shared" ref="E29:P29" si="6">$D$29*E21</f>
        <v>40000000</v>
      </c>
      <c r="F29" s="49">
        <f t="shared" si="6"/>
        <v>100000000</v>
      </c>
      <c r="G29" s="49">
        <f t="shared" si="6"/>
        <v>160000000</v>
      </c>
      <c r="H29" s="49">
        <f t="shared" si="6"/>
        <v>220000000</v>
      </c>
      <c r="I29" s="49">
        <f t="shared" si="6"/>
        <v>220000000</v>
      </c>
      <c r="J29" s="49">
        <f t="shared" si="6"/>
        <v>220000000</v>
      </c>
      <c r="K29" s="49">
        <f t="shared" si="6"/>
        <v>220000000</v>
      </c>
      <c r="L29" s="49">
        <f t="shared" si="6"/>
        <v>220000000</v>
      </c>
      <c r="M29" s="49">
        <f t="shared" si="6"/>
        <v>220000000</v>
      </c>
      <c r="N29" s="49">
        <f t="shared" si="6"/>
        <v>220000000</v>
      </c>
      <c r="O29" s="49">
        <f t="shared" si="6"/>
        <v>220000000</v>
      </c>
      <c r="P29" s="49">
        <f t="shared" si="6"/>
        <v>220000000</v>
      </c>
      <c r="Q29" s="49">
        <f>SUM(E29:P29)</f>
        <v>2280000000</v>
      </c>
      <c r="R29" s="49"/>
    </row>
    <row r="30" spans="1:18" s="57" customFormat="1" ht="20.399999999999999" customHeight="1" x14ac:dyDescent="0.35">
      <c r="A30" s="52"/>
      <c r="B30" s="47" t="s">
        <v>42</v>
      </c>
      <c r="C30" s="43" t="s">
        <v>36</v>
      </c>
      <c r="D30" s="48">
        <v>300000</v>
      </c>
      <c r="E30" s="49">
        <f t="shared" ref="E30:P30" si="7">$D$30*E21</f>
        <v>48000000</v>
      </c>
      <c r="F30" s="49">
        <f t="shared" si="7"/>
        <v>120000000</v>
      </c>
      <c r="G30" s="49">
        <f t="shared" si="7"/>
        <v>192000000</v>
      </c>
      <c r="H30" s="49">
        <f t="shared" si="7"/>
        <v>264000000</v>
      </c>
      <c r="I30" s="49">
        <f t="shared" si="7"/>
        <v>264000000</v>
      </c>
      <c r="J30" s="49">
        <f t="shared" si="7"/>
        <v>264000000</v>
      </c>
      <c r="K30" s="49">
        <f t="shared" si="7"/>
        <v>264000000</v>
      </c>
      <c r="L30" s="49">
        <f t="shared" si="7"/>
        <v>264000000</v>
      </c>
      <c r="M30" s="49">
        <f t="shared" si="7"/>
        <v>264000000</v>
      </c>
      <c r="N30" s="49">
        <f t="shared" si="7"/>
        <v>264000000</v>
      </c>
      <c r="O30" s="49">
        <f t="shared" si="7"/>
        <v>264000000</v>
      </c>
      <c r="P30" s="49">
        <f t="shared" si="7"/>
        <v>264000000</v>
      </c>
      <c r="Q30" s="49">
        <f>SUM(E30:P30)</f>
        <v>2736000000</v>
      </c>
      <c r="R30" s="49"/>
    </row>
    <row r="31" spans="1:18" s="57" customFormat="1" ht="20.399999999999999" customHeight="1" x14ac:dyDescent="0.35">
      <c r="A31" s="52"/>
      <c r="B31" s="47" t="s">
        <v>44</v>
      </c>
      <c r="C31" s="43" t="s">
        <v>36</v>
      </c>
      <c r="D31" s="48">
        <f>'[1]CS Tổng'!$F$26</f>
        <v>5000000</v>
      </c>
      <c r="E31" s="64">
        <f t="shared" ref="E31:P31" si="8">$D$31*E17</f>
        <v>10000000</v>
      </c>
      <c r="F31" s="64">
        <f t="shared" si="8"/>
        <v>25000000</v>
      </c>
      <c r="G31" s="64">
        <f t="shared" si="8"/>
        <v>40000000</v>
      </c>
      <c r="H31" s="64">
        <f t="shared" si="8"/>
        <v>55000000</v>
      </c>
      <c r="I31" s="64">
        <f t="shared" si="8"/>
        <v>55000000</v>
      </c>
      <c r="J31" s="64">
        <f t="shared" si="8"/>
        <v>55000000</v>
      </c>
      <c r="K31" s="64">
        <f t="shared" si="8"/>
        <v>55000000</v>
      </c>
      <c r="L31" s="64">
        <f t="shared" si="8"/>
        <v>55000000</v>
      </c>
      <c r="M31" s="64">
        <f t="shared" si="8"/>
        <v>55000000</v>
      </c>
      <c r="N31" s="64">
        <f t="shared" si="8"/>
        <v>55000000</v>
      </c>
      <c r="O31" s="64">
        <f t="shared" si="8"/>
        <v>55000000</v>
      </c>
      <c r="P31" s="64">
        <f t="shared" si="8"/>
        <v>55000000</v>
      </c>
      <c r="Q31" s="49">
        <f>SUM(E31:P31)</f>
        <v>570000000</v>
      </c>
      <c r="R31" s="49"/>
    </row>
    <row r="32" spans="1:18" s="57" customFormat="1" ht="20.399999999999999" customHeight="1" x14ac:dyDescent="0.35">
      <c r="A32" s="52"/>
      <c r="B32" s="47"/>
      <c r="C32" s="43"/>
      <c r="D32" s="48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49"/>
      <c r="R32" s="49"/>
    </row>
    <row r="33" spans="1:18" s="41" customFormat="1" ht="34.75" customHeight="1" x14ac:dyDescent="0.35">
      <c r="A33" s="78" t="s">
        <v>56</v>
      </c>
      <c r="B33" s="79" t="s">
        <v>35</v>
      </c>
      <c r="C33" s="38" t="s">
        <v>36</v>
      </c>
      <c r="D33" s="39"/>
      <c r="E33" s="40">
        <f>SUM(E34,E35,E38)</f>
        <v>77670000</v>
      </c>
      <c r="F33" s="40">
        <f t="shared" ref="F33:P33" si="9">SUM(F34,F35,F38)</f>
        <v>41675000</v>
      </c>
      <c r="G33" s="40">
        <f t="shared" si="9"/>
        <v>53180000</v>
      </c>
      <c r="H33" s="40">
        <f t="shared" si="9"/>
        <v>64685000</v>
      </c>
      <c r="I33" s="40">
        <f t="shared" si="9"/>
        <v>57185000</v>
      </c>
      <c r="J33" s="40">
        <f t="shared" si="9"/>
        <v>107185000</v>
      </c>
      <c r="K33" s="40">
        <f t="shared" si="9"/>
        <v>57185000</v>
      </c>
      <c r="L33" s="40">
        <f t="shared" si="9"/>
        <v>57185000</v>
      </c>
      <c r="M33" s="40">
        <f t="shared" si="9"/>
        <v>57185000</v>
      </c>
      <c r="N33" s="40">
        <f t="shared" si="9"/>
        <v>57185000</v>
      </c>
      <c r="O33" s="40">
        <f t="shared" si="9"/>
        <v>57185000</v>
      </c>
      <c r="P33" s="40">
        <f t="shared" si="9"/>
        <v>57185000</v>
      </c>
      <c r="Q33" s="40">
        <f t="shared" ref="Q33:Q39" si="10">SUM(E33:P33)</f>
        <v>744690000</v>
      </c>
      <c r="R33" s="73" t="s">
        <v>62</v>
      </c>
    </row>
    <row r="34" spans="1:18" ht="25" x14ac:dyDescent="0.35">
      <c r="A34" s="46"/>
      <c r="B34" s="47" t="s">
        <v>37</v>
      </c>
      <c r="C34" s="43" t="s">
        <v>36</v>
      </c>
      <c r="D34" s="48">
        <f>'[1]CS Thuế'!E24</f>
        <v>15000000</v>
      </c>
      <c r="E34" s="49">
        <v>15000000</v>
      </c>
      <c r="F34" s="49">
        <v>15000000</v>
      </c>
      <c r="G34" s="49">
        <v>15000000</v>
      </c>
      <c r="H34" s="49">
        <v>15000000</v>
      </c>
      <c r="I34" s="49">
        <v>15000000</v>
      </c>
      <c r="J34" s="49">
        <v>15000000</v>
      </c>
      <c r="K34" s="49">
        <v>15000000</v>
      </c>
      <c r="L34" s="49">
        <v>15000000</v>
      </c>
      <c r="M34" s="49">
        <v>15000000</v>
      </c>
      <c r="N34" s="49">
        <v>15000000</v>
      </c>
      <c r="O34" s="49">
        <v>15000000</v>
      </c>
      <c r="P34" s="49">
        <v>15000000</v>
      </c>
      <c r="Q34" s="49">
        <f t="shared" si="10"/>
        <v>180000000</v>
      </c>
      <c r="R34" s="71" t="s">
        <v>59</v>
      </c>
    </row>
    <row r="35" spans="1:18" ht="20.399999999999999" customHeight="1" x14ac:dyDescent="0.35">
      <c r="A35" s="46"/>
      <c r="B35" s="47" t="s">
        <v>38</v>
      </c>
      <c r="C35" s="43" t="s">
        <v>36</v>
      </c>
      <c r="D35" s="48">
        <f>'[1]CS Thuế'!E27</f>
        <v>2500000</v>
      </c>
      <c r="E35" s="49">
        <f t="shared" ref="E35:P35" si="11">SUM(E36:E37)</f>
        <v>55000000</v>
      </c>
      <c r="F35" s="49">
        <f t="shared" si="11"/>
        <v>7500000</v>
      </c>
      <c r="G35" s="49">
        <f t="shared" si="11"/>
        <v>7500000</v>
      </c>
      <c r="H35" s="49">
        <f t="shared" si="11"/>
        <v>7500000</v>
      </c>
      <c r="I35" s="49">
        <f t="shared" si="11"/>
        <v>0</v>
      </c>
      <c r="J35" s="49">
        <f t="shared" si="11"/>
        <v>50000000</v>
      </c>
      <c r="K35" s="49">
        <f t="shared" si="11"/>
        <v>0</v>
      </c>
      <c r="L35" s="49">
        <f t="shared" si="11"/>
        <v>0</v>
      </c>
      <c r="M35" s="49">
        <f t="shared" si="11"/>
        <v>0</v>
      </c>
      <c r="N35" s="49">
        <f t="shared" si="11"/>
        <v>0</v>
      </c>
      <c r="O35" s="49">
        <f t="shared" si="11"/>
        <v>0</v>
      </c>
      <c r="P35" s="49">
        <f t="shared" si="11"/>
        <v>0</v>
      </c>
      <c r="Q35" s="49">
        <f t="shared" si="10"/>
        <v>127500000</v>
      </c>
      <c r="R35" s="49"/>
    </row>
    <row r="36" spans="1:18" s="57" customFormat="1" ht="20.399999999999999" customHeight="1" x14ac:dyDescent="0.35">
      <c r="A36" s="52"/>
      <c r="B36" s="53" t="s">
        <v>12</v>
      </c>
      <c r="C36" s="54" t="s">
        <v>36</v>
      </c>
      <c r="D36" s="55">
        <f>'[1]CS Thuế'!E27</f>
        <v>2500000</v>
      </c>
      <c r="E36" s="56">
        <f t="shared" ref="E36:P36" si="12">$D$36*E18</f>
        <v>5000000</v>
      </c>
      <c r="F36" s="56">
        <f t="shared" si="12"/>
        <v>7500000</v>
      </c>
      <c r="G36" s="56">
        <f t="shared" si="12"/>
        <v>7500000</v>
      </c>
      <c r="H36" s="56">
        <f t="shared" si="12"/>
        <v>7500000</v>
      </c>
      <c r="I36" s="56">
        <f t="shared" si="12"/>
        <v>0</v>
      </c>
      <c r="J36" s="56">
        <f t="shared" si="12"/>
        <v>0</v>
      </c>
      <c r="K36" s="56">
        <f t="shared" si="12"/>
        <v>0</v>
      </c>
      <c r="L36" s="56">
        <f t="shared" si="12"/>
        <v>0</v>
      </c>
      <c r="M36" s="56">
        <f t="shared" si="12"/>
        <v>0</v>
      </c>
      <c r="N36" s="56">
        <f t="shared" si="12"/>
        <v>0</v>
      </c>
      <c r="O36" s="56">
        <f t="shared" si="12"/>
        <v>0</v>
      </c>
      <c r="P36" s="56">
        <f t="shared" si="12"/>
        <v>0</v>
      </c>
      <c r="Q36" s="56">
        <f t="shared" si="10"/>
        <v>27500000</v>
      </c>
      <c r="R36" s="56"/>
    </row>
    <row r="37" spans="1:18" s="57" customFormat="1" ht="49.75" customHeight="1" x14ac:dyDescent="0.35">
      <c r="A37" s="52"/>
      <c r="B37" s="53" t="s">
        <v>39</v>
      </c>
      <c r="C37" s="54" t="s">
        <v>36</v>
      </c>
      <c r="D37" s="55">
        <f>'[1]CS Thuế'!F27</f>
        <v>2500000</v>
      </c>
      <c r="E37" s="56">
        <f>$D$37*20</f>
        <v>50000000</v>
      </c>
      <c r="F37" s="56">
        <f>$D$37*0</f>
        <v>0</v>
      </c>
      <c r="G37" s="56">
        <f t="shared" ref="G37:I37" si="13">$D$37*0</f>
        <v>0</v>
      </c>
      <c r="H37" s="56">
        <f t="shared" si="13"/>
        <v>0</v>
      </c>
      <c r="I37" s="56">
        <f t="shared" si="13"/>
        <v>0</v>
      </c>
      <c r="J37" s="56">
        <f>$D$37*20</f>
        <v>50000000</v>
      </c>
      <c r="K37" s="56">
        <f>$D$37*0</f>
        <v>0</v>
      </c>
      <c r="L37" s="56">
        <f t="shared" ref="L37:P37" si="14">$D$37*0</f>
        <v>0</v>
      </c>
      <c r="M37" s="56">
        <f t="shared" si="14"/>
        <v>0</v>
      </c>
      <c r="N37" s="56">
        <f t="shared" si="14"/>
        <v>0</v>
      </c>
      <c r="O37" s="56">
        <f t="shared" si="14"/>
        <v>0</v>
      </c>
      <c r="P37" s="56">
        <f t="shared" si="14"/>
        <v>0</v>
      </c>
      <c r="Q37" s="56">
        <f t="shared" si="10"/>
        <v>100000000</v>
      </c>
      <c r="R37" s="72" t="s">
        <v>58</v>
      </c>
    </row>
    <row r="38" spans="1:18" ht="20.399999999999999" customHeight="1" x14ac:dyDescent="0.35">
      <c r="A38" s="46"/>
      <c r="B38" s="47" t="s">
        <v>40</v>
      </c>
      <c r="C38" s="43" t="s">
        <v>36</v>
      </c>
      <c r="D38" s="48"/>
      <c r="E38" s="49">
        <f t="shared" ref="E38:P38" si="15">SUM(E39:E39)</f>
        <v>7670000</v>
      </c>
      <c r="F38" s="49">
        <f t="shared" si="15"/>
        <v>19175000</v>
      </c>
      <c r="G38" s="49">
        <f t="shared" si="15"/>
        <v>30680000</v>
      </c>
      <c r="H38" s="49">
        <f t="shared" si="15"/>
        <v>42185000</v>
      </c>
      <c r="I38" s="49">
        <f t="shared" si="15"/>
        <v>42185000</v>
      </c>
      <c r="J38" s="49">
        <f t="shared" si="15"/>
        <v>42185000</v>
      </c>
      <c r="K38" s="49">
        <f t="shared" si="15"/>
        <v>42185000</v>
      </c>
      <c r="L38" s="49">
        <f t="shared" si="15"/>
        <v>42185000</v>
      </c>
      <c r="M38" s="49">
        <f t="shared" si="15"/>
        <v>42185000</v>
      </c>
      <c r="N38" s="49">
        <f t="shared" si="15"/>
        <v>42185000</v>
      </c>
      <c r="O38" s="49">
        <f t="shared" si="15"/>
        <v>42185000</v>
      </c>
      <c r="P38" s="49">
        <f t="shared" si="15"/>
        <v>42185000</v>
      </c>
      <c r="Q38" s="49">
        <f t="shared" si="10"/>
        <v>437190000</v>
      </c>
      <c r="R38" s="49"/>
    </row>
    <row r="39" spans="1:18" s="57" customFormat="1" ht="20.399999999999999" customHeight="1" x14ac:dyDescent="0.35">
      <c r="A39" s="52"/>
      <c r="B39" s="53" t="s">
        <v>12</v>
      </c>
      <c r="C39" s="54" t="s">
        <v>36</v>
      </c>
      <c r="D39" s="55">
        <f>'[1]CS Thuế'!E30</f>
        <v>3835000</v>
      </c>
      <c r="E39" s="56">
        <f t="shared" ref="E39:P39" si="16">$D$39*E17</f>
        <v>7670000</v>
      </c>
      <c r="F39" s="56">
        <f t="shared" si="16"/>
        <v>19175000</v>
      </c>
      <c r="G39" s="56">
        <f t="shared" si="16"/>
        <v>30680000</v>
      </c>
      <c r="H39" s="56">
        <f t="shared" si="16"/>
        <v>42185000</v>
      </c>
      <c r="I39" s="56">
        <f t="shared" si="16"/>
        <v>42185000</v>
      </c>
      <c r="J39" s="56">
        <f t="shared" si="16"/>
        <v>42185000</v>
      </c>
      <c r="K39" s="56">
        <f t="shared" si="16"/>
        <v>42185000</v>
      </c>
      <c r="L39" s="56">
        <f t="shared" si="16"/>
        <v>42185000</v>
      </c>
      <c r="M39" s="56">
        <f t="shared" si="16"/>
        <v>42185000</v>
      </c>
      <c r="N39" s="56">
        <f t="shared" si="16"/>
        <v>42185000</v>
      </c>
      <c r="O39" s="56">
        <f t="shared" si="16"/>
        <v>42185000</v>
      </c>
      <c r="P39" s="56">
        <f t="shared" si="16"/>
        <v>42185000</v>
      </c>
      <c r="Q39" s="56">
        <f t="shared" si="10"/>
        <v>437190000</v>
      </c>
      <c r="R39" s="56"/>
    </row>
    <row r="40" spans="1:18" s="57" customFormat="1" ht="20.399999999999999" customHeight="1" x14ac:dyDescent="0.35">
      <c r="A40" s="52"/>
      <c r="B40" s="47"/>
      <c r="C40" s="43"/>
      <c r="D40" s="48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49"/>
      <c r="R40" s="49"/>
    </row>
    <row r="41" spans="1:18" s="41" customFormat="1" ht="20.399999999999999" customHeight="1" x14ac:dyDescent="0.35">
      <c r="A41" s="76" t="s">
        <v>47</v>
      </c>
      <c r="B41" s="77" t="s">
        <v>54</v>
      </c>
      <c r="C41" s="26"/>
      <c r="D41" s="27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</row>
    <row r="42" spans="1:18" s="57" customFormat="1" ht="48" customHeight="1" x14ac:dyDescent="0.35">
      <c r="A42" s="52"/>
      <c r="B42" s="47" t="s">
        <v>46</v>
      </c>
      <c r="C42" s="43" t="s">
        <v>16</v>
      </c>
      <c r="D42" s="70">
        <v>0.01</v>
      </c>
      <c r="E42" s="64">
        <f>E20*$D$42*1000*60%*$D$4</f>
        <v>174999999.99999997</v>
      </c>
      <c r="F42" s="64">
        <f t="shared" ref="F42:P42" si="17">F20*$D$42*1000*60%*$D$4</f>
        <v>174999999.99999997</v>
      </c>
      <c r="G42" s="64">
        <f t="shared" si="17"/>
        <v>174999999.99999997</v>
      </c>
      <c r="H42" s="64">
        <f t="shared" si="17"/>
        <v>174999999.99999997</v>
      </c>
      <c r="I42" s="64">
        <f t="shared" si="17"/>
        <v>174999999.99999997</v>
      </c>
      <c r="J42" s="64">
        <f t="shared" si="17"/>
        <v>174999999.99999997</v>
      </c>
      <c r="K42" s="64">
        <f t="shared" si="17"/>
        <v>174999999.99999997</v>
      </c>
      <c r="L42" s="64">
        <f t="shared" si="17"/>
        <v>174999999.99999997</v>
      </c>
      <c r="M42" s="64">
        <f t="shared" si="17"/>
        <v>174999999.99999997</v>
      </c>
      <c r="N42" s="64">
        <f t="shared" si="17"/>
        <v>174999999.99999997</v>
      </c>
      <c r="O42" s="64">
        <f t="shared" si="17"/>
        <v>174999999.99999997</v>
      </c>
      <c r="P42" s="64">
        <f t="shared" si="17"/>
        <v>174999999.99999997</v>
      </c>
      <c r="Q42" s="49">
        <f>SUM(E42:P42)</f>
        <v>2099999999.9999998</v>
      </c>
      <c r="R42" s="71" t="s">
        <v>63</v>
      </c>
    </row>
    <row r="43" spans="1:18" s="57" customFormat="1" ht="28.75" customHeight="1" x14ac:dyDescent="0.35">
      <c r="A43" s="52"/>
      <c r="B43" s="47" t="s">
        <v>60</v>
      </c>
      <c r="C43" s="43"/>
      <c r="D43" s="70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49"/>
      <c r="R43" s="71"/>
    </row>
    <row r="44" spans="1:18" ht="12" customHeight="1" x14ac:dyDescent="0.35">
      <c r="A44" s="58"/>
      <c r="B44" s="63"/>
      <c r="C44" s="58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62"/>
      <c r="R44" s="59"/>
    </row>
    <row r="45" spans="1:18" x14ac:dyDescent="0.35">
      <c r="E45" s="74">
        <f>E42/E21</f>
        <v>1093749.9999999998</v>
      </c>
    </row>
    <row r="46" spans="1:18" x14ac:dyDescent="0.35">
      <c r="B46" s="60"/>
      <c r="D46" s="7"/>
      <c r="E46" s="61"/>
    </row>
    <row r="47" spans="1:18" x14ac:dyDescent="0.35">
      <c r="B47" s="60"/>
      <c r="D47" s="7"/>
      <c r="E47" s="61"/>
    </row>
    <row r="48" spans="1:18" x14ac:dyDescent="0.35">
      <c r="B48" s="60"/>
      <c r="D48" s="7"/>
    </row>
    <row r="49" spans="2:5" x14ac:dyDescent="0.35">
      <c r="B49" s="60"/>
      <c r="D49" s="7"/>
      <c r="E49" s="61"/>
    </row>
  </sheetData>
  <pageMargins left="0.25" right="0.25" top="0.25" bottom="0.25" header="0.3" footer="0.3"/>
  <pageSetup scale="5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Giải trình tổng</vt:lpstr>
      <vt:lpstr>'Giải trình tổng'!Print_Area</vt:lpstr>
      <vt:lpstr>'Giải trình tổng'!Print_Titles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Tuyền, Phạm Thụy Thanh</dc:creator>
  <cp:lastModifiedBy>Cư, Lê Hoành</cp:lastModifiedBy>
  <dcterms:created xsi:type="dcterms:W3CDTF">2026-01-22T05:16:13Z</dcterms:created>
  <dcterms:modified xsi:type="dcterms:W3CDTF">2026-03-16T11:33:58Z</dcterms:modified>
</cp:coreProperties>
</file>