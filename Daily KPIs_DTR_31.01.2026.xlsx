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DAILY/"/>
    </mc:Choice>
  </mc:AlternateContent>
  <xr:revisionPtr revIDLastSave="1203" documentId="13_ncr:1_{1BBBFE32-4604-4555-B4EE-C3A6B3DB744B}" xr6:coauthVersionLast="47" xr6:coauthVersionMax="47" xr10:uidLastSave="{E4E0AFF2-00AF-47DF-AF50-A59CA45919E0}"/>
  <bookViews>
    <workbookView xWindow="-110" yWindow="-110" windowWidth="19420" windowHeight="10300" tabRatio="557" xr2:uid="{8E3F507D-B292-4E40-947A-7F5F512529AB}"/>
  </bookViews>
  <sheets>
    <sheet name="Daily" sheetId="7" r:id="rId1"/>
    <sheet name="Doanh thu và sản lượng bán" sheetId="13" state="hidden" r:id="rId2"/>
    <sheet name="Weekly" sheetId="10" r:id="rId3"/>
    <sheet name="Monthly" sheetId="2" r:id="rId4"/>
    <sheet name="Quarterly" sheetId="9" r:id="rId5"/>
    <sheet name="Yearly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8" i="7" l="1"/>
  <c r="AH27" i="7"/>
  <c r="AD12" i="7"/>
  <c r="AE13" i="7"/>
  <c r="AB11" i="7"/>
  <c r="AD6" i="7"/>
  <c r="AD21" i="7"/>
  <c r="AG21" i="7"/>
  <c r="AH6" i="7"/>
  <c r="AH21" i="7"/>
  <c r="AG6" i="7"/>
  <c r="AF6" i="7"/>
  <c r="AF21" i="7"/>
  <c r="AE6" i="7"/>
  <c r="AE21" i="7"/>
  <c r="AC6" i="7"/>
  <c r="AC21" i="7"/>
  <c r="AC34" i="7"/>
  <c r="AC33" i="7" s="1"/>
  <c r="AD34" i="7"/>
  <c r="AD33" i="7" s="1"/>
  <c r="AE34" i="7"/>
  <c r="AE33" i="7" s="1"/>
  <c r="AF34" i="7"/>
  <c r="AF33" i="7" s="1"/>
  <c r="AG34" i="7"/>
  <c r="AG33" i="7" s="1"/>
  <c r="AH34" i="7"/>
  <c r="AH33" i="7" s="1"/>
  <c r="AC36" i="7"/>
  <c r="AD36" i="7"/>
  <c r="AE36" i="7"/>
  <c r="AF36" i="7"/>
  <c r="AG36" i="7"/>
  <c r="AH36" i="7"/>
  <c r="AG13" i="7"/>
  <c r="AH13" i="7"/>
  <c r="W30" i="7"/>
  <c r="AB31" i="7"/>
  <c r="AA6" i="7"/>
  <c r="AA21" i="7"/>
  <c r="Y6" i="7"/>
  <c r="Y21" i="7"/>
  <c r="X6" i="7"/>
  <c r="X21" i="7"/>
  <c r="X26" i="7" s="1"/>
  <c r="W6" i="7"/>
  <c r="W21" i="7"/>
  <c r="V34" i="7"/>
  <c r="V33" i="7" s="1"/>
  <c r="W34" i="7"/>
  <c r="W33" i="7" s="1"/>
  <c r="X34" i="7"/>
  <c r="X33" i="7" s="1"/>
  <c r="Y34" i="7"/>
  <c r="Y33" i="7" s="1"/>
  <c r="Z34" i="7"/>
  <c r="Z33" i="7" s="1"/>
  <c r="AA34" i="7"/>
  <c r="AA33" i="7" s="1"/>
  <c r="AB34" i="7"/>
  <c r="AB33" i="7" s="1"/>
  <c r="V36" i="7"/>
  <c r="W36" i="7"/>
  <c r="X36" i="7"/>
  <c r="Y36" i="7"/>
  <c r="Z36" i="7"/>
  <c r="AA36" i="7"/>
  <c r="AB36" i="7"/>
  <c r="V26" i="7"/>
  <c r="W26" i="7"/>
  <c r="V27" i="7"/>
  <c r="W27" i="7"/>
  <c r="X27" i="7"/>
  <c r="Y27" i="7"/>
  <c r="Z27" i="7"/>
  <c r="AA27" i="7"/>
  <c r="V28" i="7"/>
  <c r="W28" i="7"/>
  <c r="X28" i="7"/>
  <c r="Y28" i="7"/>
  <c r="Z28" i="7"/>
  <c r="AA28" i="7"/>
  <c r="V11" i="7"/>
  <c r="W11" i="7"/>
  <c r="X11" i="7"/>
  <c r="Y11" i="7"/>
  <c r="Z11" i="7"/>
  <c r="AA11" i="7"/>
  <c r="V12" i="7"/>
  <c r="W12" i="7"/>
  <c r="X12" i="7"/>
  <c r="Y12" i="7"/>
  <c r="Z12" i="7"/>
  <c r="AA12" i="7"/>
  <c r="V13" i="7"/>
  <c r="W13" i="7"/>
  <c r="X13" i="7"/>
  <c r="Y13" i="7"/>
  <c r="Z13" i="7"/>
  <c r="AA13" i="7"/>
  <c r="BD9" i="10"/>
  <c r="AI8" i="7"/>
  <c r="S6" i="7"/>
  <c r="S21" i="7"/>
  <c r="R6" i="7"/>
  <c r="R21" i="7"/>
  <c r="Q6" i="7"/>
  <c r="Q21" i="7"/>
  <c r="P6" i="7"/>
  <c r="P21" i="7"/>
  <c r="O6" i="7"/>
  <c r="O21" i="7"/>
  <c r="L6" i="7"/>
  <c r="L21" i="7"/>
  <c r="K6" i="7"/>
  <c r="K21" i="7"/>
  <c r="J6" i="7"/>
  <c r="J21" i="7"/>
  <c r="I6" i="7"/>
  <c r="I21" i="7"/>
  <c r="H6" i="7"/>
  <c r="H21" i="7"/>
  <c r="U31" i="7"/>
  <c r="AZ14" i="10"/>
  <c r="BA14" i="10"/>
  <c r="BB14" i="10"/>
  <c r="BC14" i="10"/>
  <c r="AZ15" i="10"/>
  <c r="BA15" i="10"/>
  <c r="BB15" i="10"/>
  <c r="BC15" i="10"/>
  <c r="BC13" i="10"/>
  <c r="BB13" i="10"/>
  <c r="BA13" i="10"/>
  <c r="AZ13" i="10"/>
  <c r="AZ6" i="10"/>
  <c r="BA6" i="10"/>
  <c r="BB6" i="10"/>
  <c r="BC6" i="10"/>
  <c r="AZ7" i="10"/>
  <c r="BA7" i="10"/>
  <c r="BB7" i="10"/>
  <c r="BC7" i="10"/>
  <c r="BC5" i="10"/>
  <c r="BB5" i="10"/>
  <c r="BA5" i="10"/>
  <c r="AZ5" i="10"/>
  <c r="AV14" i="10"/>
  <c r="AW14" i="10"/>
  <c r="AX14" i="10"/>
  <c r="AY14" i="10"/>
  <c r="AV15" i="10"/>
  <c r="AW15" i="10"/>
  <c r="AX15" i="10"/>
  <c r="AY15" i="10"/>
  <c r="AY13" i="10"/>
  <c r="AX13" i="10"/>
  <c r="AW13" i="10"/>
  <c r="AV13" i="10"/>
  <c r="AV6" i="10"/>
  <c r="AW6" i="10"/>
  <c r="AX6" i="10"/>
  <c r="AY6" i="10"/>
  <c r="AV7" i="10"/>
  <c r="AW7" i="10"/>
  <c r="AX7" i="10"/>
  <c r="AY7" i="10"/>
  <c r="AY5" i="10"/>
  <c r="AX5" i="10"/>
  <c r="AW5" i="10"/>
  <c r="AV5" i="10"/>
  <c r="AQ14" i="10"/>
  <c r="AR14" i="10"/>
  <c r="AS14" i="10"/>
  <c r="AT14" i="10"/>
  <c r="AU14" i="10"/>
  <c r="AQ15" i="10"/>
  <c r="AR15" i="10"/>
  <c r="AS15" i="10"/>
  <c r="AT15" i="10"/>
  <c r="AU15" i="10"/>
  <c r="AU13" i="10"/>
  <c r="AT13" i="10"/>
  <c r="AS13" i="10"/>
  <c r="AR13" i="10"/>
  <c r="AQ13" i="10"/>
  <c r="AQ6" i="10"/>
  <c r="AR6" i="10"/>
  <c r="AS6" i="10"/>
  <c r="AT6" i="10"/>
  <c r="AU6" i="10"/>
  <c r="AQ7" i="10"/>
  <c r="AR7" i="10"/>
  <c r="AS7" i="10"/>
  <c r="AT7" i="10"/>
  <c r="AU7" i="10"/>
  <c r="AU5" i="10"/>
  <c r="AT5" i="10"/>
  <c r="AS5" i="10"/>
  <c r="AR5" i="10"/>
  <c r="AQ5" i="10"/>
  <c r="AM14" i="10"/>
  <c r="AN14" i="10"/>
  <c r="AO14" i="10"/>
  <c r="AP14" i="10"/>
  <c r="AM15" i="10"/>
  <c r="AN15" i="10"/>
  <c r="AO15" i="10"/>
  <c r="AP15" i="10"/>
  <c r="AP13" i="10"/>
  <c r="AO13" i="10"/>
  <c r="AN13" i="10"/>
  <c r="AM13" i="10"/>
  <c r="AM6" i="10"/>
  <c r="AN6" i="10"/>
  <c r="AO6" i="10"/>
  <c r="AP6" i="10"/>
  <c r="AM7" i="10"/>
  <c r="AN7" i="10"/>
  <c r="AO7" i="10"/>
  <c r="AP7" i="10"/>
  <c r="AP5" i="10"/>
  <c r="AO5" i="10"/>
  <c r="AN5" i="10"/>
  <c r="AM5" i="10"/>
  <c r="AI14" i="10"/>
  <c r="AJ14" i="10"/>
  <c r="AK14" i="10"/>
  <c r="AL14" i="10"/>
  <c r="AI15" i="10"/>
  <c r="AJ15" i="10"/>
  <c r="AK15" i="10"/>
  <c r="AL15" i="10"/>
  <c r="AL13" i="10"/>
  <c r="AK13" i="10"/>
  <c r="AJ13" i="10"/>
  <c r="AI13" i="10"/>
  <c r="AI6" i="10"/>
  <c r="AJ6" i="10"/>
  <c r="AK6" i="10"/>
  <c r="AL6" i="10"/>
  <c r="AI7" i="10"/>
  <c r="AJ7" i="10"/>
  <c r="AK7" i="10"/>
  <c r="AL7" i="10"/>
  <c r="AL5" i="10"/>
  <c r="AK5" i="10"/>
  <c r="AJ5" i="10"/>
  <c r="AI5" i="10"/>
  <c r="AD14" i="10"/>
  <c r="AE14" i="10"/>
  <c r="AF14" i="10"/>
  <c r="AG14" i="10"/>
  <c r="AH14" i="10"/>
  <c r="AD15" i="10"/>
  <c r="AE15" i="10"/>
  <c r="AF15" i="10"/>
  <c r="AG15" i="10"/>
  <c r="AH15" i="10"/>
  <c r="AH13" i="10"/>
  <c r="AG13" i="10"/>
  <c r="AF13" i="10"/>
  <c r="AE13" i="10"/>
  <c r="AD13" i="10"/>
  <c r="AD6" i="10"/>
  <c r="AE6" i="10"/>
  <c r="AF6" i="10"/>
  <c r="AG6" i="10"/>
  <c r="AH6" i="10"/>
  <c r="AD7" i="10"/>
  <c r="AE7" i="10"/>
  <c r="AF7" i="10"/>
  <c r="AG7" i="10"/>
  <c r="AH7" i="10"/>
  <c r="AH5" i="10"/>
  <c r="AG5" i="10"/>
  <c r="AF5" i="10"/>
  <c r="AE5" i="10"/>
  <c r="AD5" i="10"/>
  <c r="Z14" i="10"/>
  <c r="AA14" i="10"/>
  <c r="AB14" i="10"/>
  <c r="AC14" i="10"/>
  <c r="Z15" i="10"/>
  <c r="AA15" i="10"/>
  <c r="AB15" i="10"/>
  <c r="AC15" i="10"/>
  <c r="AC13" i="10"/>
  <c r="AB13" i="10"/>
  <c r="AA13" i="10"/>
  <c r="Z13" i="10"/>
  <c r="Z6" i="10"/>
  <c r="AA6" i="10"/>
  <c r="AB6" i="10"/>
  <c r="AC6" i="10"/>
  <c r="Z7" i="10"/>
  <c r="AA7" i="10"/>
  <c r="AB7" i="10"/>
  <c r="AC7" i="10"/>
  <c r="AC5" i="10"/>
  <c r="AB5" i="10"/>
  <c r="AA5" i="10"/>
  <c r="Z5" i="10"/>
  <c r="U14" i="10"/>
  <c r="V14" i="10"/>
  <c r="W14" i="10"/>
  <c r="X14" i="10"/>
  <c r="Y14" i="10"/>
  <c r="U15" i="10"/>
  <c r="V15" i="10"/>
  <c r="W15" i="10"/>
  <c r="X15" i="10"/>
  <c r="Y15" i="10"/>
  <c r="Y13" i="10"/>
  <c r="X13" i="10"/>
  <c r="W13" i="10"/>
  <c r="V13" i="10"/>
  <c r="U13" i="10"/>
  <c r="U6" i="10"/>
  <c r="V6" i="10"/>
  <c r="W6" i="10"/>
  <c r="X6" i="10"/>
  <c r="Y6" i="10"/>
  <c r="U7" i="10"/>
  <c r="V7" i="10"/>
  <c r="W7" i="10"/>
  <c r="X7" i="10"/>
  <c r="Y7" i="10"/>
  <c r="Y5" i="10"/>
  <c r="X5" i="10"/>
  <c r="W5" i="10"/>
  <c r="V5" i="10"/>
  <c r="U5" i="10"/>
  <c r="Q14" i="10"/>
  <c r="R14" i="10"/>
  <c r="S14" i="10"/>
  <c r="T14" i="10"/>
  <c r="Q15" i="10"/>
  <c r="R15" i="10"/>
  <c r="S15" i="10"/>
  <c r="T15" i="10"/>
  <c r="T13" i="10"/>
  <c r="S13" i="10"/>
  <c r="R13" i="10"/>
  <c r="Q13" i="10"/>
  <c r="Q6" i="10"/>
  <c r="R6" i="10"/>
  <c r="S6" i="10"/>
  <c r="T6" i="10"/>
  <c r="Q7" i="10"/>
  <c r="R7" i="10"/>
  <c r="S7" i="10"/>
  <c r="T7" i="10"/>
  <c r="T5" i="10"/>
  <c r="S5" i="10"/>
  <c r="R5" i="10"/>
  <c r="Q5" i="10"/>
  <c r="M14" i="10"/>
  <c r="N14" i="10"/>
  <c r="O14" i="10"/>
  <c r="P14" i="10"/>
  <c r="M15" i="10"/>
  <c r="N15" i="10"/>
  <c r="O15" i="10"/>
  <c r="P15" i="10"/>
  <c r="P13" i="10"/>
  <c r="O13" i="10"/>
  <c r="N13" i="10"/>
  <c r="M13" i="10"/>
  <c r="M6" i="10"/>
  <c r="N6" i="10"/>
  <c r="O6" i="10"/>
  <c r="P6" i="10"/>
  <c r="M7" i="10"/>
  <c r="N7" i="10"/>
  <c r="O7" i="10"/>
  <c r="P7" i="10"/>
  <c r="P5" i="10"/>
  <c r="O5" i="10"/>
  <c r="N5" i="10"/>
  <c r="M5" i="10"/>
  <c r="I14" i="10"/>
  <c r="J14" i="10"/>
  <c r="K14" i="10"/>
  <c r="L14" i="10"/>
  <c r="I15" i="10"/>
  <c r="J15" i="10"/>
  <c r="K15" i="10"/>
  <c r="L15" i="10"/>
  <c r="L13" i="10"/>
  <c r="K13" i="10"/>
  <c r="J13" i="10"/>
  <c r="I13" i="10"/>
  <c r="I6" i="10"/>
  <c r="J6" i="10"/>
  <c r="K6" i="10"/>
  <c r="L6" i="10"/>
  <c r="I7" i="10"/>
  <c r="J7" i="10"/>
  <c r="K7" i="10"/>
  <c r="L7" i="10"/>
  <c r="L5" i="10"/>
  <c r="K5" i="10"/>
  <c r="J5" i="10"/>
  <c r="I5" i="10"/>
  <c r="AF28" i="7" l="1"/>
  <c r="AE28" i="7"/>
  <c r="AD28" i="7"/>
  <c r="AB28" i="7"/>
  <c r="AG27" i="7"/>
  <c r="AC26" i="7"/>
  <c r="AE27" i="7"/>
  <c r="AB27" i="7"/>
  <c r="AC27" i="7"/>
  <c r="AF27" i="7"/>
  <c r="AD27" i="7"/>
  <c r="AH28" i="7"/>
  <c r="AG28" i="7"/>
  <c r="AB13" i="7"/>
  <c r="AD13" i="7"/>
  <c r="AC13" i="7"/>
  <c r="AH12" i="7"/>
  <c r="AF13" i="7"/>
  <c r="AF12" i="7"/>
  <c r="AE12" i="7"/>
  <c r="AG12" i="7"/>
  <c r="AC12" i="7"/>
  <c r="AI7" i="7"/>
  <c r="AB12" i="7"/>
  <c r="Z10" i="7"/>
  <c r="AA10" i="7"/>
  <c r="AG11" i="7"/>
  <c r="AG10" i="7" s="1"/>
  <c r="AC11" i="7"/>
  <c r="AF11" i="7"/>
  <c r="AD11" i="7"/>
  <c r="AH11" i="7"/>
  <c r="AE11" i="7"/>
  <c r="AE10" i="7" s="1"/>
  <c r="AF26" i="7"/>
  <c r="AG26" i="7"/>
  <c r="AH26" i="7"/>
  <c r="AE26" i="7"/>
  <c r="AD26" i="7"/>
  <c r="W25" i="7"/>
  <c r="Y10" i="7"/>
  <c r="X10" i="7"/>
  <c r="X25" i="7"/>
  <c r="W10" i="7"/>
  <c r="V10" i="7"/>
  <c r="V25" i="7"/>
  <c r="AB26" i="7"/>
  <c r="AB25" i="7" s="1"/>
  <c r="Z26" i="7"/>
  <c r="Z25" i="7" s="1"/>
  <c r="Y26" i="7"/>
  <c r="Y25" i="7" s="1"/>
  <c r="AA26" i="7"/>
  <c r="AA25" i="7" s="1"/>
  <c r="AI6" i="7"/>
  <c r="I34" i="12"/>
  <c r="AC25" i="7" l="1"/>
  <c r="AB10" i="7"/>
  <c r="AD25" i="7"/>
  <c r="AH25" i="7"/>
  <c r="AF25" i="7"/>
  <c r="AE25" i="7"/>
  <c r="AG25" i="7"/>
  <c r="AC10" i="7"/>
  <c r="AH10" i="7"/>
  <c r="AD10" i="7"/>
  <c r="AF10" i="7"/>
  <c r="R11" i="7"/>
  <c r="S11" i="7"/>
  <c r="T11" i="7"/>
  <c r="U11" i="7"/>
  <c r="R12" i="7"/>
  <c r="S12" i="7"/>
  <c r="T12" i="7"/>
  <c r="U12" i="7"/>
  <c r="R13" i="7"/>
  <c r="S13" i="7"/>
  <c r="T13" i="7"/>
  <c r="U13" i="7"/>
  <c r="R26" i="7"/>
  <c r="S26" i="7"/>
  <c r="T26" i="7"/>
  <c r="U26" i="7"/>
  <c r="R27" i="7"/>
  <c r="S27" i="7"/>
  <c r="T27" i="7"/>
  <c r="U27" i="7"/>
  <c r="R28" i="7"/>
  <c r="S28" i="7"/>
  <c r="T28" i="7"/>
  <c r="U28" i="7"/>
  <c r="R34" i="7"/>
  <c r="R33" i="7" s="1"/>
  <c r="S34" i="7"/>
  <c r="S33" i="7" s="1"/>
  <c r="T34" i="7"/>
  <c r="T33" i="7" s="1"/>
  <c r="U34" i="7"/>
  <c r="U33" i="7" s="1"/>
  <c r="R36" i="7"/>
  <c r="S36" i="7"/>
  <c r="T36" i="7"/>
  <c r="U36" i="7"/>
  <c r="R10" i="7" l="1"/>
  <c r="U10" i="7"/>
  <c r="T10" i="7"/>
  <c r="S10" i="7"/>
  <c r="U25" i="7"/>
  <c r="T25" i="7"/>
  <c r="S25" i="7"/>
  <c r="R25" i="7"/>
  <c r="K36" i="7"/>
  <c r="L36" i="7"/>
  <c r="M36" i="7"/>
  <c r="N36" i="7"/>
  <c r="O36" i="7"/>
  <c r="P36" i="7"/>
  <c r="Q36" i="7"/>
  <c r="K34" i="7"/>
  <c r="K33" i="7" s="1"/>
  <c r="L34" i="7"/>
  <c r="L33" i="7" s="1"/>
  <c r="M34" i="7"/>
  <c r="M33" i="7" s="1"/>
  <c r="N34" i="7"/>
  <c r="N33" i="7" s="1"/>
  <c r="O34" i="7"/>
  <c r="O33" i="7" s="1"/>
  <c r="P34" i="7"/>
  <c r="P33" i="7" s="1"/>
  <c r="Q34" i="7"/>
  <c r="Q33" i="7" s="1"/>
  <c r="K26" i="7" l="1"/>
  <c r="L26" i="7"/>
  <c r="M26" i="7"/>
  <c r="N26" i="7"/>
  <c r="O26" i="7"/>
  <c r="P26" i="7"/>
  <c r="Q26" i="7"/>
  <c r="K27" i="7"/>
  <c r="L27" i="7"/>
  <c r="M27" i="7"/>
  <c r="N27" i="7"/>
  <c r="O27" i="7"/>
  <c r="P27" i="7"/>
  <c r="Q27" i="7"/>
  <c r="K28" i="7"/>
  <c r="L28" i="7"/>
  <c r="M28" i="7"/>
  <c r="N28" i="7"/>
  <c r="O28" i="7"/>
  <c r="P28" i="7"/>
  <c r="Q28" i="7"/>
  <c r="K11" i="7"/>
  <c r="L11" i="7"/>
  <c r="M11" i="7"/>
  <c r="N11" i="7"/>
  <c r="O11" i="7"/>
  <c r="P11" i="7"/>
  <c r="Q11" i="7"/>
  <c r="K12" i="7"/>
  <c r="L12" i="7"/>
  <c r="M12" i="7"/>
  <c r="N12" i="7"/>
  <c r="O12" i="7"/>
  <c r="P12" i="7"/>
  <c r="Q12" i="7"/>
  <c r="K13" i="7"/>
  <c r="L13" i="7"/>
  <c r="M13" i="7"/>
  <c r="N13" i="7"/>
  <c r="O13" i="7"/>
  <c r="P13" i="7"/>
  <c r="Q13" i="7"/>
  <c r="Q10" i="7" l="1"/>
  <c r="Q25" i="7"/>
  <c r="P25" i="7"/>
  <c r="K10" i="7"/>
  <c r="O25" i="7"/>
  <c r="N25" i="7"/>
  <c r="K25" i="7"/>
  <c r="M25" i="7"/>
  <c r="L25" i="7"/>
  <c r="O10" i="7"/>
  <c r="N10" i="7"/>
  <c r="M10" i="7"/>
  <c r="L10" i="7"/>
  <c r="P10" i="7"/>
  <c r="Y20" i="7" l="1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D13" i="7"/>
  <c r="D12" i="7"/>
  <c r="D11" i="7"/>
  <c r="F34" i="7" l="1"/>
  <c r="F33" i="7" s="1"/>
  <c r="G34" i="7"/>
  <c r="G33" i="7" s="1"/>
  <c r="H34" i="7"/>
  <c r="H33" i="7" s="1"/>
  <c r="I34" i="7"/>
  <c r="I33" i="7" s="1"/>
  <c r="J34" i="7"/>
  <c r="J33" i="7" s="1"/>
  <c r="F36" i="7"/>
  <c r="G36" i="7"/>
  <c r="H36" i="7"/>
  <c r="I36" i="7"/>
  <c r="J36" i="7"/>
  <c r="F26" i="7"/>
  <c r="G26" i="7"/>
  <c r="H26" i="7"/>
  <c r="I26" i="7"/>
  <c r="J26" i="7"/>
  <c r="F27" i="7"/>
  <c r="G27" i="7"/>
  <c r="H27" i="7"/>
  <c r="I27" i="7"/>
  <c r="J27" i="7"/>
  <c r="F28" i="7"/>
  <c r="G28" i="7"/>
  <c r="H28" i="7"/>
  <c r="I28" i="7"/>
  <c r="J28" i="7"/>
  <c r="D20" i="2"/>
  <c r="D21" i="2"/>
  <c r="I10" i="7" l="1"/>
  <c r="H10" i="7"/>
  <c r="F10" i="7"/>
  <c r="J10" i="7"/>
  <c r="J25" i="7"/>
  <c r="I25" i="7"/>
  <c r="H25" i="7"/>
  <c r="G25" i="7"/>
  <c r="F25" i="7"/>
  <c r="G10" i="7"/>
  <c r="D19" i="2"/>
  <c r="I24" i="2" l="1"/>
  <c r="AA20" i="7" l="1"/>
  <c r="Y49" i="7" l="1"/>
  <c r="AA49" i="7"/>
  <c r="AB49" i="7"/>
  <c r="AD49" i="7"/>
  <c r="X50" i="7"/>
  <c r="Y50" i="7"/>
  <c r="Z50" i="7"/>
  <c r="AA50" i="7"/>
  <c r="AB50" i="7"/>
  <c r="AC50" i="7"/>
  <c r="AB15" i="7"/>
  <c r="CB17" i="13"/>
  <c r="CA17" i="13"/>
  <c r="BZ17" i="13"/>
  <c r="CB15" i="13"/>
  <c r="CA15" i="13"/>
  <c r="BZ15" i="13"/>
  <c r="CB13" i="13"/>
  <c r="BZ13" i="13"/>
  <c r="CB11" i="13"/>
  <c r="BZ11" i="13"/>
  <c r="CB9" i="13"/>
  <c r="BZ9" i="13"/>
  <c r="CB7" i="13"/>
  <c r="BZ7" i="13"/>
  <c r="CB5" i="13"/>
  <c r="BZ5" i="13"/>
  <c r="BW21" i="13"/>
  <c r="BX19" i="13"/>
  <c r="BV19" i="13"/>
  <c r="BY19" i="13"/>
  <c r="BX17" i="13"/>
  <c r="BV17" i="13"/>
  <c r="BX15" i="13"/>
  <c r="BV15" i="13"/>
  <c r="BY15" i="13"/>
  <c r="BX13" i="13"/>
  <c r="BV13" i="13"/>
  <c r="BY13" i="13"/>
  <c r="BX11" i="13"/>
  <c r="BV11" i="13"/>
  <c r="BY11" i="13"/>
  <c r="BU21" i="13"/>
  <c r="BX7" i="13"/>
  <c r="BV7" i="13"/>
  <c r="BY7" i="13"/>
  <c r="BX5" i="13"/>
  <c r="CA7" i="13"/>
  <c r="CA13" i="13"/>
  <c r="CA11" i="13"/>
  <c r="BX21" i="13"/>
  <c r="BV5" i="13"/>
  <c r="BV9" i="13"/>
  <c r="BY17" i="13"/>
  <c r="BX9" i="13"/>
  <c r="BY5" i="13"/>
  <c r="CA5" i="13"/>
  <c r="BY9" i="13"/>
  <c r="CA9" i="13"/>
  <c r="BV21" i="13"/>
  <c r="BY21" i="13"/>
  <c r="U49" i="7"/>
  <c r="W49" i="7"/>
  <c r="U50" i="7"/>
  <c r="V50" i="7"/>
  <c r="W50" i="7"/>
  <c r="Q49" i="7"/>
  <c r="R49" i="7"/>
  <c r="S49" i="7"/>
  <c r="T49" i="7"/>
  <c r="R50" i="7"/>
  <c r="S50" i="7"/>
  <c r="T50" i="7"/>
  <c r="BP5" i="13"/>
  <c r="BP9" i="13"/>
  <c r="BK5" i="13"/>
  <c r="BM5" i="13"/>
  <c r="BK7" i="13"/>
  <c r="BK11" i="13"/>
  <c r="BM11" i="13"/>
  <c r="BK13" i="13"/>
  <c r="BM13" i="13"/>
  <c r="BR21" i="13"/>
  <c r="BP21" i="13"/>
  <c r="BS19" i="13"/>
  <c r="BQ19" i="13"/>
  <c r="BT19" i="13"/>
  <c r="BS17" i="13"/>
  <c r="BQ17" i="13"/>
  <c r="BT17" i="13"/>
  <c r="BS15" i="13"/>
  <c r="BQ15" i="13"/>
  <c r="BS13" i="13"/>
  <c r="BQ13" i="13"/>
  <c r="BT13" i="13"/>
  <c r="BS11" i="13"/>
  <c r="BQ11" i="13"/>
  <c r="BT11" i="13"/>
  <c r="BS9" i="13"/>
  <c r="BQ9" i="13"/>
  <c r="BT9" i="13"/>
  <c r="BS7" i="13"/>
  <c r="BQ5" i="13"/>
  <c r="BT5" i="13"/>
  <c r="BM21" i="13"/>
  <c r="BN19" i="13"/>
  <c r="BL19" i="13"/>
  <c r="BO19" i="13"/>
  <c r="BN17" i="13"/>
  <c r="BL17" i="13"/>
  <c r="BN15" i="13"/>
  <c r="BL15" i="13"/>
  <c r="BO15" i="13"/>
  <c r="BN13" i="13"/>
  <c r="BL13" i="13"/>
  <c r="BO13" i="13"/>
  <c r="BN11" i="13"/>
  <c r="BL11" i="13"/>
  <c r="BO11" i="13"/>
  <c r="BN9" i="13"/>
  <c r="BL9" i="13"/>
  <c r="BO9" i="13"/>
  <c r="BN7" i="13"/>
  <c r="BL5" i="13"/>
  <c r="BO5" i="13"/>
  <c r="BF5" i="13"/>
  <c r="BF7" i="13"/>
  <c r="BS21" i="13"/>
  <c r="BQ7" i="13"/>
  <c r="BT7" i="13"/>
  <c r="BS5" i="13"/>
  <c r="BT15" i="13"/>
  <c r="BK21" i="13"/>
  <c r="BN21" i="13"/>
  <c r="BN5" i="13"/>
  <c r="BL7" i="13"/>
  <c r="BO17" i="13"/>
  <c r="BH21" i="13"/>
  <c r="BF21" i="13"/>
  <c r="BI19" i="13"/>
  <c r="BG19" i="13"/>
  <c r="BJ19" i="13"/>
  <c r="BI17" i="13"/>
  <c r="BG17" i="13"/>
  <c r="BJ17" i="13"/>
  <c r="BI15" i="13"/>
  <c r="BG15" i="13"/>
  <c r="BJ15" i="13"/>
  <c r="BI13" i="13"/>
  <c r="BG13" i="13"/>
  <c r="BJ13" i="13"/>
  <c r="BG11" i="13"/>
  <c r="BJ11" i="13"/>
  <c r="BI11" i="13"/>
  <c r="BI9" i="13"/>
  <c r="BG9" i="13"/>
  <c r="BI7" i="13"/>
  <c r="BG7" i="13"/>
  <c r="BJ7" i="13"/>
  <c r="BI5" i="13"/>
  <c r="BO7" i="13"/>
  <c r="BQ21" i="13"/>
  <c r="BT21" i="13"/>
  <c r="BL21" i="13"/>
  <c r="BO21" i="13"/>
  <c r="BJ9" i="13"/>
  <c r="BI21" i="13"/>
  <c r="BG5" i="13"/>
  <c r="BJ5" i="13"/>
  <c r="BG21" i="13"/>
  <c r="BJ21" i="13"/>
  <c r="BA5" i="13"/>
  <c r="BA11" i="13"/>
  <c r="BD13" i="13"/>
  <c r="BC21" i="13"/>
  <c r="BA21" i="13"/>
  <c r="BD21" i="13"/>
  <c r="BD19" i="13"/>
  <c r="BB19" i="13"/>
  <c r="BE19" i="13"/>
  <c r="BD17" i="13"/>
  <c r="BB17" i="13"/>
  <c r="BE17" i="13"/>
  <c r="BD15" i="13"/>
  <c r="BB15" i="13"/>
  <c r="BE15" i="13"/>
  <c r="BB13" i="13"/>
  <c r="BD11" i="13"/>
  <c r="BB11" i="13"/>
  <c r="BD9" i="13"/>
  <c r="BB9" i="13"/>
  <c r="BE9" i="13"/>
  <c r="BD7" i="13"/>
  <c r="BB7" i="13"/>
  <c r="BD5" i="13"/>
  <c r="U5" i="7"/>
  <c r="X5" i="7"/>
  <c r="S5" i="7"/>
  <c r="T5" i="7"/>
  <c r="W5" i="7"/>
  <c r="Y5" i="7"/>
  <c r="Z5" i="7"/>
  <c r="AQ5" i="13"/>
  <c r="AX21" i="13"/>
  <c r="AV5" i="13"/>
  <c r="AV21" i="13"/>
  <c r="AY21" i="13"/>
  <c r="BE11" i="13"/>
  <c r="BE13" i="13"/>
  <c r="BE7" i="13"/>
  <c r="BB5" i="13"/>
  <c r="BB21" i="13"/>
  <c r="BE21" i="13"/>
  <c r="V5" i="7"/>
  <c r="AW5" i="13"/>
  <c r="AZ5" i="13"/>
  <c r="AY19" i="13"/>
  <c r="AW19" i="13"/>
  <c r="AZ19" i="13"/>
  <c r="AY17" i="13"/>
  <c r="AW17" i="13"/>
  <c r="AY15" i="13"/>
  <c r="AW15" i="13"/>
  <c r="AZ15" i="13"/>
  <c r="AY13" i="13"/>
  <c r="AW13" i="13"/>
  <c r="AZ13" i="13"/>
  <c r="AY11" i="13"/>
  <c r="AW11" i="13"/>
  <c r="AY9" i="13"/>
  <c r="AW9" i="13"/>
  <c r="AZ9" i="13"/>
  <c r="AY7" i="13"/>
  <c r="AW7" i="13"/>
  <c r="AZ7" i="13"/>
  <c r="M49" i="7"/>
  <c r="O50" i="7"/>
  <c r="AL5" i="13"/>
  <c r="AG5" i="13"/>
  <c r="AB5" i="13"/>
  <c r="W5" i="13"/>
  <c r="R5" i="13"/>
  <c r="M5" i="13"/>
  <c r="H5" i="13"/>
  <c r="C5" i="13"/>
  <c r="BE5" i="13"/>
  <c r="AZ17" i="13"/>
  <c r="AW21" i="13"/>
  <c r="AZ21" i="13"/>
  <c r="AY5" i="13"/>
  <c r="AZ11" i="13"/>
  <c r="AL17" i="13"/>
  <c r="AN17" i="13"/>
  <c r="AN5" i="13"/>
  <c r="AL13" i="13"/>
  <c r="AN13" i="13"/>
  <c r="AN21" i="13"/>
  <c r="AQ21" i="13"/>
  <c r="CB19" i="13"/>
  <c r="BZ19" i="13"/>
  <c r="AS21" i="13"/>
  <c r="AT19" i="13"/>
  <c r="AR19" i="13"/>
  <c r="AU19" i="13"/>
  <c r="AT17" i="13"/>
  <c r="AR17" i="13"/>
  <c r="AT15" i="13"/>
  <c r="AR15" i="13"/>
  <c r="AU15" i="13"/>
  <c r="AT13" i="13"/>
  <c r="AR13" i="13"/>
  <c r="AU13" i="13"/>
  <c r="AT11" i="13"/>
  <c r="AR11" i="13"/>
  <c r="AT9" i="13"/>
  <c r="AR9" i="13"/>
  <c r="AU9" i="13"/>
  <c r="AT7" i="13"/>
  <c r="AR7" i="13"/>
  <c r="AU7" i="13"/>
  <c r="AT5" i="13"/>
  <c r="AR5" i="13"/>
  <c r="AL21" i="13"/>
  <c r="AO21" i="13"/>
  <c r="AO19" i="13"/>
  <c r="AM19" i="13"/>
  <c r="AP19" i="13"/>
  <c r="AO17" i="13"/>
  <c r="AM17" i="13"/>
  <c r="AP17" i="13"/>
  <c r="AO15" i="13"/>
  <c r="AM15" i="13"/>
  <c r="AP15" i="13"/>
  <c r="AO13" i="13"/>
  <c r="AM13" i="13"/>
  <c r="AO11" i="13"/>
  <c r="AM11" i="13"/>
  <c r="AP11" i="13"/>
  <c r="AO9" i="13"/>
  <c r="AM9" i="13"/>
  <c r="AP9" i="13"/>
  <c r="AO7" i="13"/>
  <c r="AO5" i="13"/>
  <c r="H49" i="7"/>
  <c r="F49" i="7"/>
  <c r="G49" i="7"/>
  <c r="F50" i="7"/>
  <c r="G50" i="7"/>
  <c r="H50" i="7"/>
  <c r="J50" i="7"/>
  <c r="K50" i="7"/>
  <c r="L50" i="7"/>
  <c r="AT21" i="13"/>
  <c r="AU5" i="13"/>
  <c r="AP13" i="13"/>
  <c r="AR21" i="13"/>
  <c r="AU21" i="13"/>
  <c r="AU17" i="13"/>
  <c r="AU11" i="13"/>
  <c r="AM5" i="13"/>
  <c r="AM7" i="13"/>
  <c r="L49" i="7"/>
  <c r="I49" i="7"/>
  <c r="AG7" i="13"/>
  <c r="AJ7" i="13"/>
  <c r="AJ19" i="13"/>
  <c r="AH19" i="13"/>
  <c r="AK19" i="13"/>
  <c r="AJ17" i="13"/>
  <c r="AH17" i="13"/>
  <c r="AK17" i="13"/>
  <c r="AJ15" i="13"/>
  <c r="AH15" i="13"/>
  <c r="AK15" i="13"/>
  <c r="AJ13" i="13"/>
  <c r="AH13" i="13"/>
  <c r="AK13" i="13"/>
  <c r="AJ11" i="13"/>
  <c r="AH11" i="13"/>
  <c r="AK11" i="13"/>
  <c r="AJ9" i="13"/>
  <c r="AH9" i="13"/>
  <c r="AK9" i="13"/>
  <c r="AP7" i="13"/>
  <c r="AP5" i="13"/>
  <c r="AM21" i="13"/>
  <c r="AP21" i="13"/>
  <c r="AH5" i="13"/>
  <c r="AG21" i="13"/>
  <c r="AH7" i="13"/>
  <c r="AK7" i="13"/>
  <c r="AH21" i="13"/>
  <c r="AD21" i="13"/>
  <c r="AB21" i="13"/>
  <c r="AE19" i="13"/>
  <c r="AC19" i="13"/>
  <c r="AF19" i="13"/>
  <c r="AE17" i="13"/>
  <c r="AC17" i="13"/>
  <c r="AF17" i="13"/>
  <c r="AE15" i="13"/>
  <c r="AC15" i="13"/>
  <c r="AF15" i="13"/>
  <c r="AE13" i="13"/>
  <c r="AC13" i="13"/>
  <c r="AF13" i="13"/>
  <c r="AE11" i="13"/>
  <c r="AC11" i="13"/>
  <c r="AF11" i="13"/>
  <c r="AE9" i="13"/>
  <c r="AC9" i="13"/>
  <c r="AF9" i="13"/>
  <c r="AE7" i="13"/>
  <c r="AC7" i="13"/>
  <c r="AF7" i="13"/>
  <c r="AE5" i="13"/>
  <c r="AC5" i="13"/>
  <c r="AF5" i="13"/>
  <c r="Y21" i="13"/>
  <c r="Z19" i="13"/>
  <c r="X19" i="13"/>
  <c r="AA19" i="13"/>
  <c r="Z17" i="13"/>
  <c r="X17" i="13"/>
  <c r="Z15" i="13"/>
  <c r="X15" i="13"/>
  <c r="AA15" i="13"/>
  <c r="Z13" i="13"/>
  <c r="X13" i="13"/>
  <c r="AA13" i="13"/>
  <c r="Z11" i="13"/>
  <c r="X11" i="13"/>
  <c r="AA11" i="13"/>
  <c r="Z9" i="13"/>
  <c r="X9" i="13"/>
  <c r="AA9" i="13"/>
  <c r="W21" i="13"/>
  <c r="Z5" i="13"/>
  <c r="AE21" i="13"/>
  <c r="Z21" i="13"/>
  <c r="AC21" i="13"/>
  <c r="AF21" i="13"/>
  <c r="X5" i="13"/>
  <c r="X7" i="13"/>
  <c r="Z7" i="13"/>
  <c r="AA17" i="13"/>
  <c r="X21" i="13"/>
  <c r="AA21" i="13"/>
  <c r="AA7" i="13"/>
  <c r="AA5" i="13"/>
  <c r="R7" i="13"/>
  <c r="T5" i="13"/>
  <c r="T21" i="13"/>
  <c r="U19" i="13"/>
  <c r="S19" i="13"/>
  <c r="V19" i="13"/>
  <c r="U17" i="13"/>
  <c r="S17" i="13"/>
  <c r="V17" i="13"/>
  <c r="U15" i="13"/>
  <c r="S15" i="13"/>
  <c r="V15" i="13"/>
  <c r="U13" i="13"/>
  <c r="S13" i="13"/>
  <c r="V13" i="13"/>
  <c r="U11" i="13"/>
  <c r="S11" i="13"/>
  <c r="V11" i="13"/>
  <c r="U9" i="13"/>
  <c r="S9" i="13"/>
  <c r="V9" i="13"/>
  <c r="U7" i="13"/>
  <c r="S7" i="13"/>
  <c r="V7" i="13"/>
  <c r="O21" i="13"/>
  <c r="M21" i="13"/>
  <c r="P21" i="13"/>
  <c r="P19" i="13"/>
  <c r="N19" i="13"/>
  <c r="Q19" i="13"/>
  <c r="P17" i="13"/>
  <c r="N17" i="13"/>
  <c r="P15" i="13"/>
  <c r="N15" i="13"/>
  <c r="Q15" i="13"/>
  <c r="P13" i="13"/>
  <c r="N13" i="13"/>
  <c r="Q13" i="13"/>
  <c r="P11" i="13"/>
  <c r="N11" i="13"/>
  <c r="Q11" i="13"/>
  <c r="P9" i="13"/>
  <c r="N9" i="13"/>
  <c r="Q9" i="13"/>
  <c r="P7" i="13"/>
  <c r="N7" i="13"/>
  <c r="Q7" i="13"/>
  <c r="Q17" i="13"/>
  <c r="P5" i="13"/>
  <c r="N5" i="13"/>
  <c r="N21" i="13"/>
  <c r="Q21" i="13"/>
  <c r="Q5" i="13"/>
  <c r="H21" i="13"/>
  <c r="J5" i="13"/>
  <c r="J21" i="13"/>
  <c r="K19" i="13"/>
  <c r="I19" i="13"/>
  <c r="L19" i="13"/>
  <c r="K17" i="13"/>
  <c r="I17" i="13"/>
  <c r="L17" i="13"/>
  <c r="K15" i="13"/>
  <c r="I15" i="13"/>
  <c r="L15" i="13"/>
  <c r="K13" i="13"/>
  <c r="I13" i="13"/>
  <c r="L13" i="13"/>
  <c r="K11" i="13"/>
  <c r="I11" i="13"/>
  <c r="K9" i="13"/>
  <c r="I9" i="13"/>
  <c r="L9" i="13"/>
  <c r="K7" i="13"/>
  <c r="I7" i="13"/>
  <c r="L7" i="13"/>
  <c r="C7" i="13"/>
  <c r="E7" i="13"/>
  <c r="CB21" i="13"/>
  <c r="BZ21" i="13"/>
  <c r="K21" i="13"/>
  <c r="K5" i="13"/>
  <c r="L11" i="13"/>
  <c r="I5" i="13"/>
  <c r="CC21" i="13"/>
  <c r="L5" i="13"/>
  <c r="I21" i="13"/>
  <c r="L21" i="13"/>
  <c r="F7" i="13"/>
  <c r="D5" i="13"/>
  <c r="F19" i="13"/>
  <c r="F17" i="13"/>
  <c r="F15" i="13"/>
  <c r="F13" i="13"/>
  <c r="F11" i="13"/>
  <c r="F9" i="13"/>
  <c r="D19" i="13"/>
  <c r="D17" i="13"/>
  <c r="D15" i="13"/>
  <c r="D13" i="13"/>
  <c r="D11" i="13"/>
  <c r="D9" i="13"/>
  <c r="CA19" i="13"/>
  <c r="D7" i="13"/>
  <c r="F5" i="13"/>
  <c r="E21" i="13"/>
  <c r="C21" i="13"/>
  <c r="F21" i="13"/>
  <c r="CC17" i="13"/>
  <c r="CC15" i="13"/>
  <c r="CC13" i="13"/>
  <c r="CC11" i="13"/>
  <c r="CC7" i="13"/>
  <c r="CC9" i="13"/>
  <c r="CC19" i="13"/>
  <c r="CD7" i="13"/>
  <c r="CD11" i="13"/>
  <c r="G11" i="13"/>
  <c r="G7" i="13"/>
  <c r="CD9" i="13"/>
  <c r="G9" i="13"/>
  <c r="G5" i="13"/>
  <c r="E28" i="7"/>
  <c r="G15" i="13"/>
  <c r="CD15" i="13"/>
  <c r="G13" i="13"/>
  <c r="CD13" i="13"/>
  <c r="H6" i="12"/>
  <c r="CD19" i="13"/>
  <c r="G19" i="13"/>
  <c r="CD17" i="13"/>
  <c r="D21" i="13"/>
  <c r="G21" i="13"/>
  <c r="G17" i="13"/>
  <c r="G37" i="12"/>
  <c r="D36" i="12"/>
  <c r="E36" i="12"/>
  <c r="F36" i="12"/>
  <c r="G36" i="12"/>
  <c r="H1" i="7"/>
  <c r="D34" i="7"/>
  <c r="D33" i="7" s="1"/>
  <c r="E34" i="7"/>
  <c r="E33" i="7" s="1"/>
  <c r="AE39" i="7"/>
  <c r="AF39" i="7"/>
  <c r="AH39" i="7"/>
  <c r="D8" i="2"/>
  <c r="E8" i="2"/>
  <c r="E41" i="2" s="1"/>
  <c r="F8" i="2"/>
  <c r="F41" i="2" s="1"/>
  <c r="G8" i="2"/>
  <c r="H8" i="2"/>
  <c r="I8" i="2"/>
  <c r="J8" i="2"/>
  <c r="K8" i="2"/>
  <c r="L8" i="2"/>
  <c r="M8" i="2"/>
  <c r="N8" i="2"/>
  <c r="O8" i="2"/>
  <c r="AH5" i="7"/>
  <c r="AG5" i="7"/>
  <c r="AF5" i="7"/>
  <c r="AC20" i="7"/>
  <c r="E49" i="7"/>
  <c r="E50" i="7"/>
  <c r="AD5" i="7"/>
  <c r="AC5" i="7"/>
  <c r="AE5" i="7"/>
  <c r="R30" i="7"/>
  <c r="D27" i="7"/>
  <c r="D26" i="7"/>
  <c r="E24" i="2"/>
  <c r="AG39" i="7"/>
  <c r="AD39" i="7"/>
  <c r="AC39" i="7"/>
  <c r="Y39" i="7"/>
  <c r="Z39" i="7"/>
  <c r="AA39" i="7"/>
  <c r="AB39" i="7"/>
  <c r="T39" i="7"/>
  <c r="U39" i="7"/>
  <c r="V39" i="7"/>
  <c r="W39" i="7"/>
  <c r="X39" i="7"/>
  <c r="J39" i="7"/>
  <c r="K39" i="7"/>
  <c r="L39" i="7"/>
  <c r="M39" i="7"/>
  <c r="N39" i="7"/>
  <c r="O39" i="7"/>
  <c r="P39" i="7"/>
  <c r="Q39" i="7"/>
  <c r="R39" i="7"/>
  <c r="S39" i="7"/>
  <c r="D16" i="10"/>
  <c r="D17" i="10" s="1"/>
  <c r="E17" i="10" s="1"/>
  <c r="AI21" i="7"/>
  <c r="AI25" i="7"/>
  <c r="AL5" i="7" s="1"/>
  <c r="E33" i="2"/>
  <c r="BC8" i="10"/>
  <c r="K24" i="2"/>
  <c r="K31" i="2" s="1"/>
  <c r="K40" i="2" s="1"/>
  <c r="K48" i="2" s="1"/>
  <c r="AI10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D3" i="7" s="1"/>
  <c r="AD20" i="7"/>
  <c r="E26" i="7"/>
  <c r="E27" i="7"/>
  <c r="E36" i="7"/>
  <c r="D28" i="7"/>
  <c r="O15" i="7"/>
  <c r="AI23" i="7"/>
  <c r="D28" i="2" s="1"/>
  <c r="D35" i="2" s="1"/>
  <c r="E35" i="2"/>
  <c r="F35" i="2"/>
  <c r="G24" i="10"/>
  <c r="AS23" i="10"/>
  <c r="K23" i="10"/>
  <c r="L23" i="10"/>
  <c r="D23" i="10"/>
  <c r="AZ23" i="10"/>
  <c r="BA23" i="10"/>
  <c r="BB23" i="10"/>
  <c r="BC23" i="10"/>
  <c r="AV23" i="10"/>
  <c r="AT23" i="10"/>
  <c r="AU23" i="10"/>
  <c r="AN23" i="10"/>
  <c r="AO23" i="10"/>
  <c r="AP23" i="10"/>
  <c r="AH23" i="10"/>
  <c r="AI23" i="10"/>
  <c r="AD23" i="10"/>
  <c r="AE23" i="10"/>
  <c r="AF23" i="10"/>
  <c r="AG23" i="10"/>
  <c r="V23" i="10"/>
  <c r="Y23" i="10"/>
  <c r="Q23" i="10"/>
  <c r="R23" i="10"/>
  <c r="S23" i="10"/>
  <c r="T23" i="10"/>
  <c r="J22" i="10"/>
  <c r="K22" i="10"/>
  <c r="F23" i="10"/>
  <c r="P14" i="2"/>
  <c r="U23" i="10"/>
  <c r="M23" i="10"/>
  <c r="W23" i="10"/>
  <c r="AW23" i="10"/>
  <c r="J23" i="10"/>
  <c r="AR23" i="10"/>
  <c r="AC23" i="10"/>
  <c r="AQ23" i="10"/>
  <c r="I23" i="10"/>
  <c r="G23" i="10"/>
  <c r="P23" i="10"/>
  <c r="AB23" i="10"/>
  <c r="AL23" i="10"/>
  <c r="O23" i="10"/>
  <c r="AA23" i="10"/>
  <c r="AK23" i="10"/>
  <c r="AM23" i="10"/>
  <c r="AY23" i="10"/>
  <c r="E23" i="10"/>
  <c r="N23" i="10"/>
  <c r="X23" i="10"/>
  <c r="Z23" i="10"/>
  <c r="AJ23" i="10"/>
  <c r="AX23" i="10"/>
  <c r="I22" i="10"/>
  <c r="N15" i="7"/>
  <c r="M15" i="7"/>
  <c r="L15" i="7"/>
  <c r="N24" i="2"/>
  <c r="N31" i="2" s="1"/>
  <c r="N40" i="2" s="1"/>
  <c r="N48" i="2" s="1"/>
  <c r="R15" i="7"/>
  <c r="M1" i="7"/>
  <c r="L1" i="7"/>
  <c r="K1" i="7"/>
  <c r="J1" i="7"/>
  <c r="I1" i="7"/>
  <c r="G1" i="7"/>
  <c r="F1" i="7"/>
  <c r="E1" i="7"/>
  <c r="D1" i="7"/>
  <c r="N1" i="7"/>
  <c r="AF20" i="7"/>
  <c r="AG20" i="7"/>
  <c r="AF15" i="7"/>
  <c r="AG15" i="7"/>
  <c r="AH15" i="7"/>
  <c r="AH30" i="7"/>
  <c r="AE30" i="7"/>
  <c r="P20" i="7"/>
  <c r="P15" i="7"/>
  <c r="N20" i="7"/>
  <c r="O20" i="7"/>
  <c r="I39" i="7"/>
  <c r="H30" i="7"/>
  <c r="I30" i="7"/>
  <c r="J30" i="7"/>
  <c r="K30" i="7"/>
  <c r="L30" i="7"/>
  <c r="M30" i="7"/>
  <c r="N30" i="7"/>
  <c r="O30" i="7"/>
  <c r="P30" i="7"/>
  <c r="Q30" i="7"/>
  <c r="S30" i="7"/>
  <c r="T30" i="7"/>
  <c r="U30" i="7"/>
  <c r="V30" i="7"/>
  <c r="X30" i="7"/>
  <c r="Y30" i="7"/>
  <c r="Z30" i="7"/>
  <c r="AA30" i="7"/>
  <c r="AB30" i="7"/>
  <c r="AC30" i="7"/>
  <c r="AD30" i="7"/>
  <c r="AF30" i="7"/>
  <c r="AG30" i="7"/>
  <c r="H20" i="7"/>
  <c r="I20" i="7"/>
  <c r="J20" i="7"/>
  <c r="K20" i="7"/>
  <c r="L20" i="7"/>
  <c r="M20" i="7"/>
  <c r="Q20" i="7"/>
  <c r="R20" i="7"/>
  <c r="S20" i="7"/>
  <c r="T20" i="7"/>
  <c r="U20" i="7"/>
  <c r="V20" i="7"/>
  <c r="W20" i="7"/>
  <c r="X20" i="7"/>
  <c r="Z20" i="7"/>
  <c r="AB20" i="7"/>
  <c r="AE20" i="7"/>
  <c r="H15" i="7"/>
  <c r="I15" i="7"/>
  <c r="J15" i="7"/>
  <c r="K15" i="7"/>
  <c r="Q15" i="7"/>
  <c r="S15" i="7"/>
  <c r="T15" i="7"/>
  <c r="U15" i="7"/>
  <c r="V15" i="7"/>
  <c r="W15" i="7"/>
  <c r="X15" i="7"/>
  <c r="Y15" i="7"/>
  <c r="Z15" i="7"/>
  <c r="AA15" i="7"/>
  <c r="AC15" i="7"/>
  <c r="AD15" i="7"/>
  <c r="AE15" i="7"/>
  <c r="H5" i="7"/>
  <c r="I5" i="7"/>
  <c r="J5" i="7"/>
  <c r="K5" i="7"/>
  <c r="L5" i="7"/>
  <c r="M5" i="7"/>
  <c r="O5" i="7"/>
  <c r="P5" i="7"/>
  <c r="Q5" i="7"/>
  <c r="R5" i="7"/>
  <c r="AA5" i="7"/>
  <c r="AB5" i="7"/>
  <c r="G30" i="7"/>
  <c r="G20" i="7"/>
  <c r="E15" i="7"/>
  <c r="F15" i="7"/>
  <c r="G15" i="7"/>
  <c r="E5" i="7"/>
  <c r="F5" i="7"/>
  <c r="G5" i="7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AP24" i="10"/>
  <c r="F30" i="7"/>
  <c r="D36" i="7"/>
  <c r="E20" i="7"/>
  <c r="F20" i="7"/>
  <c r="AI50" i="7"/>
  <c r="AI49" i="7"/>
  <c r="D30" i="7"/>
  <c r="E30" i="7"/>
  <c r="E42" i="12"/>
  <c r="E40" i="12"/>
  <c r="E35" i="12"/>
  <c r="D35" i="12"/>
  <c r="E34" i="12"/>
  <c r="D34" i="12"/>
  <c r="E22" i="10"/>
  <c r="F22" i="10"/>
  <c r="G22" i="10"/>
  <c r="H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D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D21" i="10"/>
  <c r="BB16" i="10"/>
  <c r="AP16" i="10"/>
  <c r="BC16" i="10"/>
  <c r="BA16" i="10"/>
  <c r="AZ16" i="10"/>
  <c r="AV16" i="10"/>
  <c r="AY16" i="10"/>
  <c r="AX16" i="10"/>
  <c r="AW16" i="10"/>
  <c r="AU16" i="10"/>
  <c r="AR16" i="10"/>
  <c r="AT16" i="10"/>
  <c r="AS16" i="10"/>
  <c r="AQ16" i="10"/>
  <c r="BA8" i="10"/>
  <c r="AW8" i="10"/>
  <c r="AS8" i="10"/>
  <c r="AT8" i="10"/>
  <c r="AP8" i="10"/>
  <c r="BB8" i="10"/>
  <c r="AZ8" i="10"/>
  <c r="AY8" i="10"/>
  <c r="AX8" i="10"/>
  <c r="AV8" i="10"/>
  <c r="AU8" i="10"/>
  <c r="AR8" i="10"/>
  <c r="AQ8" i="10"/>
  <c r="D7" i="9"/>
  <c r="P5" i="2"/>
  <c r="P7" i="2"/>
  <c r="AO24" i="10"/>
  <c r="AO16" i="10"/>
  <c r="AO8" i="10"/>
  <c r="G10" i="12"/>
  <c r="H10" i="12"/>
  <c r="I10" i="12"/>
  <c r="J10" i="12"/>
  <c r="K10" i="12"/>
  <c r="B1" i="12"/>
  <c r="B2" i="12" s="1"/>
  <c r="AN16" i="10"/>
  <c r="AN8" i="10"/>
  <c r="AM8" i="10"/>
  <c r="E50" i="2"/>
  <c r="F50" i="2"/>
  <c r="O43" i="2"/>
  <c r="AN24" i="10"/>
  <c r="AM24" i="10"/>
  <c r="AM16" i="10"/>
  <c r="AL16" i="10"/>
  <c r="AL8" i="10"/>
  <c r="AL24" i="10"/>
  <c r="AK16" i="10"/>
  <c r="AK8" i="10"/>
  <c r="AK24" i="10"/>
  <c r="C15" i="7"/>
  <c r="AJ24" i="10"/>
  <c r="AJ16" i="10"/>
  <c r="AJ8" i="10"/>
  <c r="AI16" i="10"/>
  <c r="AI8" i="10"/>
  <c r="AI24" i="10"/>
  <c r="AH16" i="10"/>
  <c r="N42" i="2"/>
  <c r="L43" i="2"/>
  <c r="M43" i="2"/>
  <c r="N43" i="2"/>
  <c r="AG16" i="10"/>
  <c r="AH24" i="10"/>
  <c r="AH8" i="10"/>
  <c r="AG8" i="10"/>
  <c r="AG24" i="10"/>
  <c r="C46" i="7"/>
  <c r="C45" i="7"/>
  <c r="AF16" i="10"/>
  <c r="AF8" i="10"/>
  <c r="AF24" i="10"/>
  <c r="P1" i="7"/>
  <c r="O1" i="7"/>
  <c r="AE16" i="10"/>
  <c r="AE8" i="10"/>
  <c r="AE24" i="10"/>
  <c r="AD16" i="10"/>
  <c r="AD8" i="10"/>
  <c r="AD24" i="10"/>
  <c r="E43" i="2"/>
  <c r="F43" i="2"/>
  <c r="D43" i="2"/>
  <c r="B1" i="2"/>
  <c r="C36" i="2" s="1"/>
  <c r="AC24" i="10"/>
  <c r="AC16" i="10"/>
  <c r="AC8" i="10"/>
  <c r="AB24" i="10"/>
  <c r="AB16" i="10"/>
  <c r="AB8" i="10"/>
  <c r="AA16" i="10"/>
  <c r="AA8" i="10"/>
  <c r="Z24" i="10"/>
  <c r="Z16" i="10"/>
  <c r="Z8" i="10"/>
  <c r="Y24" i="10"/>
  <c r="Y16" i="10"/>
  <c r="X16" i="10"/>
  <c r="H25" i="12"/>
  <c r="H32" i="12"/>
  <c r="I25" i="12"/>
  <c r="I32" i="12" s="1"/>
  <c r="J25" i="12"/>
  <c r="J32" i="12"/>
  <c r="K25" i="12"/>
  <c r="K32" i="12"/>
  <c r="G25" i="12"/>
  <c r="G32" i="12"/>
  <c r="E41" i="12"/>
  <c r="D15" i="12"/>
  <c r="E15" i="12"/>
  <c r="E24" i="9"/>
  <c r="E31" i="9"/>
  <c r="E31" i="2"/>
  <c r="E40" i="2" s="1"/>
  <c r="E48" i="2" s="1"/>
  <c r="F24" i="2"/>
  <c r="F31" i="2"/>
  <c r="F40" i="2"/>
  <c r="F48" i="2"/>
  <c r="G24" i="2"/>
  <c r="G31" i="2" s="1"/>
  <c r="G40" i="2" s="1"/>
  <c r="G48" i="2" s="1"/>
  <c r="H24" i="2"/>
  <c r="H31" i="2" s="1"/>
  <c r="H40" i="2" s="1"/>
  <c r="H48" i="2" s="1"/>
  <c r="I31" i="2"/>
  <c r="I40" i="2" s="1"/>
  <c r="I48" i="2" s="1"/>
  <c r="J24" i="2"/>
  <c r="J31" i="2" s="1"/>
  <c r="J40" i="2" s="1"/>
  <c r="J48" i="2" s="1"/>
  <c r="L24" i="2"/>
  <c r="L31" i="2" s="1"/>
  <c r="L40" i="2" s="1"/>
  <c r="L48" i="2" s="1"/>
  <c r="M24" i="2"/>
  <c r="M31" i="2" s="1"/>
  <c r="M40" i="2" s="1"/>
  <c r="M48" i="2" s="1"/>
  <c r="O24" i="2"/>
  <c r="O31" i="2" s="1"/>
  <c r="O40" i="2" s="1"/>
  <c r="O48" i="2" s="1"/>
  <c r="D24" i="2"/>
  <c r="D31" i="2"/>
  <c r="D40" i="2"/>
  <c r="D48" i="2"/>
  <c r="E10" i="2"/>
  <c r="F10" i="2"/>
  <c r="G10" i="2"/>
  <c r="H10" i="2"/>
  <c r="I10" i="2"/>
  <c r="J10" i="2"/>
  <c r="K10" i="2"/>
  <c r="L10" i="2"/>
  <c r="M10" i="2"/>
  <c r="N10" i="2"/>
  <c r="O10" i="2"/>
  <c r="D10" i="2"/>
  <c r="D10" i="12"/>
  <c r="D18" i="12"/>
  <c r="D25" i="12"/>
  <c r="D32" i="12"/>
  <c r="E10" i="12"/>
  <c r="E18" i="12"/>
  <c r="E25" i="12"/>
  <c r="E32" i="12"/>
  <c r="F10" i="12"/>
  <c r="F25" i="12"/>
  <c r="F32" i="12"/>
  <c r="E30" i="12"/>
  <c r="D30" i="12"/>
  <c r="AA24" i="10"/>
  <c r="X24" i="10"/>
  <c r="X8" i="10"/>
  <c r="W24" i="10"/>
  <c r="W16" i="10"/>
  <c r="E8" i="12"/>
  <c r="D8" i="12"/>
  <c r="D23" i="12"/>
  <c r="E23" i="12"/>
  <c r="V24" i="10"/>
  <c r="V16" i="10"/>
  <c r="H24" i="10"/>
  <c r="H23" i="10"/>
  <c r="E39" i="12"/>
  <c r="E37" i="12"/>
  <c r="D37" i="12"/>
  <c r="X11" i="10"/>
  <c r="X19" i="10" s="1"/>
  <c r="Y11" i="10"/>
  <c r="Y19" i="10"/>
  <c r="Z11" i="10"/>
  <c r="Z19" i="10" s="1"/>
  <c r="AA11" i="10"/>
  <c r="AA19" i="10" s="1"/>
  <c r="AB11" i="10"/>
  <c r="AB19" i="10"/>
  <c r="AC11" i="10"/>
  <c r="AC19" i="10"/>
  <c r="AD11" i="10"/>
  <c r="AD19" i="10"/>
  <c r="AE11" i="10"/>
  <c r="AE19" i="10" s="1"/>
  <c r="AF11" i="10"/>
  <c r="AF19" i="10"/>
  <c r="AG11" i="10"/>
  <c r="AG19" i="10" s="1"/>
  <c r="AH11" i="10"/>
  <c r="AH19" i="10" s="1"/>
  <c r="AI11" i="10"/>
  <c r="AI19" i="10" s="1"/>
  <c r="AJ11" i="10"/>
  <c r="AJ19" i="10"/>
  <c r="AK11" i="10"/>
  <c r="AK19" i="10" s="1"/>
  <c r="AL11" i="10"/>
  <c r="AL19" i="10"/>
  <c r="AM11" i="10"/>
  <c r="AM19" i="10" s="1"/>
  <c r="AN11" i="10"/>
  <c r="AN19" i="10" s="1"/>
  <c r="AO11" i="10"/>
  <c r="AO19" i="10"/>
  <c r="AP11" i="10"/>
  <c r="AP19" i="10" s="1"/>
  <c r="AQ11" i="10"/>
  <c r="AQ19" i="10" s="1"/>
  <c r="AR11" i="10"/>
  <c r="AR19" i="10" s="1"/>
  <c r="AS11" i="10"/>
  <c r="AS19" i="10" s="1"/>
  <c r="AT11" i="10"/>
  <c r="AT19" i="10"/>
  <c r="AU11" i="10"/>
  <c r="AU19" i="10" s="1"/>
  <c r="AV11" i="10"/>
  <c r="AV19" i="10" s="1"/>
  <c r="AW11" i="10"/>
  <c r="AW19" i="10" s="1"/>
  <c r="AX11" i="10"/>
  <c r="AX19" i="10" s="1"/>
  <c r="AY11" i="10"/>
  <c r="AY19" i="10" s="1"/>
  <c r="AZ11" i="10"/>
  <c r="AZ19" i="10" s="1"/>
  <c r="BA11" i="10"/>
  <c r="BA19" i="10" s="1"/>
  <c r="BC11" i="10"/>
  <c r="BC19" i="10"/>
  <c r="U11" i="10"/>
  <c r="U19" i="10" s="1"/>
  <c r="V11" i="10"/>
  <c r="V19" i="10" s="1"/>
  <c r="W11" i="10"/>
  <c r="W19" i="10"/>
  <c r="U24" i="10"/>
  <c r="U16" i="10"/>
  <c r="T16" i="10"/>
  <c r="S8" i="10"/>
  <c r="T8" i="10"/>
  <c r="U8" i="10"/>
  <c r="V8" i="10"/>
  <c r="W8" i="10"/>
  <c r="Y8" i="10"/>
  <c r="R8" i="10"/>
  <c r="Q8" i="10"/>
  <c r="P24" i="10"/>
  <c r="Q24" i="10"/>
  <c r="R24" i="10"/>
  <c r="S24" i="10"/>
  <c r="T24" i="10"/>
  <c r="Q11" i="10"/>
  <c r="Q19" i="10" s="1"/>
  <c r="R11" i="10"/>
  <c r="R19" i="10" s="1"/>
  <c r="S11" i="10"/>
  <c r="S19" i="10"/>
  <c r="T11" i="10"/>
  <c r="T19" i="10"/>
  <c r="P16" i="10"/>
  <c r="Q16" i="10"/>
  <c r="R16" i="10"/>
  <c r="S16" i="10"/>
  <c r="P8" i="10"/>
  <c r="C13" i="10"/>
  <c r="C21" i="10"/>
  <c r="B1" i="10"/>
  <c r="C10" i="10" s="1"/>
  <c r="D11" i="10"/>
  <c r="D19" i="10"/>
  <c r="E11" i="10"/>
  <c r="E19" i="10"/>
  <c r="F11" i="10"/>
  <c r="F19" i="10"/>
  <c r="G11" i="10"/>
  <c r="G19" i="10"/>
  <c r="H11" i="10"/>
  <c r="H19" i="10" s="1"/>
  <c r="I11" i="10"/>
  <c r="I19" i="10"/>
  <c r="J11" i="10"/>
  <c r="J19" i="10" s="1"/>
  <c r="K11" i="10"/>
  <c r="K19" i="10"/>
  <c r="L11" i="10"/>
  <c r="L19" i="10" s="1"/>
  <c r="M11" i="10"/>
  <c r="M19" i="10" s="1"/>
  <c r="N11" i="10"/>
  <c r="N19" i="10"/>
  <c r="O11" i="10"/>
  <c r="O19" i="10"/>
  <c r="N24" i="10"/>
  <c r="M24" i="10"/>
  <c r="L24" i="10"/>
  <c r="K24" i="10"/>
  <c r="J24" i="10"/>
  <c r="I24" i="10"/>
  <c r="F24" i="10"/>
  <c r="E24" i="10"/>
  <c r="D24" i="10"/>
  <c r="N16" i="10"/>
  <c r="M16" i="10"/>
  <c r="L16" i="10"/>
  <c r="K16" i="10"/>
  <c r="J16" i="10"/>
  <c r="I16" i="10"/>
  <c r="H16" i="10"/>
  <c r="G16" i="10"/>
  <c r="F16" i="10"/>
  <c r="E16" i="10"/>
  <c r="N8" i="10"/>
  <c r="M8" i="10"/>
  <c r="L8" i="10"/>
  <c r="K8" i="10"/>
  <c r="J8" i="10"/>
  <c r="I8" i="10"/>
  <c r="H8" i="10"/>
  <c r="G8" i="10"/>
  <c r="BD8" i="10" s="1"/>
  <c r="F8" i="10"/>
  <c r="E8" i="10"/>
  <c r="D8" i="10"/>
  <c r="O16" i="10"/>
  <c r="O24" i="10"/>
  <c r="O8" i="10"/>
  <c r="C47" i="9"/>
  <c r="C48" i="9"/>
  <c r="C46" i="9"/>
  <c r="F46" i="2"/>
  <c r="E46" i="2"/>
  <c r="D46" i="2"/>
  <c r="C45" i="2"/>
  <c r="C53" i="2"/>
  <c r="C46" i="2"/>
  <c r="C54" i="2"/>
  <c r="G20" i="9"/>
  <c r="G21" i="9"/>
  <c r="D20" i="9"/>
  <c r="D21" i="9"/>
  <c r="G12" i="9"/>
  <c r="G13" i="9"/>
  <c r="G14" i="9"/>
  <c r="H14" i="9" s="1"/>
  <c r="J14" i="12" s="1"/>
  <c r="F12" i="9"/>
  <c r="F13" i="9"/>
  <c r="F15" i="9" s="1"/>
  <c r="F14" i="9"/>
  <c r="E12" i="9"/>
  <c r="E13" i="9"/>
  <c r="E14" i="9"/>
  <c r="D12" i="9"/>
  <c r="H12" i="9" s="1"/>
  <c r="D13" i="9"/>
  <c r="D14" i="9"/>
  <c r="G5" i="9"/>
  <c r="G6" i="9"/>
  <c r="G7" i="9"/>
  <c r="F7" i="9"/>
  <c r="H7" i="9" s="1"/>
  <c r="J7" i="12" s="1"/>
  <c r="F5" i="9"/>
  <c r="F6" i="9"/>
  <c r="E5" i="9"/>
  <c r="E6" i="9"/>
  <c r="E7" i="9"/>
  <c r="D5" i="9"/>
  <c r="D6" i="9"/>
  <c r="F24" i="9"/>
  <c r="F31" i="9"/>
  <c r="G24" i="9"/>
  <c r="G31" i="9"/>
  <c r="D24" i="9"/>
  <c r="D31" i="9"/>
  <c r="E10" i="9"/>
  <c r="F10" i="9"/>
  <c r="G10" i="9"/>
  <c r="D10" i="9"/>
  <c r="H17" i="9"/>
  <c r="AS10" i="7"/>
  <c r="AT10" i="7" s="1"/>
  <c r="AU10" i="7" s="1"/>
  <c r="C36" i="7"/>
  <c r="D42" i="9"/>
  <c r="D46" i="9"/>
  <c r="F42" i="9"/>
  <c r="F46" i="9"/>
  <c r="E42" i="9"/>
  <c r="E46" i="9"/>
  <c r="H13" i="9"/>
  <c r="J13" i="12" s="1"/>
  <c r="H6" i="9"/>
  <c r="J6" i="12" s="1"/>
  <c r="G15" i="9"/>
  <c r="E15" i="9"/>
  <c r="D8" i="9"/>
  <c r="D39" i="9" s="1"/>
  <c r="H15" i="12"/>
  <c r="I15" i="12"/>
  <c r="I8" i="12"/>
  <c r="H8" i="12"/>
  <c r="G30" i="12"/>
  <c r="G42" i="12"/>
  <c r="G35" i="12"/>
  <c r="G8" i="12"/>
  <c r="G15" i="12"/>
  <c r="F8" i="12"/>
  <c r="F34" i="12"/>
  <c r="F15" i="12"/>
  <c r="F30" i="12"/>
  <c r="F41" i="12"/>
  <c r="F35" i="12"/>
  <c r="F40" i="12"/>
  <c r="F42" i="12"/>
  <c r="F23" i="12"/>
  <c r="D52" i="7"/>
  <c r="E52" i="7" s="1"/>
  <c r="F52" i="7" s="1"/>
  <c r="G52" i="7" s="1"/>
  <c r="H52" i="7" s="1"/>
  <c r="I52" i="7" s="1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U52" i="7" s="1"/>
  <c r="V52" i="7" s="1"/>
  <c r="W52" i="7" s="1"/>
  <c r="X52" i="7" s="1"/>
  <c r="Y52" i="7" s="1"/>
  <c r="Z52" i="7" s="1"/>
  <c r="AA52" i="7" s="1"/>
  <c r="AB52" i="7" s="1"/>
  <c r="AC52" i="7" s="1"/>
  <c r="AD52" i="7" s="1"/>
  <c r="AE52" i="7" s="1"/>
  <c r="AF52" i="7" s="1"/>
  <c r="AG52" i="7" s="1"/>
  <c r="AH52" i="7" s="1"/>
  <c r="F39" i="12"/>
  <c r="F37" i="12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H50" i="7"/>
  <c r="AG50" i="7"/>
  <c r="AF50" i="7"/>
  <c r="B50" i="7"/>
  <c r="AH49" i="7"/>
  <c r="AG49" i="7"/>
  <c r="AF49" i="7"/>
  <c r="B49" i="7"/>
  <c r="C48" i="7"/>
  <c r="C47" i="7"/>
  <c r="C33" i="7"/>
  <c r="C30" i="7"/>
  <c r="C25" i="7"/>
  <c r="D20" i="7"/>
  <c r="C20" i="7"/>
  <c r="D15" i="7"/>
  <c r="C13" i="7"/>
  <c r="P50" i="7"/>
  <c r="D50" i="7"/>
  <c r="C12" i="7"/>
  <c r="C17" i="7" s="1"/>
  <c r="AE49" i="7"/>
  <c r="P49" i="7"/>
  <c r="O49" i="7"/>
  <c r="K49" i="7"/>
  <c r="C11" i="7"/>
  <c r="C21" i="7" s="1"/>
  <c r="C26" i="7" s="1"/>
  <c r="C10" i="7"/>
  <c r="D5" i="7"/>
  <c r="C5" i="7"/>
  <c r="C4" i="7"/>
  <c r="A4" i="7"/>
  <c r="B3" i="7"/>
  <c r="C3" i="7" s="1"/>
  <c r="B2" i="7"/>
  <c r="N50" i="7"/>
  <c r="Q50" i="7"/>
  <c r="M50" i="7"/>
  <c r="AE50" i="7"/>
  <c r="J49" i="7"/>
  <c r="V49" i="7"/>
  <c r="N49" i="7"/>
  <c r="N22" i="2"/>
  <c r="N41" i="2" s="1"/>
  <c r="O15" i="2"/>
  <c r="N15" i="2"/>
  <c r="M15" i="2"/>
  <c r="L15" i="2"/>
  <c r="K15" i="2"/>
  <c r="J15" i="2"/>
  <c r="I15" i="2"/>
  <c r="H15" i="2"/>
  <c r="G15" i="2"/>
  <c r="F15" i="2"/>
  <c r="E15" i="2"/>
  <c r="D15" i="2"/>
  <c r="P13" i="2"/>
  <c r="P15" i="2" s="1"/>
  <c r="P12" i="2"/>
  <c r="P6" i="2"/>
  <c r="P17" i="2"/>
  <c r="D9" i="2"/>
  <c r="E9" i="2" s="1"/>
  <c r="F9" i="2" s="1"/>
  <c r="G9" i="2" s="1"/>
  <c r="D39" i="2"/>
  <c r="E39" i="2" s="1"/>
  <c r="N5" i="7"/>
  <c r="AM10" i="7"/>
  <c r="AN10" i="7" s="1"/>
  <c r="AO10" i="7" s="1"/>
  <c r="M42" i="2"/>
  <c r="M22" i="2"/>
  <c r="M41" i="2" s="1"/>
  <c r="L42" i="2"/>
  <c r="L22" i="2"/>
  <c r="L41" i="2" s="1"/>
  <c r="F33" i="2"/>
  <c r="F42" i="2"/>
  <c r="F22" i="2"/>
  <c r="E42" i="2"/>
  <c r="E22" i="2"/>
  <c r="D42" i="2"/>
  <c r="E45" i="2"/>
  <c r="D45" i="2"/>
  <c r="D19" i="9"/>
  <c r="D43" i="9" s="1"/>
  <c r="F45" i="2"/>
  <c r="D22" i="2"/>
  <c r="D38" i="2" s="1"/>
  <c r="E38" i="2" s="1"/>
  <c r="F38" i="2" s="1"/>
  <c r="O42" i="2"/>
  <c r="O22" i="2"/>
  <c r="O41" i="2" s="1"/>
  <c r="G19" i="9"/>
  <c r="H23" i="12"/>
  <c r="G41" i="12"/>
  <c r="G23" i="12"/>
  <c r="G34" i="12"/>
  <c r="G39" i="12"/>
  <c r="AI22" i="7"/>
  <c r="AH20" i="7"/>
  <c r="F36" i="2"/>
  <c r="F34" i="2"/>
  <c r="F51" i="2"/>
  <c r="F29" i="2"/>
  <c r="E34" i="2"/>
  <c r="E36" i="2"/>
  <c r="E51" i="2"/>
  <c r="E29" i="2"/>
  <c r="E49" i="2"/>
  <c r="H30" i="12"/>
  <c r="H37" i="12"/>
  <c r="E39" i="7"/>
  <c r="F39" i="7"/>
  <c r="G39" i="7"/>
  <c r="H39" i="7"/>
  <c r="D39" i="7"/>
  <c r="U5" i="13"/>
  <c r="R21" i="13"/>
  <c r="U21" i="13"/>
  <c r="S5" i="13"/>
  <c r="CA21" i="13"/>
  <c r="CD21" i="13"/>
  <c r="V5" i="13"/>
  <c r="S21" i="13"/>
  <c r="V21" i="13"/>
  <c r="AJ5" i="13"/>
  <c r="AK5" i="13"/>
  <c r="AI21" i="13"/>
  <c r="AK21" i="13"/>
  <c r="AJ21" i="13"/>
  <c r="CC5" i="13"/>
  <c r="CD5" i="13"/>
  <c r="AE43" i="7" l="1"/>
  <c r="AE42" i="7" s="1"/>
  <c r="AG43" i="7"/>
  <c r="AG42" i="7" s="1"/>
  <c r="AH43" i="7"/>
  <c r="AH42" i="7" s="1"/>
  <c r="AF43" i="7"/>
  <c r="AF42" i="7" s="1"/>
  <c r="AC43" i="7"/>
  <c r="AC42" i="7" s="1"/>
  <c r="AD43" i="7"/>
  <c r="AD42" i="7" s="1"/>
  <c r="AB43" i="7"/>
  <c r="AB42" i="7" s="1"/>
  <c r="V43" i="7"/>
  <c r="V42" i="7" s="1"/>
  <c r="X43" i="7"/>
  <c r="X42" i="7" s="1"/>
  <c r="Y43" i="7"/>
  <c r="Y42" i="7" s="1"/>
  <c r="Z43" i="7"/>
  <c r="Z42" i="7" s="1"/>
  <c r="W43" i="7"/>
  <c r="W42" i="7" s="1"/>
  <c r="AA43" i="7"/>
  <c r="AA42" i="7" s="1"/>
  <c r="D28" i="9"/>
  <c r="D35" i="9" s="1"/>
  <c r="F17" i="10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D41" i="2"/>
  <c r="O34" i="2"/>
  <c r="D27" i="2"/>
  <c r="G54" i="2" s="1"/>
  <c r="O50" i="2"/>
  <c r="D26" i="2"/>
  <c r="G53" i="2" s="1"/>
  <c r="G17" i="10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D48" i="9"/>
  <c r="D47" i="9"/>
  <c r="D22" i="9"/>
  <c r="D45" i="9" s="1"/>
  <c r="P8" i="2"/>
  <c r="S10" i="10" s="1"/>
  <c r="H9" i="2"/>
  <c r="I9" i="2" s="1"/>
  <c r="J9" i="2" s="1"/>
  <c r="K9" i="2" s="1"/>
  <c r="L9" i="2" s="1"/>
  <c r="M9" i="2" s="1"/>
  <c r="N9" i="2" s="1"/>
  <c r="O9" i="2" s="1"/>
  <c r="H5" i="9"/>
  <c r="J5" i="12" s="1"/>
  <c r="D44" i="2"/>
  <c r="F8" i="9"/>
  <c r="G8" i="9"/>
  <c r="E8" i="9"/>
  <c r="E44" i="2"/>
  <c r="F39" i="2"/>
  <c r="E39" i="9"/>
  <c r="F39" i="9" s="1"/>
  <c r="G39" i="9" s="1"/>
  <c r="L10" i="10"/>
  <c r="D10" i="10"/>
  <c r="J8" i="12"/>
  <c r="P10" i="10"/>
  <c r="AZ10" i="10"/>
  <c r="AR10" i="10"/>
  <c r="D44" i="9"/>
  <c r="AS10" i="10"/>
  <c r="AH10" i="10"/>
  <c r="AG10" i="10"/>
  <c r="AV10" i="10"/>
  <c r="V10" i="10"/>
  <c r="Y10" i="10"/>
  <c r="AP10" i="10"/>
  <c r="BB10" i="10"/>
  <c r="AN10" i="10"/>
  <c r="J10" i="10"/>
  <c r="AF10" i="10"/>
  <c r="AJ10" i="10"/>
  <c r="AW10" i="10"/>
  <c r="AB10" i="10"/>
  <c r="X10" i="10"/>
  <c r="D2" i="10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AK10" i="10"/>
  <c r="Q10" i="10"/>
  <c r="H10" i="10"/>
  <c r="AM10" i="10"/>
  <c r="AQ10" i="10"/>
  <c r="AI10" i="10"/>
  <c r="AX10" i="10"/>
  <c r="I10" i="10"/>
  <c r="AL10" i="10"/>
  <c r="AE10" i="10"/>
  <c r="U10" i="10"/>
  <c r="AA10" i="10"/>
  <c r="T10" i="10"/>
  <c r="AT10" i="10"/>
  <c r="N10" i="10"/>
  <c r="W10" i="10"/>
  <c r="AY10" i="10"/>
  <c r="O10" i="10"/>
  <c r="M10" i="10"/>
  <c r="E10" i="10"/>
  <c r="Z10" i="10"/>
  <c r="AD10" i="10"/>
  <c r="BA10" i="10"/>
  <c r="AO10" i="10"/>
  <c r="AU10" i="10"/>
  <c r="R10" i="10"/>
  <c r="K10" i="10"/>
  <c r="BC10" i="10"/>
  <c r="F10" i="10"/>
  <c r="AC10" i="10"/>
  <c r="G10" i="10"/>
  <c r="H8" i="9"/>
  <c r="BD1" i="10"/>
  <c r="BD17" i="10" s="1"/>
  <c r="O1" i="10"/>
  <c r="AA1" i="10"/>
  <c r="S1" i="10"/>
  <c r="AM1" i="10"/>
  <c r="I1" i="10"/>
  <c r="E1" i="10"/>
  <c r="L1" i="10"/>
  <c r="U1" i="10"/>
  <c r="T1" i="10"/>
  <c r="Y1" i="10"/>
  <c r="AB1" i="10"/>
  <c r="AG1" i="10"/>
  <c r="AF1" i="10"/>
  <c r="AK1" i="10"/>
  <c r="J1" i="10"/>
  <c r="AR1" i="10"/>
  <c r="AS1" i="10"/>
  <c r="AZ1" i="10"/>
  <c r="V1" i="10"/>
  <c r="AQ1" i="10"/>
  <c r="AV1" i="10"/>
  <c r="BA1" i="10"/>
  <c r="AP1" i="10"/>
  <c r="M1" i="10"/>
  <c r="BB1" i="10"/>
  <c r="N1" i="10"/>
  <c r="AH1" i="10"/>
  <c r="AL1" i="10"/>
  <c r="AX1" i="10"/>
  <c r="AT1" i="10"/>
  <c r="W1" i="10"/>
  <c r="H1" i="10"/>
  <c r="F49" i="2"/>
  <c r="J12" i="12"/>
  <c r="J15" i="12" s="1"/>
  <c r="H15" i="9"/>
  <c r="AW1" i="10"/>
  <c r="K1" i="10"/>
  <c r="X1" i="10"/>
  <c r="D1" i="10"/>
  <c r="D18" i="10" s="1"/>
  <c r="E18" i="10" s="1"/>
  <c r="AY1" i="10"/>
  <c r="AO1" i="10"/>
  <c r="BC1" i="10"/>
  <c r="P1" i="10"/>
  <c r="AE1" i="10"/>
  <c r="AC1" i="10"/>
  <c r="AD1" i="10"/>
  <c r="G1" i="10"/>
  <c r="Q1" i="10"/>
  <c r="F1" i="10"/>
  <c r="D15" i="9"/>
  <c r="Z1" i="10"/>
  <c r="AU1" i="10"/>
  <c r="AN1" i="10"/>
  <c r="R1" i="10"/>
  <c r="AI1" i="10"/>
  <c r="AJ1" i="10"/>
  <c r="R43" i="7"/>
  <c r="R42" i="7" s="1"/>
  <c r="S43" i="7"/>
  <c r="S42" i="7" s="1"/>
  <c r="T43" i="7"/>
  <c r="T42" i="7" s="1"/>
  <c r="U43" i="7"/>
  <c r="U42" i="7" s="1"/>
  <c r="Q43" i="7"/>
  <c r="Q42" i="7" s="1"/>
  <c r="P43" i="7"/>
  <c r="P42" i="7" s="1"/>
  <c r="M43" i="7"/>
  <c r="M42" i="7" s="1"/>
  <c r="O43" i="7"/>
  <c r="O42" i="7" s="1"/>
  <c r="K43" i="7"/>
  <c r="K42" i="7" s="1"/>
  <c r="L43" i="7"/>
  <c r="L42" i="7" s="1"/>
  <c r="N43" i="7"/>
  <c r="N42" i="7" s="1"/>
  <c r="O51" i="2"/>
  <c r="O36" i="2"/>
  <c r="N35" i="2"/>
  <c r="O35" i="2"/>
  <c r="O33" i="2"/>
  <c r="H43" i="7"/>
  <c r="H42" i="7" s="1"/>
  <c r="G43" i="7"/>
  <c r="G42" i="7" s="1"/>
  <c r="I43" i="7"/>
  <c r="I42" i="7" s="1"/>
  <c r="J43" i="7"/>
  <c r="J42" i="7" s="1"/>
  <c r="F43" i="7"/>
  <c r="F42" i="7" s="1"/>
  <c r="M34" i="2"/>
  <c r="G27" i="9"/>
  <c r="G34" i="9" s="1"/>
  <c r="M50" i="2"/>
  <c r="M33" i="2"/>
  <c r="M36" i="2"/>
  <c r="M51" i="2"/>
  <c r="L35" i="2"/>
  <c r="G22" i="9"/>
  <c r="K51" i="2"/>
  <c r="F27" i="9"/>
  <c r="K50" i="2"/>
  <c r="AI5" i="7"/>
  <c r="AJ5" i="7" s="1"/>
  <c r="AE44" i="7" s="1"/>
  <c r="F28" i="9"/>
  <c r="O46" i="2"/>
  <c r="J42" i="2"/>
  <c r="F19" i="9"/>
  <c r="F47" i="9" s="1"/>
  <c r="J35" i="2"/>
  <c r="J33" i="2"/>
  <c r="J43" i="2"/>
  <c r="J50" i="2"/>
  <c r="J34" i="2"/>
  <c r="J22" i="2"/>
  <c r="J41" i="2" s="1"/>
  <c r="J51" i="2"/>
  <c r="J29" i="2"/>
  <c r="J49" i="2" s="1"/>
  <c r="J36" i="2"/>
  <c r="BD16" i="10"/>
  <c r="BE17" i="10" s="1"/>
  <c r="BF17" i="10" s="1"/>
  <c r="I51" i="2"/>
  <c r="AQ25" i="10"/>
  <c r="AB25" i="10"/>
  <c r="AU25" i="10"/>
  <c r="AL25" i="10"/>
  <c r="AH25" i="10"/>
  <c r="U25" i="10"/>
  <c r="AP25" i="10"/>
  <c r="AE25" i="10"/>
  <c r="J25" i="10"/>
  <c r="R25" i="10"/>
  <c r="B17" i="12"/>
  <c r="C16" i="7"/>
  <c r="C11" i="2"/>
  <c r="C40" i="2"/>
  <c r="C48" i="2"/>
  <c r="C22" i="2"/>
  <c r="C15" i="2"/>
  <c r="D10" i="7"/>
  <c r="AB45" i="7"/>
  <c r="T45" i="7"/>
  <c r="AC45" i="7"/>
  <c r="AA45" i="7"/>
  <c r="AE45" i="7"/>
  <c r="I45" i="7"/>
  <c r="V45" i="7"/>
  <c r="Q45" i="7"/>
  <c r="AH45" i="7"/>
  <c r="L45" i="7"/>
  <c r="Y45" i="7"/>
  <c r="D45" i="7"/>
  <c r="K45" i="7"/>
  <c r="R45" i="7"/>
  <c r="AG45" i="7"/>
  <c r="E45" i="7"/>
  <c r="C4" i="2"/>
  <c r="C18" i="2"/>
  <c r="B2" i="2"/>
  <c r="C17" i="2"/>
  <c r="D49" i="7"/>
  <c r="C29" i="2"/>
  <c r="C25" i="2"/>
  <c r="C38" i="2"/>
  <c r="E25" i="7"/>
  <c r="C39" i="2"/>
  <c r="C41" i="2"/>
  <c r="C49" i="2" s="1"/>
  <c r="D25" i="7"/>
  <c r="S45" i="7"/>
  <c r="J45" i="7"/>
  <c r="F45" i="7"/>
  <c r="I50" i="7"/>
  <c r="C44" i="2"/>
  <c r="C52" i="2" s="1"/>
  <c r="C8" i="2"/>
  <c r="E10" i="7"/>
  <c r="U45" i="7"/>
  <c r="AF45" i="7"/>
  <c r="G45" i="7"/>
  <c r="B2" i="10"/>
  <c r="C32" i="2"/>
  <c r="M45" i="7"/>
  <c r="X45" i="7"/>
  <c r="Z45" i="7"/>
  <c r="H45" i="7"/>
  <c r="O45" i="7"/>
  <c r="W45" i="7"/>
  <c r="N45" i="7"/>
  <c r="C25" i="10"/>
  <c r="C3" i="2"/>
  <c r="P45" i="7"/>
  <c r="AD45" i="7"/>
  <c r="L25" i="10"/>
  <c r="BA25" i="10"/>
  <c r="AA25" i="10"/>
  <c r="O25" i="10"/>
  <c r="AZ25" i="10"/>
  <c r="BB25" i="10"/>
  <c r="AN25" i="10"/>
  <c r="AR25" i="10"/>
  <c r="G43" i="2"/>
  <c r="G46" i="2"/>
  <c r="P25" i="10"/>
  <c r="H25" i="10"/>
  <c r="AD25" i="10"/>
  <c r="AG25" i="10"/>
  <c r="G25" i="10"/>
  <c r="I25" i="10"/>
  <c r="AT25" i="10"/>
  <c r="AV25" i="10"/>
  <c r="AO25" i="10"/>
  <c r="Q25" i="10"/>
  <c r="AM25" i="10"/>
  <c r="AY25" i="10"/>
  <c r="BC25" i="10"/>
  <c r="Z25" i="10"/>
  <c r="AW25" i="10"/>
  <c r="E25" i="10"/>
  <c r="W25" i="10"/>
  <c r="V25" i="10"/>
  <c r="AS25" i="10"/>
  <c r="D25" i="10"/>
  <c r="K25" i="10"/>
  <c r="AK25" i="10"/>
  <c r="AF25" i="10"/>
  <c r="AC25" i="10"/>
  <c r="S25" i="10"/>
  <c r="AI25" i="10"/>
  <c r="X25" i="10"/>
  <c r="Y25" i="10"/>
  <c r="AX25" i="10"/>
  <c r="N25" i="10"/>
  <c r="T25" i="10"/>
  <c r="M25" i="10"/>
  <c r="F25" i="10"/>
  <c r="AJ25" i="10"/>
  <c r="AC49" i="7"/>
  <c r="G42" i="2"/>
  <c r="G45" i="2"/>
  <c r="X49" i="7"/>
  <c r="Z49" i="7"/>
  <c r="G22" i="2"/>
  <c r="G35" i="2"/>
  <c r="AI20" i="7"/>
  <c r="Z46" i="7" s="1"/>
  <c r="G33" i="2"/>
  <c r="G50" i="2"/>
  <c r="AD50" i="7"/>
  <c r="D43" i="7"/>
  <c r="D42" i="7" s="1"/>
  <c r="E43" i="7"/>
  <c r="E42" i="7" s="1"/>
  <c r="E3" i="7"/>
  <c r="G3" i="7"/>
  <c r="AB3" i="7"/>
  <c r="Y3" i="7"/>
  <c r="H3" i="7"/>
  <c r="Q3" i="7"/>
  <c r="X3" i="7"/>
  <c r="K3" i="7"/>
  <c r="AF3" i="7"/>
  <c r="D3" i="7"/>
  <c r="N3" i="7"/>
  <c r="AG3" i="7"/>
  <c r="Z3" i="7"/>
  <c r="AH3" i="7"/>
  <c r="T3" i="7"/>
  <c r="AC3" i="7"/>
  <c r="O3" i="7"/>
  <c r="I3" i="7"/>
  <c r="AE3" i="7"/>
  <c r="J3" i="7"/>
  <c r="M3" i="7"/>
  <c r="R3" i="7"/>
  <c r="V3" i="7"/>
  <c r="L3" i="7"/>
  <c r="P3" i="7"/>
  <c r="S3" i="7"/>
  <c r="U3" i="7"/>
  <c r="W3" i="7"/>
  <c r="AA3" i="7"/>
  <c r="F3" i="7"/>
  <c r="G29" i="2"/>
  <c r="AJ10" i="7"/>
  <c r="AK10" i="7" s="1"/>
  <c r="AL10" i="7" s="1"/>
  <c r="G51" i="2"/>
  <c r="C22" i="7"/>
  <c r="C27" i="7" s="1"/>
  <c r="G34" i="2"/>
  <c r="G36" i="2"/>
  <c r="D33" i="2" l="1"/>
  <c r="D36" i="2"/>
  <c r="F53" i="2"/>
  <c r="D29" i="2"/>
  <c r="G52" i="2" s="1"/>
  <c r="E53" i="2"/>
  <c r="D26" i="9"/>
  <c r="D50" i="2"/>
  <c r="D53" i="2"/>
  <c r="D34" i="2"/>
  <c r="F54" i="2"/>
  <c r="D54" i="2"/>
  <c r="D51" i="2"/>
  <c r="D27" i="9"/>
  <c r="D34" i="9" s="1"/>
  <c r="E54" i="2"/>
  <c r="D38" i="9"/>
  <c r="D41" i="9" s="1"/>
  <c r="BD10" i="10"/>
  <c r="BE10" i="10" s="1"/>
  <c r="F44" i="2"/>
  <c r="G39" i="2"/>
  <c r="H39" i="2" s="1"/>
  <c r="I39" i="2" s="1"/>
  <c r="J39" i="2" s="1"/>
  <c r="K39" i="2" s="1"/>
  <c r="L39" i="2" s="1"/>
  <c r="M39" i="2" s="1"/>
  <c r="N39" i="2" s="1"/>
  <c r="O39" i="2" s="1"/>
  <c r="F18" i="10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AG18" i="10" s="1"/>
  <c r="AH18" i="10" s="1"/>
  <c r="AI18" i="10" s="1"/>
  <c r="AJ18" i="10" s="1"/>
  <c r="AK18" i="10" s="1"/>
  <c r="AL18" i="10" s="1"/>
  <c r="AM18" i="10" s="1"/>
  <c r="AN18" i="10" s="1"/>
  <c r="AO18" i="10" s="1"/>
  <c r="AP18" i="10" s="1"/>
  <c r="AQ18" i="10" s="1"/>
  <c r="AR18" i="10" s="1"/>
  <c r="AS18" i="10" s="1"/>
  <c r="AT18" i="10" s="1"/>
  <c r="AU18" i="10" s="1"/>
  <c r="AV18" i="10" s="1"/>
  <c r="AW18" i="10" s="1"/>
  <c r="AX18" i="10" s="1"/>
  <c r="AY18" i="10" s="1"/>
  <c r="AZ18" i="10" s="1"/>
  <c r="BA18" i="10" s="1"/>
  <c r="BB18" i="10" s="1"/>
  <c r="BC18" i="10" s="1"/>
  <c r="O29" i="2"/>
  <c r="O49" i="2" s="1"/>
  <c r="N36" i="2"/>
  <c r="N33" i="2"/>
  <c r="N29" i="2"/>
  <c r="N49" i="2" s="1"/>
  <c r="N50" i="2"/>
  <c r="G26" i="9"/>
  <c r="G33" i="9" s="1"/>
  <c r="N51" i="2"/>
  <c r="N34" i="2"/>
  <c r="M35" i="2"/>
  <c r="G28" i="9"/>
  <c r="G35" i="9" s="1"/>
  <c r="M29" i="2"/>
  <c r="M49" i="2" s="1"/>
  <c r="L34" i="2"/>
  <c r="L51" i="2"/>
  <c r="L29" i="2"/>
  <c r="L49" i="2" s="1"/>
  <c r="L33" i="2"/>
  <c r="L36" i="2"/>
  <c r="L50" i="2"/>
  <c r="F26" i="9"/>
  <c r="F33" i="9" s="1"/>
  <c r="P28" i="2"/>
  <c r="K35" i="2"/>
  <c r="F20" i="9"/>
  <c r="F48" i="9" s="1"/>
  <c r="K29" i="2"/>
  <c r="K49" i="2" s="1"/>
  <c r="K33" i="2"/>
  <c r="K22" i="2"/>
  <c r="K41" i="2" s="1"/>
  <c r="K36" i="2"/>
  <c r="K42" i="2"/>
  <c r="K34" i="2"/>
  <c r="K43" i="2"/>
  <c r="F21" i="9"/>
  <c r="F35" i="9" s="1"/>
  <c r="O53" i="2"/>
  <c r="I53" i="2"/>
  <c r="H50" i="2"/>
  <c r="K53" i="2"/>
  <c r="L53" i="2"/>
  <c r="J53" i="2"/>
  <c r="P26" i="2"/>
  <c r="M53" i="2"/>
  <c r="H35" i="2"/>
  <c r="E28" i="9"/>
  <c r="I35" i="2"/>
  <c r="E19" i="9"/>
  <c r="F43" i="9" s="1"/>
  <c r="H29" i="2"/>
  <c r="H49" i="2" s="1"/>
  <c r="L45" i="2"/>
  <c r="K45" i="2"/>
  <c r="H42" i="2"/>
  <c r="I45" i="2"/>
  <c r="H33" i="2"/>
  <c r="O45" i="2"/>
  <c r="M45" i="2"/>
  <c r="H45" i="2"/>
  <c r="J45" i="2"/>
  <c r="P19" i="2"/>
  <c r="N45" i="2"/>
  <c r="J54" i="2"/>
  <c r="O54" i="2"/>
  <c r="H54" i="2"/>
  <c r="K54" i="2"/>
  <c r="I54" i="2"/>
  <c r="H53" i="2"/>
  <c r="P27" i="2"/>
  <c r="N54" i="2"/>
  <c r="M54" i="2"/>
  <c r="E27" i="9"/>
  <c r="I50" i="2"/>
  <c r="I29" i="2"/>
  <c r="I49" i="2" s="1"/>
  <c r="I34" i="2"/>
  <c r="I43" i="2"/>
  <c r="E26" i="9"/>
  <c r="H51" i="2"/>
  <c r="L54" i="2"/>
  <c r="N53" i="2"/>
  <c r="I36" i="2"/>
  <c r="I42" i="2"/>
  <c r="I22" i="2"/>
  <c r="I41" i="2" s="1"/>
  <c r="I33" i="2"/>
  <c r="P20" i="2"/>
  <c r="E20" i="9"/>
  <c r="E44" i="9" s="1"/>
  <c r="H46" i="2"/>
  <c r="L46" i="2"/>
  <c r="M46" i="2"/>
  <c r="H36" i="2"/>
  <c r="P21" i="2"/>
  <c r="E21" i="9"/>
  <c r="H34" i="2"/>
  <c r="H43" i="2"/>
  <c r="K46" i="2"/>
  <c r="N46" i="2"/>
  <c r="J46" i="2"/>
  <c r="I46" i="2"/>
  <c r="H22" i="2"/>
  <c r="H41" i="2" s="1"/>
  <c r="G44" i="7"/>
  <c r="I44" i="7"/>
  <c r="K44" i="7"/>
  <c r="AH44" i="7"/>
  <c r="S44" i="7"/>
  <c r="Q44" i="7"/>
  <c r="L44" i="7"/>
  <c r="P44" i="7"/>
  <c r="X44" i="7"/>
  <c r="F44" i="7"/>
  <c r="O44" i="7"/>
  <c r="V44" i="7"/>
  <c r="M44" i="7"/>
  <c r="AB44" i="7"/>
  <c r="D44" i="7"/>
  <c r="H44" i="7"/>
  <c r="J44" i="7"/>
  <c r="AG44" i="7"/>
  <c r="U44" i="7"/>
  <c r="Y44" i="7"/>
  <c r="AF44" i="7"/>
  <c r="T44" i="7"/>
  <c r="E44" i="7"/>
  <c r="W44" i="7"/>
  <c r="AA44" i="7"/>
  <c r="R44" i="7"/>
  <c r="AC44" i="7"/>
  <c r="AD44" i="7"/>
  <c r="N44" i="7"/>
  <c r="Z44" i="7"/>
  <c r="G38" i="2"/>
  <c r="G41" i="2"/>
  <c r="S46" i="7"/>
  <c r="X46" i="7"/>
  <c r="I46" i="7"/>
  <c r="P46" i="7"/>
  <c r="AD46" i="7"/>
  <c r="AC46" i="7"/>
  <c r="L46" i="7"/>
  <c r="AF46" i="7"/>
  <c r="T46" i="7"/>
  <c r="J46" i="7"/>
  <c r="AH46" i="7"/>
  <c r="H46" i="7"/>
  <c r="W46" i="7"/>
  <c r="M46" i="7"/>
  <c r="D46" i="7"/>
  <c r="AE46" i="7"/>
  <c r="R46" i="7"/>
  <c r="F46" i="7"/>
  <c r="AA46" i="7"/>
  <c r="G46" i="7"/>
  <c r="U46" i="7"/>
  <c r="Y46" i="7"/>
  <c r="AG46" i="7"/>
  <c r="AB46" i="7"/>
  <c r="E46" i="7"/>
  <c r="K46" i="7"/>
  <c r="N46" i="7"/>
  <c r="Q46" i="7"/>
  <c r="V46" i="7"/>
  <c r="O46" i="7"/>
  <c r="G49" i="2"/>
  <c r="D29" i="9" l="1"/>
  <c r="D36" i="9" s="1"/>
  <c r="D33" i="9"/>
  <c r="D49" i="2"/>
  <c r="D52" i="2"/>
  <c r="E52" i="2"/>
  <c r="F52" i="2"/>
  <c r="H27" i="9"/>
  <c r="J28" i="12" s="1"/>
  <c r="G29" i="9"/>
  <c r="G36" i="9" s="1"/>
  <c r="H28" i="9"/>
  <c r="J29" i="12" s="1"/>
  <c r="H26" i="9"/>
  <c r="J27" i="12" s="1"/>
  <c r="F29" i="9"/>
  <c r="P35" i="2"/>
  <c r="F34" i="9"/>
  <c r="F22" i="9"/>
  <c r="F45" i="9" s="1"/>
  <c r="P29" i="2"/>
  <c r="P33" i="2"/>
  <c r="E47" i="9"/>
  <c r="E43" i="9"/>
  <c r="H19" i="9"/>
  <c r="J20" i="12" s="1"/>
  <c r="E35" i="9"/>
  <c r="H52" i="2"/>
  <c r="M52" i="2"/>
  <c r="K52" i="2"/>
  <c r="P36" i="2"/>
  <c r="I52" i="2"/>
  <c r="J52" i="2"/>
  <c r="L52" i="2"/>
  <c r="E29" i="9"/>
  <c r="N52" i="2"/>
  <c r="O52" i="2"/>
  <c r="E33" i="9"/>
  <c r="E48" i="9"/>
  <c r="P34" i="2"/>
  <c r="E34" i="9"/>
  <c r="F44" i="9"/>
  <c r="E22" i="9"/>
  <c r="E38" i="9" s="1"/>
  <c r="H21" i="9"/>
  <c r="J22" i="12" s="1"/>
  <c r="H20" i="9"/>
  <c r="P22" i="2"/>
  <c r="G44" i="2"/>
  <c r="H38" i="2"/>
  <c r="J36" i="12" l="1"/>
  <c r="J30" i="12"/>
  <c r="I35" i="12"/>
  <c r="J21" i="12"/>
  <c r="J35" i="12" s="1"/>
  <c r="J34" i="12"/>
  <c r="I36" i="12"/>
  <c r="H29" i="9"/>
  <c r="I30" i="12"/>
  <c r="F38" i="9"/>
  <c r="F41" i="9" s="1"/>
  <c r="F36" i="9"/>
  <c r="H33" i="9"/>
  <c r="H35" i="9"/>
  <c r="H36" i="9"/>
  <c r="H34" i="9"/>
  <c r="E41" i="9"/>
  <c r="I23" i="12"/>
  <c r="E45" i="9"/>
  <c r="H22" i="9"/>
  <c r="E36" i="9"/>
  <c r="I38" i="2"/>
  <c r="H44" i="2"/>
  <c r="J23" i="12" l="1"/>
  <c r="J37" i="12" s="1"/>
  <c r="I37" i="12"/>
  <c r="G38" i="9"/>
  <c r="I44" i="2"/>
  <c r="J38" i="2"/>
  <c r="J44" i="2" l="1"/>
  <c r="K38" i="2"/>
  <c r="K44" i="2" l="1"/>
  <c r="L38" i="2"/>
  <c r="M38" i="2" l="1"/>
  <c r="L44" i="2"/>
  <c r="M44" i="2" l="1"/>
  <c r="N38" i="2"/>
  <c r="N44" i="2" l="1"/>
  <c r="O38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V5" authorId="0" shapeId="0" xr:uid="{E640186E-66A8-4589-B844-4A2EF7CFD30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Giảm 3,7 tỷ cho prenium water do ko đạt chất lượng giao hàng 2024</t>
        </r>
      </text>
    </comment>
  </commentList>
</comments>
</file>

<file path=xl/sharedStrings.xml><?xml version="1.0" encoding="utf-8"?>
<sst xmlns="http://schemas.openxmlformats.org/spreadsheetml/2006/main" count="321" uniqueCount="94">
  <si>
    <t>B2B</t>
  </si>
  <si>
    <t>B2C</t>
  </si>
  <si>
    <t xml:space="preserve">Total: </t>
  </si>
  <si>
    <t>TOTAL</t>
  </si>
  <si>
    <t>Export</t>
  </si>
  <si>
    <t>Other</t>
  </si>
  <si>
    <t>YTD Net Sales (Plan)</t>
  </si>
  <si>
    <t xml:space="preserve">Net sales plan [mVND] </t>
  </si>
  <si>
    <t xml:space="preserve">Sales Volume plan [Ton] </t>
  </si>
  <si>
    <t>Est</t>
  </si>
  <si>
    <t>Est_B2B</t>
  </si>
  <si>
    <t>Est_Export</t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</si>
  <si>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Estimate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</si>
  <si>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Estimate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</si>
  <si>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Estimate [Ton] </t>
    </r>
  </si>
  <si>
    <t>YTD Net Sales - Plan</t>
  </si>
  <si>
    <t>YTD Net Sales - Estimate</t>
  </si>
  <si>
    <t>Plan/Estimate (Quarterly)</t>
  </si>
  <si>
    <t>Q1</t>
  </si>
  <si>
    <t>Q2</t>
  </si>
  <si>
    <t>Q3</t>
  </si>
  <si>
    <t>Q4</t>
  </si>
  <si>
    <r>
      <rPr>
        <b/>
        <sz val="10"/>
        <color rgb="FF0070C0"/>
        <rFont val="segoe UI"/>
        <family val="2"/>
      </rPr>
      <t>Weekly Net sales</t>
    </r>
    <r>
      <rPr>
        <b/>
        <sz val="10"/>
        <color theme="1"/>
        <rFont val="segoe UI"/>
        <family val="2"/>
        <charset val="163"/>
      </rPr>
      <t xml:space="preserve"> [mVND]</t>
    </r>
  </si>
  <si>
    <r>
      <rPr>
        <b/>
        <sz val="11"/>
        <color rgb="FF0070C0"/>
        <rFont val="Calibri"/>
        <family val="2"/>
      </rPr>
      <t>Weekly Sales Volume</t>
    </r>
    <r>
      <rPr>
        <b/>
        <sz val="11"/>
        <color rgb="FF000000"/>
        <rFont val="Calibri"/>
        <family val="2"/>
        <charset val="163"/>
      </rPr>
      <t xml:space="preserve"> [Ton] </t>
    </r>
  </si>
  <si>
    <r>
      <rPr>
        <b/>
        <sz val="11"/>
        <color rgb="FF0070C0"/>
        <rFont val="Calibri"/>
        <family val="2"/>
      </rPr>
      <t>Weekly Net sales / Ton</t>
    </r>
    <r>
      <rPr>
        <b/>
        <sz val="11"/>
        <color rgb="FF000000"/>
        <rFont val="Calibri"/>
        <family val="2"/>
        <charset val="163"/>
      </rPr>
      <t xml:space="preserve">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</si>
  <si>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Actual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</si>
  <si>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Actual [Ton] </t>
    </r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</si>
  <si>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Actual [m VND / Ton] </t>
    </r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</si>
  <si>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</si>
  <si>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</si>
  <si>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</si>
  <si>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</si>
  <si>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</si>
  <si>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</si>
  <si>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</si>
  <si>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</si>
  <si>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</si>
  <si>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</si>
  <si>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</si>
  <si>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</si>
  <si>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% Growth</t>
  </si>
  <si>
    <t>Plan</t>
  </si>
  <si>
    <t>% YTD perfomance</t>
  </si>
  <si>
    <t>% Quarterly performance</t>
  </si>
  <si>
    <t>YTD - Plan</t>
  </si>
  <si>
    <t>YTD - Actual</t>
  </si>
  <si>
    <t>No,</t>
  </si>
  <si>
    <t>Week 1</t>
  </si>
  <si>
    <t>Week 52</t>
  </si>
  <si>
    <t xml:space="preserve">AVG_Net sales Plan </t>
  </si>
  <si>
    <t>AVG_Sales Volume Plan</t>
  </si>
  <si>
    <t>AVG_Net Sales Plan</t>
  </si>
  <si>
    <t>YTD Net Sales</t>
  </si>
  <si>
    <t>VN</t>
  </si>
  <si>
    <t>Sản lượng mua nguyên liệu [Tấn]</t>
  </si>
  <si>
    <t>Lũy kế Sản lượng mua nguyên liệu [Tấn]</t>
  </si>
  <si>
    <t>DTR Factory</t>
  </si>
  <si>
    <t>Stt</t>
  </si>
  <si>
    <t>Triệu VND</t>
  </si>
  <si>
    <t>USD</t>
  </si>
  <si>
    <t>TUẦN 1</t>
  </si>
  <si>
    <t>LŨY KẾ ĐẾN HIỆN TẠI</t>
  </si>
  <si>
    <t>Doanh thu</t>
  </si>
  <si>
    <t>Vảy rHDPE ép</t>
  </si>
  <si>
    <t>Vảy PP</t>
  </si>
  <si>
    <t>Tỉ giá VND/USD</t>
  </si>
  <si>
    <t>Hạt rPET</t>
  </si>
  <si>
    <t>Hạt rHDPE thổi</t>
  </si>
  <si>
    <t>Hạt rHDPE ép</t>
  </si>
  <si>
    <t>Hạt rPP</t>
  </si>
  <si>
    <t>Hạt Xơ sợi</t>
  </si>
  <si>
    <t>Tổng DT (rPET + rHDPE + rPP+ xơ sợi)</t>
  </si>
  <si>
    <t xml:space="preserve">Giá bán </t>
  </si>
  <si>
    <t>Sản lượng bán</t>
  </si>
  <si>
    <t>Tấn</t>
  </si>
  <si>
    <t>Mặt hàng</t>
  </si>
  <si>
    <t>Triệu/ Tấn</t>
  </si>
  <si>
    <t>USD/ Tấn</t>
  </si>
  <si>
    <t>Hạt LDPE</t>
  </si>
  <si>
    <t>)</t>
  </si>
  <si>
    <t>TUẦN 2</t>
  </si>
  <si>
    <t>TUẦN 3</t>
  </si>
  <si>
    <t>TUẦN 4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</si>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</sst>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#,##0;\-#,##0;_-&quot;- &quot;;_-@"/>
    <numFmt numFmtId="165" formatCode="0.0%"/>
    <numFmt numFmtId="166" formatCode="_-#,##0.0;\-#,##0.0;_-&quot;- &quot;;_-@"/>
    <numFmt numFmtId="167" formatCode="#,##0\ &quot;days&quot;"/>
    <numFmt numFmtId="168" formatCode="_-* #,##0_-;\-* #,##0_-;_-* &quot;-&quot;??_-;_-@_-"/>
    <numFmt numFmtId="169" formatCode="_-* #,##0.0000_-;\-* #,##0.0000_-;_-* &quot;-&quot;??_-;_-@_-"/>
  </numFmts>
  <fonts count="54" x14ac:knownFonts="1">
    <font>
      <sz val="10"/>
      <color theme="1"/>
      <name val="segoe U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segoe UI"/>
      <family val="2"/>
      <charset val="16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  <charset val="163"/>
    </font>
    <font>
      <b/>
      <sz val="11"/>
      <color rgb="FF000000"/>
      <name val="Calibri"/>
      <family val="2"/>
      <charset val="163"/>
    </font>
    <font>
      <b/>
      <u/>
      <sz val="11"/>
      <color theme="1"/>
      <name val="segoe UI"/>
      <family val="2"/>
    </font>
    <font>
      <b/>
      <sz val="10"/>
      <color rgb="FF002060"/>
      <name val="segoe UI"/>
      <family val="2"/>
    </font>
    <font>
      <b/>
      <sz val="10"/>
      <color rgb="FF000099"/>
      <name val="segoe UI"/>
      <family val="2"/>
    </font>
    <font>
      <sz val="10"/>
      <color rgb="FF000099"/>
      <name val="segoe UI"/>
      <family val="2"/>
    </font>
    <font>
      <sz val="10"/>
      <color theme="0"/>
      <name val="segoe UI"/>
      <family val="2"/>
    </font>
    <font>
      <sz val="10"/>
      <color theme="0"/>
      <name val="segoe UI"/>
      <family val="2"/>
      <charset val="163"/>
    </font>
    <font>
      <sz val="10"/>
      <name val="segoe UI"/>
      <family val="2"/>
    </font>
    <font>
      <u/>
      <sz val="8"/>
      <color theme="0"/>
      <name val="segoe UI"/>
      <family val="2"/>
    </font>
    <font>
      <sz val="10"/>
      <color theme="1"/>
      <name val="segoe UI"/>
      <family val="2"/>
      <charset val="163"/>
    </font>
    <font>
      <sz val="9"/>
      <color theme="0"/>
      <name val="segoe UI"/>
      <family val="2"/>
    </font>
    <font>
      <b/>
      <sz val="11"/>
      <name val="segoe UI"/>
      <family val="2"/>
    </font>
    <font>
      <b/>
      <sz val="10"/>
      <color theme="0"/>
      <name val="segoe UI"/>
      <family val="2"/>
    </font>
    <font>
      <b/>
      <sz val="10"/>
      <color rgb="FFC00000"/>
      <name val="segoe UI"/>
      <family val="2"/>
    </font>
    <font>
      <b/>
      <sz val="10"/>
      <name val="segoe U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segoe U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  <charset val="163"/>
    </font>
    <font>
      <b/>
      <i/>
      <sz val="10"/>
      <name val="segoe UI"/>
      <family val="2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b/>
      <sz val="11"/>
      <color theme="1"/>
      <name val="segoe UI"/>
      <family val="2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80"/>
      <name val="Times New Roman"/>
      <family val="1"/>
    </font>
    <font>
      <b/>
      <sz val="12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0" applyNumberFormat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18" applyNumberFormat="0" applyAlignment="0" applyProtection="0"/>
    <xf numFmtId="0" fontId="36" fillId="12" borderId="19" applyNumberFormat="0" applyAlignment="0" applyProtection="0"/>
    <xf numFmtId="0" fontId="37" fillId="12" borderId="18" applyNumberFormat="0" applyAlignment="0" applyProtection="0"/>
    <xf numFmtId="0" fontId="38" fillId="0" borderId="20" applyNumberFormat="0" applyFill="0" applyAlignment="0" applyProtection="0"/>
    <xf numFmtId="0" fontId="39" fillId="13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22" applyNumberFormat="0" applyFont="0" applyAlignment="0" applyProtection="0"/>
    <xf numFmtId="43" fontId="15" fillId="0" borderId="0" applyFont="0" applyFill="0" applyBorder="0" applyAlignment="0" applyProtection="0"/>
  </cellStyleXfs>
  <cellXfs count="2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2" fillId="0" borderId="3" xfId="0" applyFont="1" applyBorder="1"/>
    <xf numFmtId="0" fontId="6" fillId="0" borderId="3" xfId="0" applyFont="1" applyBorder="1"/>
    <xf numFmtId="0" fontId="2" fillId="0" borderId="2" xfId="0" applyFont="1" applyBorder="1"/>
    <xf numFmtId="164" fontId="0" fillId="0" borderId="3" xfId="0" applyNumberFormat="1" applyBorder="1"/>
    <xf numFmtId="164" fontId="0" fillId="0" borderId="2" xfId="0" applyNumberFormat="1" applyBorder="1"/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3" fontId="11" fillId="0" borderId="0" xfId="0" applyNumberFormat="1" applyFont="1"/>
    <xf numFmtId="0" fontId="12" fillId="0" borderId="0" xfId="0" applyFont="1"/>
    <xf numFmtId="14" fontId="14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4" fontId="11" fillId="0" borderId="0" xfId="0" applyNumberFormat="1" applyFont="1"/>
    <xf numFmtId="0" fontId="11" fillId="0" borderId="0" xfId="0" applyFont="1"/>
    <xf numFmtId="0" fontId="3" fillId="0" borderId="6" xfId="0" applyFont="1" applyBorder="1" applyAlignment="1">
      <alignment horizontal="left" indent="1"/>
    </xf>
    <xf numFmtId="0" fontId="0" fillId="0" borderId="9" xfId="0" applyBorder="1"/>
    <xf numFmtId="0" fontId="0" fillId="0" borderId="9" xfId="0" applyBorder="1" applyAlignment="1">
      <alignment horizontal="left" indent="1"/>
    </xf>
    <xf numFmtId="164" fontId="0" fillId="0" borderId="9" xfId="0" applyNumberFormat="1" applyBorder="1"/>
    <xf numFmtId="0" fontId="11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 indent="1"/>
    </xf>
    <xf numFmtId="164" fontId="3" fillId="0" borderId="0" xfId="0" applyNumberFormat="1" applyFont="1"/>
    <xf numFmtId="0" fontId="4" fillId="0" borderId="0" xfId="0" applyFont="1" applyAlignment="1">
      <alignment horizontal="right" indent="1"/>
    </xf>
    <xf numFmtId="3" fontId="3" fillId="0" borderId="7" xfId="0" applyNumberFormat="1" applyFont="1" applyBorder="1"/>
    <xf numFmtId="3" fontId="3" fillId="0" borderId="6" xfId="0" applyNumberFormat="1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3" fontId="9" fillId="0" borderId="6" xfId="0" applyNumberFormat="1" applyFont="1" applyBorder="1"/>
    <xf numFmtId="3" fontId="9" fillId="0" borderId="7" xfId="0" applyNumberFormat="1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3" fontId="3" fillId="0" borderId="11" xfId="0" applyNumberFormat="1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165" fontId="11" fillId="0" borderId="0" xfId="1" applyNumberFormat="1" applyFont="1"/>
    <xf numFmtId="166" fontId="0" fillId="0" borderId="2" xfId="0" applyNumberFormat="1" applyBorder="1"/>
    <xf numFmtId="0" fontId="20" fillId="0" borderId="0" xfId="0" applyFont="1"/>
    <xf numFmtId="0" fontId="20" fillId="0" borderId="0" xfId="0" applyFont="1" applyAlignment="1">
      <alignment horizontal="right" indent="1"/>
    </xf>
    <xf numFmtId="164" fontId="20" fillId="0" borderId="0" xfId="0" applyNumberFormat="1" applyFont="1"/>
    <xf numFmtId="0" fontId="22" fillId="0" borderId="3" xfId="0" applyFont="1" applyBorder="1"/>
    <xf numFmtId="0" fontId="4" fillId="0" borderId="2" xfId="0" applyFont="1" applyBorder="1"/>
    <xf numFmtId="9" fontId="4" fillId="0" borderId="13" xfId="0" applyNumberFormat="1" applyFont="1" applyBorder="1"/>
    <xf numFmtId="0" fontId="13" fillId="0" borderId="0" xfId="0" applyFont="1" applyAlignment="1">
      <alignment horizontal="right" indent="1"/>
    </xf>
    <xf numFmtId="164" fontId="13" fillId="0" borderId="0" xfId="0" applyNumberFormat="1" applyFont="1"/>
    <xf numFmtId="9" fontId="0" fillId="0" borderId="0" xfId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4" fillId="3" borderId="14" xfId="0" applyFont="1" applyFill="1" applyBorder="1"/>
    <xf numFmtId="0" fontId="4" fillId="3" borderId="14" xfId="0" applyFont="1" applyFill="1" applyBorder="1" applyAlignment="1">
      <alignment horizontal="right" indent="1"/>
    </xf>
    <xf numFmtId="164" fontId="4" fillId="3" borderId="14" xfId="0" applyNumberFormat="1" applyFont="1" applyFill="1" applyBorder="1"/>
    <xf numFmtId="0" fontId="4" fillId="4" borderId="14" xfId="0" applyFont="1" applyFill="1" applyBorder="1"/>
    <xf numFmtId="0" fontId="4" fillId="4" borderId="14" xfId="0" applyFont="1" applyFill="1" applyBorder="1" applyAlignment="1">
      <alignment horizontal="right" indent="1"/>
    </xf>
    <xf numFmtId="164" fontId="19" fillId="4" borderId="14" xfId="0" applyNumberFormat="1" applyFont="1" applyFill="1" applyBorder="1"/>
    <xf numFmtId="164" fontId="23" fillId="4" borderId="14" xfId="0" applyNumberFormat="1" applyFont="1" applyFill="1" applyBorder="1"/>
    <xf numFmtId="166" fontId="19" fillId="4" borderId="14" xfId="0" applyNumberFormat="1" applyFont="1" applyFill="1" applyBorder="1"/>
    <xf numFmtId="166" fontId="23" fillId="4" borderId="14" xfId="0" applyNumberFormat="1" applyFont="1" applyFill="1" applyBorder="1"/>
    <xf numFmtId="164" fontId="0" fillId="0" borderId="0" xfId="0" applyNumberFormat="1"/>
    <xf numFmtId="0" fontId="11" fillId="0" borderId="0" xfId="0" applyFont="1" applyAlignment="1">
      <alignment horizontal="left" vertical="center"/>
    </xf>
    <xf numFmtId="9" fontId="20" fillId="0" borderId="0" xfId="1" applyFont="1" applyAlignment="1">
      <alignment horizontal="right"/>
    </xf>
    <xf numFmtId="165" fontId="20" fillId="0" borderId="0" xfId="1" applyNumberFormat="1" applyFont="1" applyAlignment="1">
      <alignment horizontal="right"/>
    </xf>
    <xf numFmtId="9" fontId="20" fillId="0" borderId="0" xfId="1" applyFont="1"/>
    <xf numFmtId="165" fontId="20" fillId="0" borderId="0" xfId="1" applyNumberFormat="1" applyFont="1"/>
    <xf numFmtId="9" fontId="24" fillId="0" borderId="0" xfId="1" applyFont="1"/>
    <xf numFmtId="9" fontId="24" fillId="0" borderId="0" xfId="1" applyFont="1" applyAlignment="1">
      <alignment horizontal="right"/>
    </xf>
    <xf numFmtId="165" fontId="24" fillId="0" borderId="0" xfId="1" applyNumberFormat="1" applyFont="1"/>
    <xf numFmtId="0" fontId="4" fillId="0" borderId="13" xfId="0" applyFont="1" applyBorder="1" applyAlignment="1">
      <alignment horizontal="center" vertical="center"/>
    </xf>
    <xf numFmtId="9" fontId="25" fillId="0" borderId="13" xfId="0" applyNumberFormat="1" applyFont="1" applyBorder="1"/>
    <xf numFmtId="9" fontId="26" fillId="0" borderId="0" xfId="1" applyFont="1"/>
    <xf numFmtId="0" fontId="4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6" fontId="23" fillId="0" borderId="0" xfId="0" applyNumberFormat="1" applyFont="1"/>
    <xf numFmtId="9" fontId="9" fillId="0" borderId="0" xfId="1" applyFont="1"/>
    <xf numFmtId="165" fontId="27" fillId="0" borderId="0" xfId="1" applyNumberFormat="1" applyFo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5" fontId="11" fillId="0" borderId="0" xfId="0" applyNumberFormat="1" applyFont="1"/>
    <xf numFmtId="165" fontId="11" fillId="0" borderId="0" xfId="1" applyNumberFormat="1" applyFont="1" applyFill="1"/>
    <xf numFmtId="0" fontId="4" fillId="4" borderId="1" xfId="0" applyFont="1" applyFill="1" applyBorder="1" applyAlignment="1">
      <alignment horizontal="left" vertical="center"/>
    </xf>
    <xf numFmtId="9" fontId="24" fillId="0" borderId="25" xfId="1" applyFont="1" applyBorder="1" applyAlignment="1">
      <alignment horizontal="left" indent="2"/>
    </xf>
    <xf numFmtId="9" fontId="24" fillId="0" borderId="26" xfId="1" applyFont="1" applyBorder="1" applyAlignment="1">
      <alignment horizontal="left" indent="2"/>
    </xf>
    <xf numFmtId="9" fontId="9" fillId="0" borderId="24" xfId="1" applyFont="1" applyBorder="1" applyAlignment="1">
      <alignment horizontal="left" indent="1"/>
    </xf>
    <xf numFmtId="0" fontId="18" fillId="0" borderId="0" xfId="0" applyFont="1" applyAlignment="1">
      <alignment horizontal="right" indent="1"/>
    </xf>
    <xf numFmtId="164" fontId="18" fillId="0" borderId="0" xfId="0" applyNumberFormat="1" applyFont="1" applyAlignment="1">
      <alignment horizontal="center"/>
    </xf>
    <xf numFmtId="3" fontId="11" fillId="0" borderId="12" xfId="0" applyNumberFormat="1" applyFont="1" applyBorder="1"/>
    <xf numFmtId="3" fontId="11" fillId="0" borderId="0" xfId="1" applyNumberFormat="1" applyFont="1"/>
    <xf numFmtId="0" fontId="3" fillId="39" borderId="8" xfId="0" applyFont="1" applyFill="1" applyBorder="1" applyAlignment="1">
      <alignment horizontal="center" vertical="center"/>
    </xf>
    <xf numFmtId="0" fontId="13" fillId="0" borderId="4" xfId="0" applyFont="1" applyBorder="1"/>
    <xf numFmtId="166" fontId="18" fillId="0" borderId="0" xfId="0" applyNumberFormat="1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165" fontId="13" fillId="0" borderId="25" xfId="1" applyNumberFormat="1" applyFont="1" applyBorder="1"/>
    <xf numFmtId="165" fontId="13" fillId="0" borderId="26" xfId="1" applyNumberFormat="1" applyFont="1" applyBorder="1"/>
    <xf numFmtId="165" fontId="20" fillId="0" borderId="24" xfId="1" applyNumberFormat="1" applyFont="1" applyBorder="1" applyAlignment="1">
      <alignment horizontal="right"/>
    </xf>
    <xf numFmtId="165" fontId="4" fillId="0" borderId="24" xfId="1" applyNumberFormat="1" applyFont="1" applyBorder="1" applyAlignment="1">
      <alignment horizontal="right"/>
    </xf>
    <xf numFmtId="165" fontId="44" fillId="0" borderId="0" xfId="1" applyNumberFormat="1" applyFont="1"/>
    <xf numFmtId="165" fontId="45" fillId="0" borderId="0" xfId="1" applyNumberFormat="1" applyFont="1"/>
    <xf numFmtId="0" fontId="20" fillId="0" borderId="24" xfId="0" applyFont="1" applyBorder="1"/>
    <xf numFmtId="165" fontId="3" fillId="0" borderId="25" xfId="1" applyNumberFormat="1" applyFont="1" applyBorder="1"/>
    <xf numFmtId="165" fontId="3" fillId="0" borderId="26" xfId="1" applyNumberFormat="1" applyFont="1" applyBorder="1"/>
    <xf numFmtId="165" fontId="4" fillId="0" borderId="27" xfId="1" applyNumberFormat="1" applyFont="1" applyFill="1" applyBorder="1" applyAlignment="1">
      <alignment horizontal="right"/>
    </xf>
    <xf numFmtId="165" fontId="3" fillId="0" borderId="27" xfId="1" applyNumberFormat="1" applyFont="1" applyFill="1" applyBorder="1"/>
    <xf numFmtId="165" fontId="3" fillId="0" borderId="0" xfId="1" applyNumberFormat="1" applyFont="1" applyFill="1" applyBorder="1"/>
    <xf numFmtId="0" fontId="46" fillId="0" borderId="0" xfId="0" applyFont="1"/>
    <xf numFmtId="0" fontId="0" fillId="40" borderId="2" xfId="0" applyFill="1" applyBorder="1" applyAlignment="1">
      <alignment horizontal="left" inden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3" fontId="9" fillId="0" borderId="12" xfId="0" applyNumberFormat="1" applyFont="1" applyBorder="1"/>
    <xf numFmtId="3" fontId="0" fillId="0" borderId="0" xfId="0" applyNumberFormat="1"/>
    <xf numFmtId="3" fontId="13" fillId="0" borderId="0" xfId="0" applyNumberFormat="1" applyFont="1"/>
    <xf numFmtId="165" fontId="13" fillId="0" borderId="0" xfId="0" applyNumberFormat="1" applyFont="1"/>
    <xf numFmtId="164" fontId="11" fillId="0" borderId="0" xfId="0" applyNumberFormat="1" applyFont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3" fontId="13" fillId="0" borderId="7" xfId="0" applyNumberFormat="1" applyFont="1" applyBorder="1"/>
    <xf numFmtId="3" fontId="13" fillId="0" borderId="10" xfId="0" applyNumberFormat="1" applyFont="1" applyBorder="1"/>
    <xf numFmtId="3" fontId="13" fillId="0" borderId="11" xfId="0" applyNumberFormat="1" applyFont="1" applyBorder="1"/>
    <xf numFmtId="3" fontId="20" fillId="0" borderId="1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1" fontId="0" fillId="0" borderId="0" xfId="0" applyNumberFormat="1"/>
    <xf numFmtId="0" fontId="20" fillId="6" borderId="5" xfId="0" applyFont="1" applyFill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47" fillId="0" borderId="0" xfId="0" applyFont="1"/>
    <xf numFmtId="3" fontId="47" fillId="0" borderId="0" xfId="0" applyNumberFormat="1" applyFont="1"/>
    <xf numFmtId="168" fontId="47" fillId="0" borderId="0" xfId="44" applyNumberFormat="1" applyFont="1"/>
    <xf numFmtId="1" fontId="47" fillId="0" borderId="1" xfId="0" applyNumberFormat="1" applyFont="1" applyBorder="1"/>
    <xf numFmtId="168" fontId="47" fillId="0" borderId="1" xfId="44" applyNumberFormat="1" applyFont="1" applyBorder="1"/>
    <xf numFmtId="168" fontId="47" fillId="0" borderId="1" xfId="44" applyNumberFormat="1" applyFont="1" applyFill="1" applyBorder="1" applyAlignment="1"/>
    <xf numFmtId="168" fontId="50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Fill="1" applyBorder="1"/>
    <xf numFmtId="168" fontId="47" fillId="0" borderId="0" xfId="44" applyNumberFormat="1" applyFont="1" applyFill="1"/>
    <xf numFmtId="0" fontId="0" fillId="0" borderId="0" xfId="0" applyAlignment="1">
      <alignment vertical="center" wrapText="1"/>
    </xf>
    <xf numFmtId="168" fontId="49" fillId="0" borderId="0" xfId="44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8" fontId="47" fillId="0" borderId="0" xfId="44" applyNumberFormat="1" applyFont="1" applyFill="1" applyBorder="1" applyAlignment="1"/>
    <xf numFmtId="168" fontId="50" fillId="0" borderId="0" xfId="44" applyNumberFormat="1" applyFont="1" applyFill="1" applyBorder="1" applyAlignment="1">
      <alignment horizontal="right" vertical="center" wrapText="1"/>
    </xf>
    <xf numFmtId="168" fontId="47" fillId="0" borderId="0" xfId="44" applyNumberFormat="1" applyFont="1" applyFill="1" applyBorder="1"/>
    <xf numFmtId="0" fontId="51" fillId="0" borderId="1" xfId="0" applyFont="1" applyBorder="1" applyAlignment="1">
      <alignment vertical="center" wrapText="1"/>
    </xf>
    <xf numFmtId="168" fontId="48" fillId="0" borderId="1" xfId="44" applyNumberFormat="1" applyFont="1" applyBorder="1" applyAlignment="1">
      <alignment horizontal="center" vertical="center" wrapText="1"/>
    </xf>
    <xf numFmtId="168" fontId="48" fillId="0" borderId="1" xfId="44" applyNumberFormat="1" applyFont="1" applyBorder="1" applyAlignment="1">
      <alignment vertical="center" wrapText="1"/>
    </xf>
    <xf numFmtId="168" fontId="48" fillId="0" borderId="1" xfId="44" applyNumberFormat="1" applyFont="1" applyBorder="1"/>
    <xf numFmtId="168" fontId="51" fillId="0" borderId="0" xfId="44" applyNumberFormat="1" applyFont="1"/>
    <xf numFmtId="0" fontId="51" fillId="0" borderId="1" xfId="0" applyFont="1" applyBorder="1" applyAlignment="1">
      <alignment horizontal="center" vertical="center" wrapText="1"/>
    </xf>
    <xf numFmtId="168" fontId="51" fillId="0" borderId="1" xfId="44" applyNumberFormat="1" applyFont="1" applyFill="1" applyBorder="1" applyAlignment="1">
      <alignment horizontal="center" vertical="center" wrapText="1"/>
    </xf>
    <xf numFmtId="168" fontId="51" fillId="0" borderId="1" xfId="44" applyNumberFormat="1" applyFont="1" applyBorder="1" applyAlignment="1">
      <alignment horizontal="center" vertical="center" wrapText="1"/>
    </xf>
    <xf numFmtId="168" fontId="47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Border="1" applyAlignment="1">
      <alignment horizontal="right" vertical="center" wrapText="1"/>
    </xf>
    <xf numFmtId="1" fontId="47" fillId="0" borderId="1" xfId="0" applyNumberFormat="1" applyFont="1" applyBorder="1" applyAlignment="1">
      <alignment horizontal="right" vertical="center" wrapText="1"/>
    </xf>
    <xf numFmtId="0" fontId="51" fillId="0" borderId="0" xfId="0" applyFont="1" applyAlignment="1">
      <alignment horizontal="center" vertical="center" wrapText="1"/>
    </xf>
    <xf numFmtId="168" fontId="51" fillId="0" borderId="0" xfId="44" applyNumberFormat="1" applyFont="1" applyFill="1" applyBorder="1" applyAlignment="1">
      <alignment horizontal="center" vertical="center" wrapText="1"/>
    </xf>
    <xf numFmtId="168" fontId="51" fillId="0" borderId="0" xfId="44" applyNumberFormat="1" applyFont="1" applyBorder="1" applyAlignment="1">
      <alignment horizontal="center" vertical="center" wrapText="1"/>
    </xf>
    <xf numFmtId="168" fontId="51" fillId="0" borderId="4" xfId="44" applyNumberFormat="1" applyFont="1" applyFill="1" applyBorder="1" applyAlignment="1">
      <alignment horizontal="center" vertical="center" wrapText="1"/>
    </xf>
    <xf numFmtId="168" fontId="47" fillId="0" borderId="33" xfId="44" applyNumberFormat="1" applyFont="1" applyFill="1" applyBorder="1" applyAlignment="1">
      <alignment horizontal="right" vertical="center" wrapText="1"/>
    </xf>
    <xf numFmtId="0" fontId="51" fillId="0" borderId="35" xfId="0" applyFont="1" applyBorder="1" applyAlignment="1">
      <alignment horizontal="center" vertical="center" wrapText="1"/>
    </xf>
    <xf numFmtId="168" fontId="48" fillId="0" borderId="35" xfId="44" applyNumberFormat="1" applyFont="1" applyBorder="1"/>
    <xf numFmtId="0" fontId="51" fillId="0" borderId="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3" xfId="0" applyFont="1" applyBorder="1" applyAlignment="1">
      <alignment vertical="center" wrapText="1"/>
    </xf>
    <xf numFmtId="1" fontId="47" fillId="0" borderId="33" xfId="0" applyNumberFormat="1" applyFont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43" fontId="50" fillId="0" borderId="1" xfId="44" applyFont="1" applyFill="1" applyBorder="1" applyAlignment="1">
      <alignment horizontal="right" vertical="center" wrapText="1"/>
    </xf>
    <xf numFmtId="0" fontId="48" fillId="0" borderId="0" xfId="0" applyFont="1" applyAlignment="1">
      <alignment vertical="center" wrapText="1"/>
    </xf>
    <xf numFmtId="43" fontId="50" fillId="0" borderId="0" xfId="44" applyFont="1" applyFill="1" applyBorder="1" applyAlignment="1">
      <alignment horizontal="right" vertical="center" wrapText="1"/>
    </xf>
    <xf numFmtId="168" fontId="47" fillId="0" borderId="0" xfId="0" applyNumberFormat="1" applyFont="1"/>
    <xf numFmtId="0" fontId="47" fillId="0" borderId="39" xfId="0" applyFont="1" applyBorder="1"/>
    <xf numFmtId="1" fontId="47" fillId="0" borderId="0" xfId="0" applyNumberFormat="1" applyFont="1"/>
    <xf numFmtId="168" fontId="47" fillId="0" borderId="39" xfId="44" applyNumberFormat="1" applyFont="1" applyFill="1" applyBorder="1"/>
    <xf numFmtId="168" fontId="4" fillId="0" borderId="0" xfId="44" applyNumberFormat="1" applyFont="1"/>
    <xf numFmtId="169" fontId="4" fillId="0" borderId="0" xfId="44" applyNumberFormat="1" applyFont="1"/>
    <xf numFmtId="3" fontId="18" fillId="0" borderId="0" xfId="0" applyNumberFormat="1" applyFont="1"/>
    <xf numFmtId="10" fontId="11" fillId="0" borderId="0" xfId="0" applyNumberFormat="1" applyFont="1"/>
    <xf numFmtId="168" fontId="47" fillId="0" borderId="35" xfId="44" applyNumberFormat="1" applyFont="1" applyBorder="1" applyAlignment="1">
      <alignment horizontal="right" vertical="center" wrapText="1"/>
    </xf>
    <xf numFmtId="168" fontId="51" fillId="0" borderId="36" xfId="44" applyNumberFormat="1" applyFont="1" applyBorder="1" applyAlignment="1">
      <alignment horizontal="center" vertical="center" wrapText="1"/>
    </xf>
    <xf numFmtId="168" fontId="51" fillId="0" borderId="37" xfId="44" applyNumberFormat="1" applyFont="1" applyBorder="1" applyAlignment="1">
      <alignment horizontal="center" vertical="center" wrapText="1"/>
    </xf>
    <xf numFmtId="168" fontId="47" fillId="0" borderId="38" xfId="44" applyNumberFormat="1" applyFont="1" applyBorder="1" applyAlignment="1">
      <alignment horizontal="right" vertical="center" wrapText="1"/>
    </xf>
    <xf numFmtId="168" fontId="47" fillId="0" borderId="33" xfId="44" applyNumberFormat="1" applyFont="1" applyBorder="1" applyAlignment="1">
      <alignment horizontal="right" vertical="center" wrapText="1"/>
    </xf>
    <xf numFmtId="168" fontId="49" fillId="0" borderId="36" xfId="44" applyNumberFormat="1" applyFont="1" applyBorder="1" applyAlignment="1">
      <alignment horizontal="center" vertical="center" wrapText="1"/>
    </xf>
    <xf numFmtId="168" fontId="50" fillId="0" borderId="36" xfId="44" applyNumberFormat="1" applyFont="1" applyBorder="1" applyAlignment="1">
      <alignment horizontal="right" vertical="center" wrapText="1"/>
    </xf>
    <xf numFmtId="168" fontId="50" fillId="0" borderId="0" xfId="44" applyNumberFormat="1" applyFont="1" applyAlignment="1">
      <alignment horizontal="right" vertical="center" wrapText="1"/>
    </xf>
    <xf numFmtId="167" fontId="11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9" fontId="11" fillId="0" borderId="0" xfId="1" applyFont="1"/>
    <xf numFmtId="164" fontId="11" fillId="0" borderId="0" xfId="0" applyNumberFormat="1" applyFont="1"/>
    <xf numFmtId="0" fontId="51" fillId="0" borderId="28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68" fontId="51" fillId="0" borderId="32" xfId="44" applyNumberFormat="1" applyFont="1" applyFill="1" applyBorder="1" applyAlignment="1">
      <alignment horizontal="center" vertical="center" wrapText="1"/>
    </xf>
    <xf numFmtId="168" fontId="51" fillId="0" borderId="33" xfId="44" applyNumberFormat="1" applyFont="1" applyFill="1" applyBorder="1" applyAlignment="1">
      <alignment horizontal="center" vertical="center" wrapText="1"/>
    </xf>
    <xf numFmtId="168" fontId="51" fillId="0" borderId="30" xfId="44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omma" xfId="44" builtinId="3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55F60413-E795-49AD-A03D-21BEEF745CE3}"/>
    <cellStyle name="Note 2" xfId="43" xr:uid="{033046BA-7F6B-46F7-93E0-AFF9326733BA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99"/>
      <color rgb="FF0000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Daily!$C$30</c:f>
          <c:strCache>
            <c:ptCount val="1"/>
            <c:pt idx="0">
              <c:v>Sản lượng sản xuất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+mj-lt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19450165587940252"/>
          <c:w val="0.96747509764355089"/>
          <c:h val="0.677309367742644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Daily!$D$30:$AH$30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41</c:v>
                </c:pt>
                <c:pt idx="6">
                  <c:v>38</c:v>
                </c:pt>
                <c:pt idx="7">
                  <c:v>51</c:v>
                </c:pt>
                <c:pt idx="8">
                  <c:v>100</c:v>
                </c:pt>
                <c:pt idx="9">
                  <c:v>133</c:v>
                </c:pt>
                <c:pt idx="10">
                  <c:v>100</c:v>
                </c:pt>
                <c:pt idx="11">
                  <c:v>117</c:v>
                </c:pt>
                <c:pt idx="12">
                  <c:v>94</c:v>
                </c:pt>
                <c:pt idx="13">
                  <c:v>67</c:v>
                </c:pt>
                <c:pt idx="14">
                  <c:v>114</c:v>
                </c:pt>
                <c:pt idx="15">
                  <c:v>131</c:v>
                </c:pt>
                <c:pt idx="16">
                  <c:v>119</c:v>
                </c:pt>
                <c:pt idx="17">
                  <c:v>59.325000000000003</c:v>
                </c:pt>
                <c:pt idx="18">
                  <c:v>94</c:v>
                </c:pt>
                <c:pt idx="19">
                  <c:v>94</c:v>
                </c:pt>
                <c:pt idx="20">
                  <c:v>192</c:v>
                </c:pt>
                <c:pt idx="21">
                  <c:v>160</c:v>
                </c:pt>
                <c:pt idx="22">
                  <c:v>143</c:v>
                </c:pt>
                <c:pt idx="23">
                  <c:v>103</c:v>
                </c:pt>
                <c:pt idx="24">
                  <c:v>162.79999999999998</c:v>
                </c:pt>
                <c:pt idx="25">
                  <c:v>145</c:v>
                </c:pt>
                <c:pt idx="26">
                  <c:v>164</c:v>
                </c:pt>
                <c:pt idx="27">
                  <c:v>172</c:v>
                </c:pt>
                <c:pt idx="28">
                  <c:v>114</c:v>
                </c:pt>
                <c:pt idx="29">
                  <c:v>87</c:v>
                </c:pt>
                <c:pt idx="3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1-4691-90FE-64D2C5BC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33-4950-987E-BF0399CDC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113.32193548387096</c:v>
                </c:pt>
                <c:pt idx="1">
                  <c:v>113.32193548387096</c:v>
                </c:pt>
                <c:pt idx="2">
                  <c:v>113.32193548387096</c:v>
                </c:pt>
                <c:pt idx="3">
                  <c:v>113.32193548387096</c:v>
                </c:pt>
                <c:pt idx="4">
                  <c:v>113.32193548387096</c:v>
                </c:pt>
                <c:pt idx="5">
                  <c:v>113.32193548387096</c:v>
                </c:pt>
                <c:pt idx="6">
                  <c:v>113.32193548387096</c:v>
                </c:pt>
                <c:pt idx="7">
                  <c:v>113.32193548387096</c:v>
                </c:pt>
                <c:pt idx="8">
                  <c:v>113.32193548387096</c:v>
                </c:pt>
                <c:pt idx="9">
                  <c:v>113.32193548387096</c:v>
                </c:pt>
                <c:pt idx="10">
                  <c:v>113.32193548387096</c:v>
                </c:pt>
                <c:pt idx="11">
                  <c:v>113.32193548387096</c:v>
                </c:pt>
                <c:pt idx="12">
                  <c:v>113.32193548387096</c:v>
                </c:pt>
                <c:pt idx="13">
                  <c:v>113.32193548387096</c:v>
                </c:pt>
                <c:pt idx="14">
                  <c:v>113.32193548387096</c:v>
                </c:pt>
                <c:pt idx="15">
                  <c:v>113.32193548387096</c:v>
                </c:pt>
                <c:pt idx="16">
                  <c:v>113.32193548387096</c:v>
                </c:pt>
                <c:pt idx="17">
                  <c:v>113.32193548387096</c:v>
                </c:pt>
                <c:pt idx="18">
                  <c:v>113.32193548387096</c:v>
                </c:pt>
                <c:pt idx="19">
                  <c:v>113.32193548387096</c:v>
                </c:pt>
                <c:pt idx="20">
                  <c:v>113.32193548387096</c:v>
                </c:pt>
                <c:pt idx="21">
                  <c:v>113.32193548387096</c:v>
                </c:pt>
                <c:pt idx="22">
                  <c:v>113.32193548387096</c:v>
                </c:pt>
                <c:pt idx="23">
                  <c:v>113.32193548387096</c:v>
                </c:pt>
                <c:pt idx="24">
                  <c:v>113.32193548387096</c:v>
                </c:pt>
                <c:pt idx="25">
                  <c:v>113.32193548387096</c:v>
                </c:pt>
                <c:pt idx="26">
                  <c:v>113.32193548387096</c:v>
                </c:pt>
                <c:pt idx="27">
                  <c:v>113.32193548387096</c:v>
                </c:pt>
                <c:pt idx="28">
                  <c:v>113.32193548387096</c:v>
                </c:pt>
                <c:pt idx="29">
                  <c:v>113.32193548387096</c:v>
                </c:pt>
                <c:pt idx="30">
                  <c:v>113.32193548387096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27D-8CAD-21831C9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150744952862105"/>
          <c:y val="0.10478834142956281"/>
          <c:w val="0.33424187643957398"/>
          <c:h val="8.71509320206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Daily!$C$20</c:f>
          <c:strCache>
            <c:ptCount val="1"/>
            <c:pt idx="0">
              <c:v>Sản lượng bán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242486704868697"/>
          <c:w val="0.96334991017244553"/>
          <c:h val="0.649386156573360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4400-B276-1B463CCE18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4400-B276-1B463CCE18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72-4400-B276-1B463CCE18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E-4425-AB44-9D1C2C4080EE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72-4400-B276-1B463CCE18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72-4400-B276-1B463CCE18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72-4400-B276-1B463CCE183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72-4400-B276-1B463CCE183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72-4400-B276-1B463CCE183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72-4400-B276-1B463CCE183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72-4400-B276-1B463CCE183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72-4400-B276-1B463CCE183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72-4400-B276-1B463CCE183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72-4400-B276-1B463CCE1834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72-4400-B276-1B463CCE1834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72-4400-B276-1B463CCE1834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72-4400-B276-1B463CCE1834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72-4400-B276-1B463CCE1834}"/>
                </c:ext>
              </c:extLst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72-4400-B276-1B463CCE1834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72-4400-B276-1B463CCE183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72-4400-B276-1B463CCE1834}"/>
                </c:ext>
              </c:extLst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72-4400-B276-1B463CCE1834}"/>
                </c:ext>
              </c:extLst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72-4400-B276-1B463CCE1834}"/>
                </c:ext>
              </c:extLst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72-4400-B276-1B463CCE1834}"/>
                </c:ext>
              </c:extLst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72-4400-B276-1B463CCE1834}"/>
                </c:ext>
              </c:extLst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72-4400-B276-1B463CCE1834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72-4400-B276-1B463CCE1834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72-4400-B276-1B463CCE18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Daily!$D$20:$AH$20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67.099999999999994</c:v>
                </c:pt>
                <c:pt idx="5">
                  <c:v>17.75</c:v>
                </c:pt>
                <c:pt idx="6">
                  <c:v>382.48</c:v>
                </c:pt>
                <c:pt idx="7">
                  <c:v>374</c:v>
                </c:pt>
                <c:pt idx="8">
                  <c:v>61</c:v>
                </c:pt>
                <c:pt idx="9">
                  <c:v>64.45</c:v>
                </c:pt>
                <c:pt idx="10">
                  <c:v>0</c:v>
                </c:pt>
                <c:pt idx="11">
                  <c:v>308</c:v>
                </c:pt>
                <c:pt idx="12">
                  <c:v>131.18</c:v>
                </c:pt>
                <c:pt idx="13">
                  <c:v>43.75</c:v>
                </c:pt>
                <c:pt idx="14">
                  <c:v>275.38</c:v>
                </c:pt>
                <c:pt idx="15">
                  <c:v>38.5</c:v>
                </c:pt>
                <c:pt idx="16">
                  <c:v>318.75</c:v>
                </c:pt>
                <c:pt idx="17">
                  <c:v>0</c:v>
                </c:pt>
                <c:pt idx="18">
                  <c:v>85.5</c:v>
                </c:pt>
                <c:pt idx="19">
                  <c:v>79.199999999999989</c:v>
                </c:pt>
                <c:pt idx="20">
                  <c:v>124</c:v>
                </c:pt>
                <c:pt idx="21">
                  <c:v>299.27999999999997</c:v>
                </c:pt>
                <c:pt idx="22">
                  <c:v>104</c:v>
                </c:pt>
                <c:pt idx="23">
                  <c:v>315.13</c:v>
                </c:pt>
                <c:pt idx="24">
                  <c:v>0</c:v>
                </c:pt>
                <c:pt idx="25">
                  <c:v>117.13</c:v>
                </c:pt>
                <c:pt idx="26">
                  <c:v>37.600000000000009</c:v>
                </c:pt>
                <c:pt idx="27">
                  <c:v>58</c:v>
                </c:pt>
                <c:pt idx="28">
                  <c:v>27.999999999999996</c:v>
                </c:pt>
                <c:pt idx="29">
                  <c:v>115.95</c:v>
                </c:pt>
                <c:pt idx="30">
                  <c:v>66.849999999999994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F72-4400-B276-1B463CCE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Daily!$C$45</c:f>
              <c:strCache>
                <c:ptCount val="1"/>
                <c:pt idx="0">
                  <c:v>BQ sản lượng kế hoạch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963693236937945E-2"/>
                  <c:y val="-2.0089579765511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4-499C-B11A-52C13ADC1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Daily!$D$45:$AH$45</c:f>
              <c:numCache>
                <c:formatCode>#,##0</c:formatCode>
                <c:ptCount val="31"/>
                <c:pt idx="0">
                  <c:v>143.94076442253794</c:v>
                </c:pt>
                <c:pt idx="1">
                  <c:v>143.94076442253794</c:v>
                </c:pt>
                <c:pt idx="2">
                  <c:v>143.94076442253794</c:v>
                </c:pt>
                <c:pt idx="3">
                  <c:v>143.94076442253794</c:v>
                </c:pt>
                <c:pt idx="4">
                  <c:v>143.94076442253794</c:v>
                </c:pt>
                <c:pt idx="5">
                  <c:v>143.94076442253794</c:v>
                </c:pt>
                <c:pt idx="6">
                  <c:v>143.94076442253794</c:v>
                </c:pt>
                <c:pt idx="7">
                  <c:v>143.94076442253794</c:v>
                </c:pt>
                <c:pt idx="8">
                  <c:v>143.94076442253794</c:v>
                </c:pt>
                <c:pt idx="9">
                  <c:v>143.94076442253794</c:v>
                </c:pt>
                <c:pt idx="10">
                  <c:v>143.94076442253794</c:v>
                </c:pt>
                <c:pt idx="11">
                  <c:v>143.94076442253794</c:v>
                </c:pt>
                <c:pt idx="12">
                  <c:v>143.94076442253794</c:v>
                </c:pt>
                <c:pt idx="13">
                  <c:v>143.94076442253794</c:v>
                </c:pt>
                <c:pt idx="14">
                  <c:v>143.94076442253794</c:v>
                </c:pt>
                <c:pt idx="15">
                  <c:v>143.94076442253794</c:v>
                </c:pt>
                <c:pt idx="16">
                  <c:v>143.94076442253794</c:v>
                </c:pt>
                <c:pt idx="17">
                  <c:v>143.94076442253794</c:v>
                </c:pt>
                <c:pt idx="18">
                  <c:v>143.94076442253794</c:v>
                </c:pt>
                <c:pt idx="19">
                  <c:v>143.94076442253794</c:v>
                </c:pt>
                <c:pt idx="20">
                  <c:v>143.94076442253794</c:v>
                </c:pt>
                <c:pt idx="21">
                  <c:v>143.94076442253794</c:v>
                </c:pt>
                <c:pt idx="22">
                  <c:v>143.94076442253794</c:v>
                </c:pt>
                <c:pt idx="23">
                  <c:v>143.94076442253794</c:v>
                </c:pt>
                <c:pt idx="24">
                  <c:v>143.94076442253794</c:v>
                </c:pt>
                <c:pt idx="25">
                  <c:v>143.94076442253794</c:v>
                </c:pt>
                <c:pt idx="26">
                  <c:v>143.94076442253794</c:v>
                </c:pt>
                <c:pt idx="27">
                  <c:v>143.94076442253794</c:v>
                </c:pt>
                <c:pt idx="28">
                  <c:v>143.94076442253794</c:v>
                </c:pt>
                <c:pt idx="29">
                  <c:v>143.94076442253794</c:v>
                </c:pt>
                <c:pt idx="30">
                  <c:v>143.94076442253794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2-4AFB-93D5-590FED848E32}"/>
            </c:ext>
          </c:extLst>
        </c:ser>
        <c:ser>
          <c:idx val="2"/>
          <c:order val="2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948516995870486E-2"/>
                  <c:y val="3.843956598859621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63286377485252E-2"/>
                      <c:h val="0.11028668500509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74-499C-B11A-52C13ADC1C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113.32193548387096</c:v>
                </c:pt>
                <c:pt idx="1">
                  <c:v>113.32193548387096</c:v>
                </c:pt>
                <c:pt idx="2">
                  <c:v>113.32193548387096</c:v>
                </c:pt>
                <c:pt idx="3">
                  <c:v>113.32193548387096</c:v>
                </c:pt>
                <c:pt idx="4">
                  <c:v>113.32193548387096</c:v>
                </c:pt>
                <c:pt idx="5">
                  <c:v>113.32193548387096</c:v>
                </c:pt>
                <c:pt idx="6">
                  <c:v>113.32193548387096</c:v>
                </c:pt>
                <c:pt idx="7">
                  <c:v>113.32193548387096</c:v>
                </c:pt>
                <c:pt idx="8">
                  <c:v>113.32193548387096</c:v>
                </c:pt>
                <c:pt idx="9">
                  <c:v>113.32193548387096</c:v>
                </c:pt>
                <c:pt idx="10">
                  <c:v>113.32193548387096</c:v>
                </c:pt>
                <c:pt idx="11">
                  <c:v>113.32193548387096</c:v>
                </c:pt>
                <c:pt idx="12">
                  <c:v>113.32193548387096</c:v>
                </c:pt>
                <c:pt idx="13">
                  <c:v>113.32193548387096</c:v>
                </c:pt>
                <c:pt idx="14">
                  <c:v>113.32193548387096</c:v>
                </c:pt>
                <c:pt idx="15">
                  <c:v>113.32193548387096</c:v>
                </c:pt>
                <c:pt idx="16">
                  <c:v>113.32193548387096</c:v>
                </c:pt>
                <c:pt idx="17">
                  <c:v>113.32193548387096</c:v>
                </c:pt>
                <c:pt idx="18">
                  <c:v>113.32193548387096</c:v>
                </c:pt>
                <c:pt idx="19">
                  <c:v>113.32193548387096</c:v>
                </c:pt>
                <c:pt idx="20">
                  <c:v>113.32193548387096</c:v>
                </c:pt>
                <c:pt idx="21">
                  <c:v>113.32193548387096</c:v>
                </c:pt>
                <c:pt idx="22">
                  <c:v>113.32193548387096</c:v>
                </c:pt>
                <c:pt idx="23">
                  <c:v>113.32193548387096</c:v>
                </c:pt>
                <c:pt idx="24">
                  <c:v>113.32193548387096</c:v>
                </c:pt>
                <c:pt idx="25">
                  <c:v>113.32193548387096</c:v>
                </c:pt>
                <c:pt idx="26">
                  <c:v>113.32193548387096</c:v>
                </c:pt>
                <c:pt idx="27">
                  <c:v>113.32193548387096</c:v>
                </c:pt>
                <c:pt idx="28">
                  <c:v>113.32193548387096</c:v>
                </c:pt>
                <c:pt idx="29">
                  <c:v>113.32193548387096</c:v>
                </c:pt>
                <c:pt idx="30">
                  <c:v>113.32193548387096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2-4AFB-93D5-590FED84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48918250912789"/>
          <c:y val="1.6946372111896351E-2"/>
          <c:w val="0.25343161291605099"/>
          <c:h val="0.2026819492646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Daily!$C$5</c:f>
          <c:strCache>
            <c:ptCount val="1"/>
            <c:pt idx="0">
              <c:v>Doanh thu ngày (triệu VND)</c:v>
            </c:pt>
          </c:strCache>
        </c:strRef>
      </c:tx>
      <c:layout>
        <c:manualLayout>
          <c:xMode val="edge"/>
          <c:yMode val="edge"/>
          <c:x val="0.31251656676269196"/>
          <c:y val="1.3784398864469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394362560502823E-2"/>
          <c:y val="0.13865508353910208"/>
          <c:w val="0.94804578925203231"/>
          <c:h val="0.733155790081213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EB-4002-9CF7-17BE958667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EB-4002-9CF7-17BE958667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F-47E5-9282-778561FE42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E-4FB9-9341-E1BCC892F9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137809403510451E-2"/>
                      <c:h val="7.5098889436219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36-4C6C-ABBC-3677EC6D9891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180559299552972E-2"/>
                      <c:h val="7.4445598044068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33-40BA-9A69-F3D110A1F5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4CB-9F32-A47B97A172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4B8-9BF5-3D199EC12E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B-47DB-9F9E-9B33B2258360}"/>
                </c:ext>
              </c:extLst>
            </c:dLbl>
            <c:dLbl>
              <c:idx val="22"/>
              <c:layout>
                <c:manualLayout>
                  <c:x val="-1.20263860804524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2-49CD-964B-BC3F3317B8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A2-45CB-82B3-8B6BFE4F5B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Daily!$D$5:$AH$5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2057.933</c:v>
                </c:pt>
                <c:pt idx="5">
                  <c:v>505.15999999999997</c:v>
                </c:pt>
                <c:pt idx="6">
                  <c:v>11384.101999999999</c:v>
                </c:pt>
                <c:pt idx="7">
                  <c:v>11224.870999999999</c:v>
                </c:pt>
                <c:pt idx="8">
                  <c:v>2004.15</c:v>
                </c:pt>
                <c:pt idx="9">
                  <c:v>2223.67</c:v>
                </c:pt>
                <c:pt idx="10">
                  <c:v>0</c:v>
                </c:pt>
                <c:pt idx="11">
                  <c:v>9329.3510000000006</c:v>
                </c:pt>
                <c:pt idx="12">
                  <c:v>4542.6810000000005</c:v>
                </c:pt>
                <c:pt idx="13">
                  <c:v>1320.2170000000001</c:v>
                </c:pt>
                <c:pt idx="14">
                  <c:v>8230.5560000000005</c:v>
                </c:pt>
                <c:pt idx="15">
                  <c:v>1256.2620000000002</c:v>
                </c:pt>
                <c:pt idx="16">
                  <c:v>9325.4699999999993</c:v>
                </c:pt>
                <c:pt idx="17">
                  <c:v>0</c:v>
                </c:pt>
                <c:pt idx="18">
                  <c:v>2751.8</c:v>
                </c:pt>
                <c:pt idx="19">
                  <c:v>2639.4859999999999</c:v>
                </c:pt>
                <c:pt idx="20">
                  <c:v>4067.5540000000001</c:v>
                </c:pt>
                <c:pt idx="21">
                  <c:v>7912.15</c:v>
                </c:pt>
                <c:pt idx="22">
                  <c:v>3152.63</c:v>
                </c:pt>
                <c:pt idx="23">
                  <c:v>9244.369999999999</c:v>
                </c:pt>
                <c:pt idx="24">
                  <c:v>0</c:v>
                </c:pt>
                <c:pt idx="25">
                  <c:v>3732.9900000000002</c:v>
                </c:pt>
                <c:pt idx="26">
                  <c:v>770.66699999999992</c:v>
                </c:pt>
                <c:pt idx="27">
                  <c:v>2134.9749999999999</c:v>
                </c:pt>
                <c:pt idx="28">
                  <c:v>860.71600000000001</c:v>
                </c:pt>
                <c:pt idx="29">
                  <c:v>3104.2190000000001</c:v>
                </c:pt>
                <c:pt idx="30">
                  <c:v>2553.59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6-4BAD-92CC-19A3EF02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Daily!$O$1</c:f>
              <c:strCache>
                <c:ptCount val="1"/>
                <c:pt idx="0">
                  <c:v>BQ dự kiến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708657444990019E-2"/>
                  <c:y val="-5.65293761459200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Daily!$D$3:$AH$3</c:f>
              <c:numCache>
                <c:formatCode>#,##0</c:formatCode>
                <c:ptCount val="31"/>
                <c:pt idx="0">
                  <c:v>4534.9002762472874</c:v>
                </c:pt>
                <c:pt idx="1">
                  <c:v>4534.9002762472874</c:v>
                </c:pt>
                <c:pt idx="2">
                  <c:v>4534.9002762472874</c:v>
                </c:pt>
                <c:pt idx="3">
                  <c:v>4534.9002762472874</c:v>
                </c:pt>
                <c:pt idx="4">
                  <c:v>4534.9002762472874</c:v>
                </c:pt>
                <c:pt idx="5">
                  <c:v>4534.9002762472874</c:v>
                </c:pt>
                <c:pt idx="6">
                  <c:v>4534.9002762472874</c:v>
                </c:pt>
                <c:pt idx="7">
                  <c:v>4534.9002762472874</c:v>
                </c:pt>
                <c:pt idx="8">
                  <c:v>4534.9002762472874</c:v>
                </c:pt>
                <c:pt idx="9">
                  <c:v>4534.9002762472874</c:v>
                </c:pt>
                <c:pt idx="10">
                  <c:v>4534.9002762472874</c:v>
                </c:pt>
                <c:pt idx="11">
                  <c:v>4534.9002762472874</c:v>
                </c:pt>
                <c:pt idx="12">
                  <c:v>4534.9002762472874</c:v>
                </c:pt>
                <c:pt idx="13">
                  <c:v>4534.9002762472874</c:v>
                </c:pt>
                <c:pt idx="14">
                  <c:v>4534.9002762472874</c:v>
                </c:pt>
                <c:pt idx="15">
                  <c:v>4534.9002762472874</c:v>
                </c:pt>
                <c:pt idx="16">
                  <c:v>4534.9002762472874</c:v>
                </c:pt>
                <c:pt idx="17">
                  <c:v>4534.9002762472874</c:v>
                </c:pt>
                <c:pt idx="18">
                  <c:v>4534.9002762472874</c:v>
                </c:pt>
                <c:pt idx="19">
                  <c:v>4534.9002762472874</c:v>
                </c:pt>
                <c:pt idx="20">
                  <c:v>4534.9002762472874</c:v>
                </c:pt>
                <c:pt idx="21">
                  <c:v>4534.9002762472874</c:v>
                </c:pt>
                <c:pt idx="22">
                  <c:v>4534.9002762472874</c:v>
                </c:pt>
                <c:pt idx="23">
                  <c:v>4534.9002762472874</c:v>
                </c:pt>
                <c:pt idx="24">
                  <c:v>4534.9002762472874</c:v>
                </c:pt>
                <c:pt idx="25">
                  <c:v>4534.9002762472874</c:v>
                </c:pt>
                <c:pt idx="26">
                  <c:v>4534.9002762472874</c:v>
                </c:pt>
                <c:pt idx="27">
                  <c:v>4534.9002762472874</c:v>
                </c:pt>
                <c:pt idx="28">
                  <c:v>4534.9002762472874</c:v>
                </c:pt>
                <c:pt idx="29">
                  <c:v>4534.9002762472874</c:v>
                </c:pt>
                <c:pt idx="30">
                  <c:v>4534.9002762472874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9-4311-BA72-AD56949FA6B1}"/>
            </c:ext>
          </c:extLst>
        </c:ser>
        <c:ser>
          <c:idx val="2"/>
          <c:order val="2"/>
          <c:tx>
            <c:strRef>
              <c:f>Daily!$P$1</c:f>
              <c:strCache>
                <c:ptCount val="1"/>
                <c:pt idx="0">
                  <c:v>BQ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852656810661525E-2"/>
                  <c:y val="-5.23271649309793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42893335379103E-2"/>
                      <c:h val="0.104034720172633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Daily!$D$44:$AH$44</c:f>
              <c:numCache>
                <c:formatCode>#,##0</c:formatCode>
                <c:ptCount val="31"/>
                <c:pt idx="0">
                  <c:v>3429.9861290322588</c:v>
                </c:pt>
                <c:pt idx="1">
                  <c:v>3429.9861290322588</c:v>
                </c:pt>
                <c:pt idx="2">
                  <c:v>3429.9861290322588</c:v>
                </c:pt>
                <c:pt idx="3">
                  <c:v>3429.9861290322588</c:v>
                </c:pt>
                <c:pt idx="4">
                  <c:v>3429.9861290322588</c:v>
                </c:pt>
                <c:pt idx="5">
                  <c:v>3429.9861290322588</c:v>
                </c:pt>
                <c:pt idx="6">
                  <c:v>3429.9861290322588</c:v>
                </c:pt>
                <c:pt idx="7">
                  <c:v>3429.9861290322588</c:v>
                </c:pt>
                <c:pt idx="8">
                  <c:v>3429.9861290322588</c:v>
                </c:pt>
                <c:pt idx="9">
                  <c:v>3429.9861290322588</c:v>
                </c:pt>
                <c:pt idx="10">
                  <c:v>3429.9861290322588</c:v>
                </c:pt>
                <c:pt idx="11">
                  <c:v>3429.9861290322588</c:v>
                </c:pt>
                <c:pt idx="12">
                  <c:v>3429.9861290322588</c:v>
                </c:pt>
                <c:pt idx="13">
                  <c:v>3429.9861290322588</c:v>
                </c:pt>
                <c:pt idx="14">
                  <c:v>3429.9861290322588</c:v>
                </c:pt>
                <c:pt idx="15">
                  <c:v>3429.9861290322588</c:v>
                </c:pt>
                <c:pt idx="16">
                  <c:v>3429.9861290322588</c:v>
                </c:pt>
                <c:pt idx="17">
                  <c:v>3429.9861290322588</c:v>
                </c:pt>
                <c:pt idx="18">
                  <c:v>3429.9861290322588</c:v>
                </c:pt>
                <c:pt idx="19">
                  <c:v>3429.9861290322588</c:v>
                </c:pt>
                <c:pt idx="20">
                  <c:v>3429.9861290322588</c:v>
                </c:pt>
                <c:pt idx="21">
                  <c:v>3429.9861290322588</c:v>
                </c:pt>
                <c:pt idx="22">
                  <c:v>3429.9861290322588</c:v>
                </c:pt>
                <c:pt idx="23">
                  <c:v>3429.9861290322588</c:v>
                </c:pt>
                <c:pt idx="24">
                  <c:v>3429.9861290322588</c:v>
                </c:pt>
                <c:pt idx="25">
                  <c:v>3429.9861290322588</c:v>
                </c:pt>
                <c:pt idx="26">
                  <c:v>3429.9861290322588</c:v>
                </c:pt>
                <c:pt idx="27">
                  <c:v>3429.9861290322588</c:v>
                </c:pt>
                <c:pt idx="28">
                  <c:v>3429.9861290322588</c:v>
                </c:pt>
                <c:pt idx="29">
                  <c:v>3429.9861290322588</c:v>
                </c:pt>
                <c:pt idx="30">
                  <c:v>3429.9861290322588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6-49DE-941A-D6221F3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4742248405542"/>
          <c:y val="3.4910442984022981E-2"/>
          <c:w val="0.3375069196665092"/>
          <c:h val="8.6285236204103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Daily!$C$36</c:f>
          <c:strCache>
            <c:ptCount val="1"/>
            <c:pt idx="0">
              <c:v>Thành phẩm tồn kho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320891552095878"/>
          <c:w val="0.94339842821988473"/>
          <c:h val="0.64736034497241901"/>
        </c:manualLayout>
      </c:layout>
      <c:lineChart>
        <c:grouping val="standar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E6-4094-8F78-46FD7C88D2FF}"/>
                </c:ext>
              </c:extLst>
            </c:dLbl>
            <c:dLbl>
              <c:idx val="1"/>
              <c:layout>
                <c:manualLayout>
                  <c:x val="-1.0060081659346307E-2"/>
                  <c:y val="-7.729852803111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F32-A98B-043210951A9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9-4ADF-8AA2-762166A0DEF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0-4C3A-BB03-1FF1335D48C6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3-4B47-81A3-CE2644A06D3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4-47BB-BEF7-A2C607222A5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0-4C3A-BB03-1FF1335D48C6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1-4A9C-856B-D68D98FED57F}"/>
                </c:ext>
              </c:extLst>
            </c:dLbl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B6-4DBD-92A0-3FB02E6238C0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AC-ABA0-19A0B9920D4E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B-4127-8028-7AB2024FCDD1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C-4C86-AA8A-FDBD0DAD6EE6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4-4A29-A6BF-DF8AE48758AE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95-4A6D-912B-E1917637FC96}"/>
                </c:ext>
              </c:extLst>
            </c:dLbl>
            <c:dLbl>
              <c:idx val="2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37-4295-A15E-371686DF4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Daily!$D$36:$AH$36</c:f>
              <c:numCache>
                <c:formatCode>#,##0</c:formatCode>
                <c:ptCount val="31"/>
                <c:pt idx="0">
                  <c:v>11631.5</c:v>
                </c:pt>
                <c:pt idx="1">
                  <c:v>11631.5</c:v>
                </c:pt>
                <c:pt idx="2">
                  <c:v>11631.5</c:v>
                </c:pt>
                <c:pt idx="3">
                  <c:v>11631.5</c:v>
                </c:pt>
                <c:pt idx="4">
                  <c:v>11631.5</c:v>
                </c:pt>
                <c:pt idx="5">
                  <c:v>11526.72</c:v>
                </c:pt>
                <c:pt idx="6">
                  <c:v>11557.07</c:v>
                </c:pt>
                <c:pt idx="7">
                  <c:v>11220.4</c:v>
                </c:pt>
                <c:pt idx="8">
                  <c:v>10866.08</c:v>
                </c:pt>
                <c:pt idx="9">
                  <c:v>10828.23</c:v>
                </c:pt>
                <c:pt idx="10">
                  <c:v>10825.67</c:v>
                </c:pt>
                <c:pt idx="11">
                  <c:v>10894.92</c:v>
                </c:pt>
                <c:pt idx="12">
                  <c:v>10731.01</c:v>
                </c:pt>
                <c:pt idx="13">
                  <c:v>10763.81</c:v>
                </c:pt>
                <c:pt idx="14">
                  <c:v>10811.79</c:v>
                </c:pt>
                <c:pt idx="15">
                  <c:v>10600.97</c:v>
                </c:pt>
                <c:pt idx="16">
                  <c:v>10657.47</c:v>
                </c:pt>
                <c:pt idx="17">
                  <c:v>10421.83</c:v>
                </c:pt>
                <c:pt idx="18">
                  <c:v>10496.85</c:v>
                </c:pt>
                <c:pt idx="19">
                  <c:v>10501.92</c:v>
                </c:pt>
                <c:pt idx="20">
                  <c:v>10573.95</c:v>
                </c:pt>
                <c:pt idx="21">
                  <c:v>10551.73</c:v>
                </c:pt>
                <c:pt idx="22">
                  <c:v>10363.35</c:v>
                </c:pt>
                <c:pt idx="23">
                  <c:v>10390.530000000001</c:v>
                </c:pt>
                <c:pt idx="24">
                  <c:v>10159.93</c:v>
                </c:pt>
                <c:pt idx="25">
                  <c:v>10288.629999999999</c:v>
                </c:pt>
                <c:pt idx="26">
                  <c:v>10317.86</c:v>
                </c:pt>
                <c:pt idx="27">
                  <c:v>10433.91</c:v>
                </c:pt>
                <c:pt idx="28">
                  <c:v>10473.549999999999</c:v>
                </c:pt>
                <c:pt idx="29">
                  <c:v>10567.95</c:v>
                </c:pt>
                <c:pt idx="30">
                  <c:v>10565.46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1-458B-A838-D01FC8A0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Daily!$C$15</c:f>
          <c:strCache>
            <c:ptCount val="1"/>
            <c:pt idx="0">
              <c:v>Đơn đặt hàng phát sinh luỹ kế  từ đầu tháng (triệu VND)</c:v>
            </c:pt>
          </c:strCache>
        </c:strRef>
      </c:tx>
      <c:layout>
        <c:manualLayout>
          <c:xMode val="edge"/>
          <c:yMode val="edge"/>
          <c:x val="0.22214554998806968"/>
          <c:y val="1.01118939079983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14300485166628E-2"/>
          <c:y val="0.31041230779684437"/>
          <c:w val="0.9451713395638629"/>
          <c:h val="0.542434323215564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Daily!$C$15</c:f>
              <c:strCache>
                <c:ptCount val="1"/>
                <c:pt idx="0">
                  <c:v>Đơn đặt hàng phát sinh luỹ kế  từ đầu tháng (triệu VND)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6-4EA4-A554-4B1898688AE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7B-4669-AB33-AA29EB1638D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3-4B9E-9143-AF4141AD19F6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1-441B-BCE4-8E4939D9272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E-44DB-AE25-B5D5C5D3DEE2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0-4ECA-AE78-A436A241F7AF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521-AA1B-709935F5A2D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B0-4CE7-9AD4-B4F064BE5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Daily!$D$15:$AH$15</c:f>
              <c:numCache>
                <c:formatCode>#,##0</c:formatCode>
                <c:ptCount val="31"/>
                <c:pt idx="0">
                  <c:v>0</c:v>
                </c:pt>
                <c:pt idx="1">
                  <c:v>6196.96</c:v>
                </c:pt>
                <c:pt idx="2">
                  <c:v>6196.96</c:v>
                </c:pt>
                <c:pt idx="3">
                  <c:v>6196.96</c:v>
                </c:pt>
                <c:pt idx="4">
                  <c:v>6226.8399999999992</c:v>
                </c:pt>
                <c:pt idx="5">
                  <c:v>6226.8399999999992</c:v>
                </c:pt>
                <c:pt idx="6">
                  <c:v>8094.08</c:v>
                </c:pt>
                <c:pt idx="7">
                  <c:v>14258.02</c:v>
                </c:pt>
                <c:pt idx="8">
                  <c:v>25023.71</c:v>
                </c:pt>
                <c:pt idx="9">
                  <c:v>25023.71</c:v>
                </c:pt>
                <c:pt idx="10">
                  <c:v>25023.71</c:v>
                </c:pt>
                <c:pt idx="11">
                  <c:v>26230.170000000006</c:v>
                </c:pt>
                <c:pt idx="12">
                  <c:v>29623.32</c:v>
                </c:pt>
                <c:pt idx="13">
                  <c:v>29683.279999999999</c:v>
                </c:pt>
                <c:pt idx="14">
                  <c:v>38091.69</c:v>
                </c:pt>
                <c:pt idx="15">
                  <c:v>38868.92</c:v>
                </c:pt>
                <c:pt idx="16">
                  <c:v>38868.92</c:v>
                </c:pt>
                <c:pt idx="17">
                  <c:v>38868.92</c:v>
                </c:pt>
                <c:pt idx="18">
                  <c:v>41766.33</c:v>
                </c:pt>
                <c:pt idx="19">
                  <c:v>43336.04</c:v>
                </c:pt>
                <c:pt idx="20">
                  <c:v>44256.17</c:v>
                </c:pt>
                <c:pt idx="21">
                  <c:v>46105.66</c:v>
                </c:pt>
                <c:pt idx="22">
                  <c:v>46815.880000000005</c:v>
                </c:pt>
                <c:pt idx="23">
                  <c:v>46815.880000000005</c:v>
                </c:pt>
                <c:pt idx="24">
                  <c:v>46815.880000000005</c:v>
                </c:pt>
                <c:pt idx="25">
                  <c:v>49979.01</c:v>
                </c:pt>
                <c:pt idx="26">
                  <c:v>55860.26</c:v>
                </c:pt>
                <c:pt idx="27">
                  <c:v>87920.13</c:v>
                </c:pt>
                <c:pt idx="28">
                  <c:v>87920.13</c:v>
                </c:pt>
                <c:pt idx="29">
                  <c:v>105695.00000000001</c:v>
                </c:pt>
                <c:pt idx="30">
                  <c:v>106024.85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D0E-ADC2-6D6F164550A0}"/>
            </c:ext>
          </c:extLst>
        </c:ser>
        <c:ser>
          <c:idx val="0"/>
          <c:order val="1"/>
          <c:tx>
            <c:strRef>
              <c:f>Daily!$C$10</c:f>
              <c:strCache>
                <c:ptCount val="1"/>
                <c:pt idx="0">
                  <c:v>Doanh thu luỹ kế từ đầu tháng (triệu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EA4-A554-4B1898688AE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80-4A7C-9295-6D221AF593D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6-46F1-BB71-F356709E5E86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A9-4B82-9AB9-3C90602AB1C3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7-499C-8B1F-0FBAD30C6C18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3C-497F-8C34-04164ACDB950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2A-430D-8EC6-10F06E398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Daily!$D$10:$AH$10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2057.933</c:v>
                </c:pt>
                <c:pt idx="5">
                  <c:v>2563.0929999999998</c:v>
                </c:pt>
                <c:pt idx="6">
                  <c:v>13947.195000000002</c:v>
                </c:pt>
                <c:pt idx="7">
                  <c:v>25172.066000000003</c:v>
                </c:pt>
                <c:pt idx="8">
                  <c:v>27176.216000000004</c:v>
                </c:pt>
                <c:pt idx="9">
                  <c:v>29399.886000000006</c:v>
                </c:pt>
                <c:pt idx="10">
                  <c:v>29399.886000000006</c:v>
                </c:pt>
                <c:pt idx="11">
                  <c:v>38729.237000000001</c:v>
                </c:pt>
                <c:pt idx="12">
                  <c:v>43271.917999999998</c:v>
                </c:pt>
                <c:pt idx="13">
                  <c:v>44592.135000000009</c:v>
                </c:pt>
                <c:pt idx="14">
                  <c:v>52822.691000000006</c:v>
                </c:pt>
                <c:pt idx="15">
                  <c:v>54078.953000000009</c:v>
                </c:pt>
                <c:pt idx="16">
                  <c:v>63404.42300000001</c:v>
                </c:pt>
                <c:pt idx="17">
                  <c:v>63404.42300000001</c:v>
                </c:pt>
                <c:pt idx="18">
                  <c:v>66156.223000000013</c:v>
                </c:pt>
                <c:pt idx="19">
                  <c:v>68795.709000000003</c:v>
                </c:pt>
                <c:pt idx="20">
                  <c:v>72863.263000000006</c:v>
                </c:pt>
                <c:pt idx="21">
                  <c:v>80775.413000000015</c:v>
                </c:pt>
                <c:pt idx="22">
                  <c:v>83928.043000000005</c:v>
                </c:pt>
                <c:pt idx="23">
                  <c:v>93172.413000000015</c:v>
                </c:pt>
                <c:pt idx="24">
                  <c:v>93172.413000000015</c:v>
                </c:pt>
                <c:pt idx="25">
                  <c:v>96905.403000000006</c:v>
                </c:pt>
                <c:pt idx="26">
                  <c:v>97676.07</c:v>
                </c:pt>
                <c:pt idx="27">
                  <c:v>99811.045000000013</c:v>
                </c:pt>
                <c:pt idx="28">
                  <c:v>100671.76100000001</c:v>
                </c:pt>
                <c:pt idx="29">
                  <c:v>103775.98</c:v>
                </c:pt>
                <c:pt idx="30">
                  <c:v>106329.57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D0E-ADC2-6D6F164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21293599"/>
        <c:axId val="121296879"/>
      </c:barChart>
      <c:catAx>
        <c:axId val="12129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79"/>
        <c:crosses val="autoZero"/>
        <c:auto val="1"/>
        <c:lblAlgn val="ctr"/>
        <c:lblOffset val="100"/>
        <c:noMultiLvlLbl val="0"/>
      </c:catAx>
      <c:valAx>
        <c:axId val="121296879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212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4036969470990326"/>
          <c:w val="0.99921145150973778"/>
          <c:h val="0.10731044401724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Daily!$C$10</c:f>
          <c:strCache>
            <c:ptCount val="1"/>
            <c:pt idx="0">
              <c:v>Doanh thu luỹ kế từ đầu tháng (triệu VND)</c:v>
            </c:pt>
          </c:strCache>
        </c:strRef>
      </c:tx>
      <c:layout>
        <c:manualLayout>
          <c:xMode val="edge"/>
          <c:yMode val="edge"/>
          <c:x val="0.1874817210383854"/>
          <c:y val="1.820659084281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68459610706986E-2"/>
          <c:y val="0.11642444085507625"/>
          <c:w val="0.94316173109866441"/>
          <c:h val="0.783183435403907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5C-4B14-ADC0-ED5378A9D7D8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0D-49EB-B09E-0BA36FD21B9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0-46FC-9E5C-69647994D7A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C-4B14-ADC0-ED5378A9D7D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4-4767-BA82-F17585BF35C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21D-9D3B-1EFF79D7C930}"/>
                </c:ext>
              </c:extLst>
            </c:dLbl>
            <c:dLbl>
              <c:idx val="20"/>
              <c:layout>
                <c:manualLayout>
                  <c:x val="-1.6382865917944509E-2"/>
                  <c:y val="5.3854657728206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73-4295-B8B1-23FFA18C906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8-41ED-B4A6-55E110A89482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FA-42B2-9B44-2C9C8B2AF373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0B-4128-8693-DBCA6CBAE80F}"/>
                </c:ext>
              </c:extLst>
            </c:dLbl>
            <c:dLbl>
              <c:idx val="31"/>
              <c:layout>
                <c:manualLayout>
                  <c:x val="-2.4819735772194621E-3"/>
                  <c:y val="-5.5556420485601651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5C-4B14-ADC0-ED5378A9D7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Daily!$D$10:$AI$10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2057.933</c:v>
                </c:pt>
                <c:pt idx="5">
                  <c:v>2563.0929999999998</c:v>
                </c:pt>
                <c:pt idx="6">
                  <c:v>13947.195000000002</c:v>
                </c:pt>
                <c:pt idx="7">
                  <c:v>25172.066000000003</c:v>
                </c:pt>
                <c:pt idx="8">
                  <c:v>27176.216000000004</c:v>
                </c:pt>
                <c:pt idx="9">
                  <c:v>29399.886000000006</c:v>
                </c:pt>
                <c:pt idx="10">
                  <c:v>29399.886000000006</c:v>
                </c:pt>
                <c:pt idx="11">
                  <c:v>38729.237000000001</c:v>
                </c:pt>
                <c:pt idx="12">
                  <c:v>43271.917999999998</c:v>
                </c:pt>
                <c:pt idx="13">
                  <c:v>44592.135000000009</c:v>
                </c:pt>
                <c:pt idx="14">
                  <c:v>52822.691000000006</c:v>
                </c:pt>
                <c:pt idx="15">
                  <c:v>54078.953000000009</c:v>
                </c:pt>
                <c:pt idx="16">
                  <c:v>63404.42300000001</c:v>
                </c:pt>
                <c:pt idx="17">
                  <c:v>63404.42300000001</c:v>
                </c:pt>
                <c:pt idx="18">
                  <c:v>66156.223000000013</c:v>
                </c:pt>
                <c:pt idx="19">
                  <c:v>68795.709000000003</c:v>
                </c:pt>
                <c:pt idx="20">
                  <c:v>72863.263000000006</c:v>
                </c:pt>
                <c:pt idx="21">
                  <c:v>80775.413000000015</c:v>
                </c:pt>
                <c:pt idx="22">
                  <c:v>83928.043000000005</c:v>
                </c:pt>
                <c:pt idx="23">
                  <c:v>93172.413000000015</c:v>
                </c:pt>
                <c:pt idx="24">
                  <c:v>93172.413000000015</c:v>
                </c:pt>
                <c:pt idx="25">
                  <c:v>96905.403000000006</c:v>
                </c:pt>
                <c:pt idx="26">
                  <c:v>97676.07</c:v>
                </c:pt>
                <c:pt idx="27">
                  <c:v>99811.045000000013</c:v>
                </c:pt>
                <c:pt idx="28">
                  <c:v>100671.76100000001</c:v>
                </c:pt>
                <c:pt idx="29">
                  <c:v>103775.98</c:v>
                </c:pt>
                <c:pt idx="30">
                  <c:v>106329.57</c:v>
                </c:pt>
                <c:pt idx="31">
                  <c:v>131658.39511685679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Daily!$C$47</c:f>
              <c:strCache>
                <c:ptCount val="1"/>
                <c:pt idx="0">
                  <c:v>Dự kiến cả tháng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Daily!$D$2:$AI$2</c:f>
              <c:numCache>
                <c:formatCode>#,##0</c:formatCode>
                <c:ptCount val="32"/>
                <c:pt idx="0">
                  <c:v>4388.6131705618927</c:v>
                </c:pt>
                <c:pt idx="1">
                  <c:v>8777.2263411237855</c:v>
                </c:pt>
                <c:pt idx="2">
                  <c:v>13165.839511685677</c:v>
                </c:pt>
                <c:pt idx="3">
                  <c:v>17554.452682247571</c:v>
                </c:pt>
                <c:pt idx="4">
                  <c:v>21943.065852809465</c:v>
                </c:pt>
                <c:pt idx="5">
                  <c:v>26331.679023371358</c:v>
                </c:pt>
                <c:pt idx="6">
                  <c:v>30720.292193933252</c:v>
                </c:pt>
                <c:pt idx="7">
                  <c:v>35108.905364495142</c:v>
                </c:pt>
                <c:pt idx="8">
                  <c:v>39497.518535057032</c:v>
                </c:pt>
                <c:pt idx="9">
                  <c:v>43886.131705618922</c:v>
                </c:pt>
                <c:pt idx="10">
                  <c:v>48274.744876180812</c:v>
                </c:pt>
                <c:pt idx="11">
                  <c:v>52663.358046742702</c:v>
                </c:pt>
                <c:pt idx="12">
                  <c:v>57051.971217304592</c:v>
                </c:pt>
                <c:pt idx="13">
                  <c:v>61440.584387866482</c:v>
                </c:pt>
                <c:pt idx="14">
                  <c:v>65829.197558428379</c:v>
                </c:pt>
                <c:pt idx="15">
                  <c:v>70217.810728990269</c:v>
                </c:pt>
                <c:pt idx="16">
                  <c:v>74606.423899552159</c:v>
                </c:pt>
                <c:pt idx="17">
                  <c:v>78995.037070114049</c:v>
                </c:pt>
                <c:pt idx="18">
                  <c:v>83383.650240675939</c:v>
                </c:pt>
                <c:pt idx="19">
                  <c:v>87772.263411237829</c:v>
                </c:pt>
                <c:pt idx="20">
                  <c:v>92160.876581799719</c:v>
                </c:pt>
                <c:pt idx="21">
                  <c:v>96549.489752361609</c:v>
                </c:pt>
                <c:pt idx="22">
                  <c:v>100938.1029229235</c:v>
                </c:pt>
                <c:pt idx="23">
                  <c:v>105326.71609348539</c:v>
                </c:pt>
                <c:pt idx="24">
                  <c:v>109715.32926404728</c:v>
                </c:pt>
                <c:pt idx="25">
                  <c:v>114103.94243460917</c:v>
                </c:pt>
                <c:pt idx="26">
                  <c:v>118492.55560517106</c:v>
                </c:pt>
                <c:pt idx="27">
                  <c:v>122881.16877573295</c:v>
                </c:pt>
                <c:pt idx="28">
                  <c:v>127269.78194629484</c:v>
                </c:pt>
                <c:pt idx="29">
                  <c:v>131658.39511685673</c:v>
                </c:pt>
                <c:pt idx="30">
                  <c:v>136047.00828741863</c:v>
                </c:pt>
                <c:pt idx="31">
                  <c:v>136047.00828741863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9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7.3260059173361185E-3"/>
          <c:y val="0.14134406532516769"/>
          <c:w val="0.69273116000285351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Daily!$AK$10</c:f>
          <c:strCache>
            <c:ptCount val="1"/>
            <c:pt idx="0">
              <c:v>80,8%</c:v>
            </c:pt>
          </c:strCache>
        </c:strRef>
      </c:tx>
      <c:layout>
        <c:manualLayout>
          <c:xMode val="edge"/>
          <c:yMode val="edge"/>
          <c:x val="0.41888178483753535"/>
          <c:y val="0.22546528844544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61724754318476"/>
          <c:y val="1.1847851014935013E-2"/>
          <c:w val="0.7426954658190662"/>
          <c:h val="0.67461504811898509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5-4DC5-B28F-8595296966F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E-4DAA-868B-DBB3CD33341C}"/>
              </c:ext>
            </c:extLst>
          </c:dPt>
          <c:val>
            <c:numRef>
              <c:f>Daily!$AK$10:$AL$10</c:f>
              <c:numCache>
                <c:formatCode>0.00%</c:formatCode>
                <c:ptCount val="2"/>
                <c:pt idx="0" formatCode="0.0%">
                  <c:v>0.80761709046828711</c:v>
                </c:pt>
                <c:pt idx="1">
                  <c:v>0.19238290953171289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DC5-B28F-85952969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Daily!$B$49</c:f>
          <c:strCache>
            <c:ptCount val="1"/>
            <c:pt idx="0">
              <c:v> Doanh thu luỹ kế từ đầu tháng - B2B</c:v>
            </c:pt>
          </c:strCache>
        </c:strRef>
      </c:tx>
      <c:layout>
        <c:manualLayout>
          <c:xMode val="edge"/>
          <c:yMode val="edge"/>
          <c:x val="0.19943727044960957"/>
          <c:y val="2.759365411137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210884353741496E-2"/>
          <c:y val="0.19812135015532292"/>
          <c:w val="0.94068531567139768"/>
          <c:h val="0.67838509768859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78-4C0B-A8D3-3E9802A38DC0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F-446B-8CAB-3D1926086D6B}"/>
                </c:ext>
              </c:extLst>
            </c:dLbl>
            <c:dLbl>
              <c:idx val="6"/>
              <c:layout>
                <c:manualLayout>
                  <c:x val="-4.6467559880494433E-3"/>
                  <c:y val="-5.0011247608344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F-446B-8CAB-3D1926086D6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DA-4F14-9AE3-DF8862244E0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F-4010-8006-891D173B03F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E-433D-A61D-2B4D9B283C5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D-45E3-A98E-3964AE501002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D-45E3-A98E-3964AE50100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E-41F1-AE54-D91FB795EE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1-430D-A911-B0795C9C6304}"/>
                </c:ext>
              </c:extLst>
            </c:dLbl>
            <c:dLbl>
              <c:idx val="31"/>
              <c:layout>
                <c:manualLayout>
                  <c:x val="9.0185037469108255E-3"/>
                  <c:y val="-2.6283014201604577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78-4C0B-A8D3-3E9802A38D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Daily!$D$49:$AI$49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1503.8230000000001</c:v>
                </c:pt>
                <c:pt idx="5">
                  <c:v>1609.0330000000001</c:v>
                </c:pt>
                <c:pt idx="6">
                  <c:v>2434.2350000000001</c:v>
                </c:pt>
                <c:pt idx="7">
                  <c:v>3211.8560000000002</c:v>
                </c:pt>
                <c:pt idx="8">
                  <c:v>4816.0560000000005</c:v>
                </c:pt>
                <c:pt idx="9">
                  <c:v>6665.2960000000003</c:v>
                </c:pt>
                <c:pt idx="10">
                  <c:v>6665.2960000000003</c:v>
                </c:pt>
                <c:pt idx="11">
                  <c:v>9760.2570000000014</c:v>
                </c:pt>
                <c:pt idx="12">
                  <c:v>13540.208000000002</c:v>
                </c:pt>
                <c:pt idx="13">
                  <c:v>14460.475000000002</c:v>
                </c:pt>
                <c:pt idx="14">
                  <c:v>15417.691000000003</c:v>
                </c:pt>
                <c:pt idx="15">
                  <c:v>16311.173000000003</c:v>
                </c:pt>
                <c:pt idx="16">
                  <c:v>19013.193000000003</c:v>
                </c:pt>
                <c:pt idx="17">
                  <c:v>19013.193000000003</c:v>
                </c:pt>
                <c:pt idx="18">
                  <c:v>21357.783000000003</c:v>
                </c:pt>
                <c:pt idx="19">
                  <c:v>23260.059000000001</c:v>
                </c:pt>
                <c:pt idx="20">
                  <c:v>26326.353000000003</c:v>
                </c:pt>
                <c:pt idx="21">
                  <c:v>27931.853000000003</c:v>
                </c:pt>
                <c:pt idx="22">
                  <c:v>29548.263000000003</c:v>
                </c:pt>
                <c:pt idx="23">
                  <c:v>30777.263000000003</c:v>
                </c:pt>
                <c:pt idx="24">
                  <c:v>30777.263000000003</c:v>
                </c:pt>
                <c:pt idx="25">
                  <c:v>33233.563000000002</c:v>
                </c:pt>
                <c:pt idx="26">
                  <c:v>33615.17</c:v>
                </c:pt>
                <c:pt idx="27">
                  <c:v>34693.574999999997</c:v>
                </c:pt>
                <c:pt idx="28">
                  <c:v>34790.800999999999</c:v>
                </c:pt>
                <c:pt idx="29">
                  <c:v>36791.599999999999</c:v>
                </c:pt>
                <c:pt idx="30">
                  <c:v>38113.06</c:v>
                </c:pt>
                <c:pt idx="31">
                  <c:v>60334.1510259477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Daily!$D$51:$AI$51</c:f>
              <c:numCache>
                <c:formatCode>#,##0</c:formatCode>
                <c:ptCount val="32"/>
                <c:pt idx="0">
                  <c:v>2011.1383675315899</c:v>
                </c:pt>
                <c:pt idx="1">
                  <c:v>4022.2767350631798</c:v>
                </c:pt>
                <c:pt idx="2">
                  <c:v>6033.4151025947695</c:v>
                </c:pt>
                <c:pt idx="3">
                  <c:v>8044.5534701263596</c:v>
                </c:pt>
                <c:pt idx="4">
                  <c:v>10055.691837657949</c:v>
                </c:pt>
                <c:pt idx="5">
                  <c:v>12066.830205189539</c:v>
                </c:pt>
                <c:pt idx="6">
                  <c:v>14077.968572721129</c:v>
                </c:pt>
                <c:pt idx="7">
                  <c:v>16089.106940252719</c:v>
                </c:pt>
                <c:pt idx="8">
                  <c:v>18100.245307784309</c:v>
                </c:pt>
                <c:pt idx="9">
                  <c:v>20111.383675315898</c:v>
                </c:pt>
                <c:pt idx="10">
                  <c:v>22122.522042847486</c:v>
                </c:pt>
                <c:pt idx="11">
                  <c:v>24133.660410379074</c:v>
                </c:pt>
                <c:pt idx="12">
                  <c:v>26144.798777910662</c:v>
                </c:pt>
                <c:pt idx="13">
                  <c:v>28155.937145442251</c:v>
                </c:pt>
                <c:pt idx="14">
                  <c:v>30167.075512973839</c:v>
                </c:pt>
                <c:pt idx="15">
                  <c:v>32178.213880505427</c:v>
                </c:pt>
                <c:pt idx="16">
                  <c:v>34189.352248037016</c:v>
                </c:pt>
                <c:pt idx="17">
                  <c:v>36200.490615568604</c:v>
                </c:pt>
                <c:pt idx="18">
                  <c:v>38211.628983100192</c:v>
                </c:pt>
                <c:pt idx="19">
                  <c:v>40222.767350631781</c:v>
                </c:pt>
                <c:pt idx="20">
                  <c:v>42233.905718163369</c:v>
                </c:pt>
                <c:pt idx="21">
                  <c:v>44245.044085694957</c:v>
                </c:pt>
                <c:pt idx="22">
                  <c:v>46256.182453226545</c:v>
                </c:pt>
                <c:pt idx="23">
                  <c:v>48267.320820758134</c:v>
                </c:pt>
                <c:pt idx="24">
                  <c:v>50278.459188289722</c:v>
                </c:pt>
                <c:pt idx="25">
                  <c:v>52289.59755582131</c:v>
                </c:pt>
                <c:pt idx="26">
                  <c:v>54300.735923352899</c:v>
                </c:pt>
                <c:pt idx="27">
                  <c:v>56311.874290884487</c:v>
                </c:pt>
                <c:pt idx="28">
                  <c:v>58323.012658416075</c:v>
                </c:pt>
                <c:pt idx="29">
                  <c:v>60334.151025947664</c:v>
                </c:pt>
                <c:pt idx="30">
                  <c:v>62345.289393479252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Daily!$B$50</c:f>
          <c:strCache>
            <c:ptCount val="1"/>
            <c:pt idx="0">
              <c:v> Doanh thu luỹ kế từ đầu tháng - Xuất khẩu</c:v>
            </c:pt>
          </c:strCache>
        </c:strRef>
      </c:tx>
      <c:layout>
        <c:manualLayout>
          <c:xMode val="edge"/>
          <c:yMode val="edge"/>
          <c:x val="0.20349755800094987"/>
          <c:y val="1.858035368995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575910719698167E-2"/>
          <c:y val="0.1330785840406748"/>
          <c:w val="0.93584591755195079"/>
          <c:h val="0.756047758824082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1-417E-A5BD-CBA78AD84103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B7A-903F-D1302733752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F-4E27-A371-5B5786612B7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6B-4199-B8ED-6611DD1A38B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31-426C-B533-B38167AC8DA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D9-486E-BB9A-B12CD469EE7F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A-4757-88BF-5F64DBA40D95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24-4E41-A5A4-93FE703203A4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E4-4FE6-96FF-E36A62F2668B}"/>
                </c:ext>
              </c:extLst>
            </c:dLbl>
            <c:dLbl>
              <c:idx val="31"/>
              <c:layout>
                <c:manualLayout>
                  <c:x val="2.3176840387122582E-3"/>
                  <c:y val="-5.9882446941665834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01-417E-A5BD-CBA78AD84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Daily!$D$50:$AI$50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9784.52</c:v>
                </c:pt>
                <c:pt idx="7">
                  <c:v>19483.190000000002</c:v>
                </c:pt>
                <c:pt idx="8">
                  <c:v>19483.190000000002</c:v>
                </c:pt>
                <c:pt idx="9">
                  <c:v>19483.190000000002</c:v>
                </c:pt>
                <c:pt idx="10">
                  <c:v>19483.190000000002</c:v>
                </c:pt>
                <c:pt idx="11">
                  <c:v>25717.58</c:v>
                </c:pt>
                <c:pt idx="12">
                  <c:v>25717.58</c:v>
                </c:pt>
                <c:pt idx="13">
                  <c:v>25717.58</c:v>
                </c:pt>
                <c:pt idx="14">
                  <c:v>32242.340000000004</c:v>
                </c:pt>
                <c:pt idx="15">
                  <c:v>32242.340000000004</c:v>
                </c:pt>
                <c:pt idx="16">
                  <c:v>38476.730000000003</c:v>
                </c:pt>
                <c:pt idx="17">
                  <c:v>38476.730000000003</c:v>
                </c:pt>
                <c:pt idx="18">
                  <c:v>38476.730000000003</c:v>
                </c:pt>
                <c:pt idx="19">
                  <c:v>38476.730000000003</c:v>
                </c:pt>
                <c:pt idx="20">
                  <c:v>38476.730000000003</c:v>
                </c:pt>
                <c:pt idx="21">
                  <c:v>43671.26</c:v>
                </c:pt>
                <c:pt idx="22">
                  <c:v>44089.990000000005</c:v>
                </c:pt>
                <c:pt idx="23">
                  <c:v>51570.400000000009</c:v>
                </c:pt>
                <c:pt idx="24">
                  <c:v>51570.400000000009</c:v>
                </c:pt>
                <c:pt idx="25">
                  <c:v>52284.69000000001</c:v>
                </c:pt>
                <c:pt idx="26">
                  <c:v>52284.69000000001</c:v>
                </c:pt>
                <c:pt idx="27">
                  <c:v>52284.69000000001</c:v>
                </c:pt>
                <c:pt idx="28">
                  <c:v>52284.69000000001</c:v>
                </c:pt>
                <c:pt idx="29">
                  <c:v>52958.87000000001</c:v>
                </c:pt>
                <c:pt idx="30">
                  <c:v>53472.090000000011</c:v>
                </c:pt>
                <c:pt idx="31">
                  <c:v>70989.019090909074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Daily!$D$52:$AI$52</c:f>
              <c:numCache>
                <c:formatCode>#,##0</c:formatCode>
                <c:ptCount val="32"/>
                <c:pt idx="0">
                  <c:v>2366.3006363636359</c:v>
                </c:pt>
                <c:pt idx="1">
                  <c:v>4732.6012727272719</c:v>
                </c:pt>
                <c:pt idx="2">
                  <c:v>7098.9019090909078</c:v>
                </c:pt>
                <c:pt idx="3">
                  <c:v>9465.2025454545437</c:v>
                </c:pt>
                <c:pt idx="4">
                  <c:v>11831.50318181818</c:v>
                </c:pt>
                <c:pt idx="5">
                  <c:v>14197.803818181816</c:v>
                </c:pt>
                <c:pt idx="6">
                  <c:v>16564.10445454545</c:v>
                </c:pt>
                <c:pt idx="7">
                  <c:v>18930.405090909087</c:v>
                </c:pt>
                <c:pt idx="8">
                  <c:v>21296.705727272725</c:v>
                </c:pt>
                <c:pt idx="9">
                  <c:v>23663.006363636363</c:v>
                </c:pt>
                <c:pt idx="10">
                  <c:v>26029.307000000001</c:v>
                </c:pt>
                <c:pt idx="11">
                  <c:v>28395.607636363638</c:v>
                </c:pt>
                <c:pt idx="12">
                  <c:v>30761.908272727276</c:v>
                </c:pt>
                <c:pt idx="13">
                  <c:v>33128.208909090914</c:v>
                </c:pt>
                <c:pt idx="14">
                  <c:v>35494.509545454552</c:v>
                </c:pt>
                <c:pt idx="15">
                  <c:v>37860.810181818189</c:v>
                </c:pt>
                <c:pt idx="16">
                  <c:v>40227.110818181827</c:v>
                </c:pt>
                <c:pt idx="17">
                  <c:v>42593.411454545465</c:v>
                </c:pt>
                <c:pt idx="18">
                  <c:v>44959.712090909103</c:v>
                </c:pt>
                <c:pt idx="19">
                  <c:v>47326.01272727274</c:v>
                </c:pt>
                <c:pt idx="20">
                  <c:v>49692.313363636378</c:v>
                </c:pt>
                <c:pt idx="21">
                  <c:v>52058.614000000016</c:v>
                </c:pt>
                <c:pt idx="22">
                  <c:v>54424.914636363654</c:v>
                </c:pt>
                <c:pt idx="23">
                  <c:v>56791.215272727291</c:v>
                </c:pt>
                <c:pt idx="24">
                  <c:v>59157.515909090929</c:v>
                </c:pt>
                <c:pt idx="25">
                  <c:v>61523.816545454567</c:v>
                </c:pt>
                <c:pt idx="26">
                  <c:v>63890.117181818205</c:v>
                </c:pt>
                <c:pt idx="27">
                  <c:v>66256.417818181842</c:v>
                </c:pt>
                <c:pt idx="28">
                  <c:v>68622.71845454548</c:v>
                </c:pt>
                <c:pt idx="29">
                  <c:v>70989.019090909118</c:v>
                </c:pt>
                <c:pt idx="30">
                  <c:v>73355.319727272756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Daily!$AN$10</c:f>
          <c:strCache>
            <c:ptCount val="1"/>
            <c:pt idx="0">
              <c:v>63,2%</c:v>
            </c:pt>
          </c:strCache>
        </c:strRef>
      </c:tx>
      <c:layout>
        <c:manualLayout>
          <c:xMode val="edge"/>
          <c:yMode val="edge"/>
          <c:x val="0.20272708759308672"/>
          <c:y val="0.40230211025066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163344446808"/>
          <c:y val="0.1473428117199781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B-41F0-BFD2-EF05EC54733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B-41F0-BFD2-EF05EC54733E}"/>
              </c:ext>
            </c:extLst>
          </c:dPt>
          <c:val>
            <c:numRef>
              <c:f>Daily!$AN$10:$AO$10</c:f>
              <c:numCache>
                <c:formatCode>0.0%</c:formatCode>
                <c:ptCount val="2"/>
                <c:pt idx="0">
                  <c:v>0.63169961542359065</c:v>
                </c:pt>
                <c:pt idx="1">
                  <c:v>0.36830038457640935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B-41F0-BFD2-EF05EC54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70671981776763"/>
          <c:y val="0.12139190715544826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6-4734-BF13-B1FCCDFAF55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6-4734-BF13-B1FCCDFAF55C}"/>
              </c:ext>
            </c:extLst>
          </c:dPt>
          <c:val>
            <c:numRef>
              <c:f>Daily!$AQ$10:$AR$10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16B6-4734-BF13-B1FCCDFA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Daily!$AT$10</c:f>
          <c:strCache>
            <c:ptCount val="1"/>
            <c:pt idx="0">
              <c:v>75,3%</c:v>
            </c:pt>
          </c:strCache>
        </c:strRef>
      </c:tx>
      <c:layout>
        <c:manualLayout>
          <c:xMode val="edge"/>
          <c:yMode val="edge"/>
          <c:x val="0.27530218339713425"/>
          <c:y val="0.36135222623177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4063733591041"/>
          <c:y val="0"/>
          <c:w val="0.61405191178452234"/>
          <c:h val="0.992176396413725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4-432D-B12F-ED1534A6BC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4-432D-B12F-ED1534A6BCDF}"/>
              </c:ext>
            </c:extLst>
          </c:dPt>
          <c:val>
            <c:numRef>
              <c:f>Daily!$AT$10:$AU$10</c:f>
              <c:numCache>
                <c:formatCode>0.0%</c:formatCode>
                <c:ptCount val="2"/>
                <c:pt idx="0">
                  <c:v>0.7532445254881357</c:v>
                </c:pt>
                <c:pt idx="1">
                  <c:v>0.2467554745118643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4-432D-B12F-ED1534A6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4770057066129574E-2"/>
          <c:y val="0.13004629629629633"/>
          <c:w val="0.9704598858677409"/>
          <c:h val="0.703242877108784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1DB-4104-8154-5D2F2345BFB3}"/>
            </c:ext>
          </c:extLst>
        </c:ser>
        <c:ser>
          <c:idx val="5"/>
          <c:order val="5"/>
          <c:tx>
            <c:strRef>
              <c:f>Weekly!$C$8</c:f>
              <c:strCache>
                <c:ptCount val="1"/>
                <c:pt idx="0">
                  <c:v>Total: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A6-4F0C-AB56-52E5142AE1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6C-4E6B-8F6B-4834E3773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43-45F5-9A3F-D880E8D4A8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345-4DE8-8A27-0B3D369E2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42F-46C3-BC73-21CD6520CE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282C-4DAC-A773-461950EC5D7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252-4DCE-98D5-F7F82F982B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40A-41FA-84CD-0548226269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88A-463A-9764-2873B1E915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3B8-408E-9773-F7E95FDB02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39B6-48F7-8C86-A87938622F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EA-42A9-AE11-F560A8C1A1C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239D-4765-8A5C-39CF5DB4B0F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2C5-4E6E-A2F6-7D033242ED6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310-42D9-8235-A2398119956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310-42D9-8235-A2398119956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A42E-4538-B63F-BEC5EA80A79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6-4550-AC7F-E7B2219867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8EF-4FB5-8D3C-FD2C373E3CE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20D4-4124-BA33-0363B4DCFD1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2AA-4DFB-A49B-66291DFD68A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6BA-43D2-97B4-2A5E8BAD0A4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D45-479B-938D-4E8FD5DDE3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5C1-4475-B2FA-209BB6ACED5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4E-4EDB-A21A-A6894F29D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14C-4876-9CBE-D937E0607C4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2EDA-4861-86EC-C78F5E84B1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A7D-44F8-83BE-31F3FA52F07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68B-4E49-BB88-9E67822A0DB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94B-468F-B4B0-86A485A84F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500-4EC0-AB86-CE4433DB628C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BDDA-4E6A-8B04-6F84EA65D81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845-4388-B33E-B92E8E94AA0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2DBE-4198-A9C6-40D2C81CFCD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6F77-4C92-8465-D57A1777A7F1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B9B2-4FF9-9B61-06C3AC273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49E-4B0F-9D40-197C2BB2CAA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D1C-4DAC-9E63-595EA77F5FA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2D9B-4339-BFCD-2DEF55514AF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B-4F61-AA22-8B255EFDE8D6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F61-AA22-8B255EFDE8D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F61-AA22-8B255EFDE8D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F61-AA22-8B255EFDE8D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B-4F61-AA22-8B255EFDE8D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DB-4F61-AA22-8B255EFDE8D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B-4F61-AA22-8B255EFDE8D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DB-4F61-AA22-8B255EFDE8D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B-4F61-AA22-8B255EFDE8D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B-4F61-AA22-8B255EFDE8D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B-4F61-AA22-8B255EFDE8D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B-4F61-AA22-8B255EFDE8D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DB-4F61-AA22-8B255EFDE8D6}"/>
              </c:ext>
            </c:extLst>
          </c:dPt>
          <c:dLbls>
            <c:dLbl>
              <c:idx val="5"/>
              <c:layout>
                <c:manualLayout>
                  <c:x val="0"/>
                  <c:y val="7.5138107591979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2C-4DAC-A773-461950EC5D73}"/>
                </c:ext>
              </c:extLst>
            </c:dLbl>
            <c:dLbl>
              <c:idx val="47"/>
              <c:layout>
                <c:manualLayout>
                  <c:x val="1.1802540705987093E-3"/>
                  <c:y val="7.2180202240962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DB-4F61-AA22-8B255EFDE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Weekly!$D$8:$BC$8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29399.886000000006</c:v>
                </c:pt>
                <c:pt idx="2">
                  <c:v>34004.537000000004</c:v>
                </c:pt>
                <c:pt idx="3">
                  <c:v>29767.989999999998</c:v>
                </c:pt>
                <c:pt idx="4">
                  <c:v>13157.156999999999</c:v>
                </c:pt>
                <c:pt idx="5">
                  <c:v>32512.92628946669</c:v>
                </c:pt>
                <c:pt idx="6">
                  <c:v>32512.92628946669</c:v>
                </c:pt>
                <c:pt idx="7">
                  <c:v>32512.92628946669</c:v>
                </c:pt>
                <c:pt idx="8">
                  <c:v>32512.92628946669</c:v>
                </c:pt>
                <c:pt idx="9">
                  <c:v>35938.136451956809</c:v>
                </c:pt>
                <c:pt idx="10">
                  <c:v>35938.136451956809</c:v>
                </c:pt>
                <c:pt idx="11">
                  <c:v>35938.136451956809</c:v>
                </c:pt>
                <c:pt idx="12">
                  <c:v>35938.136451956809</c:v>
                </c:pt>
                <c:pt idx="13">
                  <c:v>33469.63407465045</c:v>
                </c:pt>
                <c:pt idx="14">
                  <c:v>33469.63407465045</c:v>
                </c:pt>
                <c:pt idx="15">
                  <c:v>33469.63407465045</c:v>
                </c:pt>
                <c:pt idx="16">
                  <c:v>33469.63407465045</c:v>
                </c:pt>
                <c:pt idx="17">
                  <c:v>28485.174032947412</c:v>
                </c:pt>
                <c:pt idx="18">
                  <c:v>28485.174032947412</c:v>
                </c:pt>
                <c:pt idx="19">
                  <c:v>28485.174032947412</c:v>
                </c:pt>
                <c:pt idx="20">
                  <c:v>28485.174032947412</c:v>
                </c:pt>
                <c:pt idx="21">
                  <c:v>28485.174032947412</c:v>
                </c:pt>
                <c:pt idx="22">
                  <c:v>35878.768224810912</c:v>
                </c:pt>
                <c:pt idx="23">
                  <c:v>35878.768224810912</c:v>
                </c:pt>
                <c:pt idx="24">
                  <c:v>35878.768224810912</c:v>
                </c:pt>
                <c:pt idx="25">
                  <c:v>35878.768224810912</c:v>
                </c:pt>
                <c:pt idx="26">
                  <c:v>28521.487773591994</c:v>
                </c:pt>
                <c:pt idx="27">
                  <c:v>28521.487773591994</c:v>
                </c:pt>
                <c:pt idx="28">
                  <c:v>28521.487773591994</c:v>
                </c:pt>
                <c:pt idx="29">
                  <c:v>28521.487773591994</c:v>
                </c:pt>
                <c:pt idx="30">
                  <c:v>28521.487773591994</c:v>
                </c:pt>
                <c:pt idx="31">
                  <c:v>34600.988249536153</c:v>
                </c:pt>
                <c:pt idx="32">
                  <c:v>34600.988249536153</c:v>
                </c:pt>
                <c:pt idx="33">
                  <c:v>34600.988249536153</c:v>
                </c:pt>
                <c:pt idx="34">
                  <c:v>34600.988249536153</c:v>
                </c:pt>
                <c:pt idx="35">
                  <c:v>36349.970255570639</c:v>
                </c:pt>
                <c:pt idx="36">
                  <c:v>36349.970255570639</c:v>
                </c:pt>
                <c:pt idx="37">
                  <c:v>36349.970255570639</c:v>
                </c:pt>
                <c:pt idx="38">
                  <c:v>36349.970255570639</c:v>
                </c:pt>
                <c:pt idx="39">
                  <c:v>27022.414544632724</c:v>
                </c:pt>
                <c:pt idx="40">
                  <c:v>27022.414544632724</c:v>
                </c:pt>
                <c:pt idx="41">
                  <c:v>27022.414544632724</c:v>
                </c:pt>
                <c:pt idx="42">
                  <c:v>27022.414544632724</c:v>
                </c:pt>
                <c:pt idx="43">
                  <c:v>27022.414544632724</c:v>
                </c:pt>
                <c:pt idx="44">
                  <c:v>35783.758379706735</c:v>
                </c:pt>
                <c:pt idx="45">
                  <c:v>35783.758379706735</c:v>
                </c:pt>
                <c:pt idx="46">
                  <c:v>35783.758379706735</c:v>
                </c:pt>
                <c:pt idx="47">
                  <c:v>35783.758379706735</c:v>
                </c:pt>
                <c:pt idx="48">
                  <c:v>36144.777031542857</c:v>
                </c:pt>
                <c:pt idx="49">
                  <c:v>36144.777031542857</c:v>
                </c:pt>
                <c:pt idx="50">
                  <c:v>36144.777031542857</c:v>
                </c:pt>
                <c:pt idx="51">
                  <c:v>36144.777031542857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B-4104-8154-5D2F234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DB-4104-8154-5D2F2345BF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14035.371266739419</c:v>
                      </c:pt>
                      <c:pt idx="6">
                        <c:v>14035.371266739419</c:v>
                      </c:pt>
                      <c:pt idx="7">
                        <c:v>14035.371266739419</c:v>
                      </c:pt>
                      <c:pt idx="8">
                        <c:v>14035.371266739419</c:v>
                      </c:pt>
                      <c:pt idx="9">
                        <c:v>14585.331429229538</c:v>
                      </c:pt>
                      <c:pt idx="10">
                        <c:v>14585.331429229538</c:v>
                      </c:pt>
                      <c:pt idx="11">
                        <c:v>14585.331429229538</c:v>
                      </c:pt>
                      <c:pt idx="12">
                        <c:v>14585.331429229538</c:v>
                      </c:pt>
                      <c:pt idx="13">
                        <c:v>15244.067551923175</c:v>
                      </c:pt>
                      <c:pt idx="14">
                        <c:v>15244.067551923175</c:v>
                      </c:pt>
                      <c:pt idx="15">
                        <c:v>15244.067551923175</c:v>
                      </c:pt>
                      <c:pt idx="16">
                        <c:v>15244.067551923175</c:v>
                      </c:pt>
                      <c:pt idx="17">
                        <c:v>12290.044014765595</c:v>
                      </c:pt>
                      <c:pt idx="18">
                        <c:v>12290.044014765595</c:v>
                      </c:pt>
                      <c:pt idx="19">
                        <c:v>12290.044014765595</c:v>
                      </c:pt>
                      <c:pt idx="20">
                        <c:v>12290.044014765595</c:v>
                      </c:pt>
                      <c:pt idx="21">
                        <c:v>12290.044014765595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1DB-4104-8154-5D2F2345BF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18393.748772727271</c:v>
                      </c:pt>
                      <c:pt idx="6">
                        <c:v>18393.748772727271</c:v>
                      </c:pt>
                      <c:pt idx="7">
                        <c:v>18393.748772727271</c:v>
                      </c:pt>
                      <c:pt idx="8">
                        <c:v>18393.748772727271</c:v>
                      </c:pt>
                      <c:pt idx="9">
                        <c:v>21268.998772727271</c:v>
                      </c:pt>
                      <c:pt idx="10">
                        <c:v>21268.998772727271</c:v>
                      </c:pt>
                      <c:pt idx="11">
                        <c:v>21268.998772727271</c:v>
                      </c:pt>
                      <c:pt idx="12">
                        <c:v>21268.998772727271</c:v>
                      </c:pt>
                      <c:pt idx="13">
                        <c:v>18141.760272727275</c:v>
                      </c:pt>
                      <c:pt idx="14">
                        <c:v>18141.760272727275</c:v>
                      </c:pt>
                      <c:pt idx="15">
                        <c:v>18141.760272727275</c:v>
                      </c:pt>
                      <c:pt idx="16">
                        <c:v>18141.760272727275</c:v>
                      </c:pt>
                      <c:pt idx="17">
                        <c:v>16128.085018181819</c:v>
                      </c:pt>
                      <c:pt idx="18">
                        <c:v>16128.085018181819</c:v>
                      </c:pt>
                      <c:pt idx="19">
                        <c:v>16128.085018181819</c:v>
                      </c:pt>
                      <c:pt idx="20">
                        <c:v>16128.085018181819</c:v>
                      </c:pt>
                      <c:pt idx="21">
                        <c:v>16128.085018181819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DB-4104-8154-5D2F2345BF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83.806250000000006</c:v>
                      </c:pt>
                      <c:pt idx="6">
                        <c:v>83.806250000000006</c:v>
                      </c:pt>
                      <c:pt idx="7">
                        <c:v>83.806250000000006</c:v>
                      </c:pt>
                      <c:pt idx="8">
                        <c:v>83.806250000000006</c:v>
                      </c:pt>
                      <c:pt idx="9">
                        <c:v>83.806250000000006</c:v>
                      </c:pt>
                      <c:pt idx="10">
                        <c:v>83.806250000000006</c:v>
                      </c:pt>
                      <c:pt idx="11">
                        <c:v>83.806250000000006</c:v>
                      </c:pt>
                      <c:pt idx="12">
                        <c:v>83.806250000000006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DB-4104-8154-5D2F2345BF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Weekly!$C$10</c:f>
              <c:strCache>
                <c:ptCount val="1"/>
                <c:pt idx="0">
                  <c:v>BQ kế hoạch hàng tuần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layout>
                <c:manualLayout>
                  <c:x val="-3.8089216919012514E-2"/>
                  <c:y val="-4.739575266881004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A-44D7-B53C-DDE645FE6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Weekly!$D$10:$BC$10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32202.300244263122</c:v>
                </c:pt>
                <c:pt idx="2">
                  <c:v>32202.300244263122</c:v>
                </c:pt>
                <c:pt idx="3">
                  <c:v>32202.300244263122</c:v>
                </c:pt>
                <c:pt idx="4">
                  <c:v>32202.300244263122</c:v>
                </c:pt>
                <c:pt idx="5">
                  <c:v>32202.300244263122</c:v>
                </c:pt>
                <c:pt idx="6">
                  <c:v>32202.300244263122</c:v>
                </c:pt>
                <c:pt idx="7">
                  <c:v>32202.300244263122</c:v>
                </c:pt>
                <c:pt idx="8">
                  <c:v>32202.300244263122</c:v>
                </c:pt>
                <c:pt idx="9">
                  <c:v>32202.300244263122</c:v>
                </c:pt>
                <c:pt idx="10">
                  <c:v>32202.300244263122</c:v>
                </c:pt>
                <c:pt idx="11">
                  <c:v>32202.300244263122</c:v>
                </c:pt>
                <c:pt idx="12">
                  <c:v>32202.300244263122</c:v>
                </c:pt>
                <c:pt idx="13">
                  <c:v>32202.300244263122</c:v>
                </c:pt>
                <c:pt idx="14">
                  <c:v>32202.300244263122</c:v>
                </c:pt>
                <c:pt idx="15">
                  <c:v>32202.300244263122</c:v>
                </c:pt>
                <c:pt idx="16">
                  <c:v>32202.300244263122</c:v>
                </c:pt>
                <c:pt idx="17">
                  <c:v>32202.300244263122</c:v>
                </c:pt>
                <c:pt idx="18">
                  <c:v>32202.300244263122</c:v>
                </c:pt>
                <c:pt idx="19">
                  <c:v>32202.300244263122</c:v>
                </c:pt>
                <c:pt idx="20">
                  <c:v>32202.300244263122</c:v>
                </c:pt>
                <c:pt idx="21">
                  <c:v>32202.300244263122</c:v>
                </c:pt>
                <c:pt idx="22">
                  <c:v>32202.300244263122</c:v>
                </c:pt>
                <c:pt idx="23">
                  <c:v>32202.300244263122</c:v>
                </c:pt>
                <c:pt idx="24">
                  <c:v>32202.300244263122</c:v>
                </c:pt>
                <c:pt idx="25">
                  <c:v>32202.300244263122</c:v>
                </c:pt>
                <c:pt idx="26">
                  <c:v>32202.300244263122</c:v>
                </c:pt>
                <c:pt idx="27">
                  <c:v>32202.300244263122</c:v>
                </c:pt>
                <c:pt idx="28">
                  <c:v>32202.300244263122</c:v>
                </c:pt>
                <c:pt idx="29">
                  <c:v>32202.300244263122</c:v>
                </c:pt>
                <c:pt idx="30">
                  <c:v>32202.300244263122</c:v>
                </c:pt>
                <c:pt idx="31">
                  <c:v>32202.300244263122</c:v>
                </c:pt>
                <c:pt idx="32">
                  <c:v>32202.300244263122</c:v>
                </c:pt>
                <c:pt idx="33">
                  <c:v>32202.300244263122</c:v>
                </c:pt>
                <c:pt idx="34">
                  <c:v>32202.300244263122</c:v>
                </c:pt>
                <c:pt idx="35">
                  <c:v>32202.300244263122</c:v>
                </c:pt>
                <c:pt idx="36">
                  <c:v>32202.300244263122</c:v>
                </c:pt>
                <c:pt idx="37">
                  <c:v>32202.300244263122</c:v>
                </c:pt>
                <c:pt idx="38">
                  <c:v>32202.300244263122</c:v>
                </c:pt>
                <c:pt idx="39">
                  <c:v>32202.300244263122</c:v>
                </c:pt>
                <c:pt idx="40">
                  <c:v>32202.300244263122</c:v>
                </c:pt>
                <c:pt idx="41">
                  <c:v>32202.300244263122</c:v>
                </c:pt>
                <c:pt idx="42">
                  <c:v>32202.300244263122</c:v>
                </c:pt>
                <c:pt idx="43">
                  <c:v>32202.300244263122</c:v>
                </c:pt>
                <c:pt idx="44">
                  <c:v>32202.300244263122</c:v>
                </c:pt>
                <c:pt idx="45">
                  <c:v>32202.300244263122</c:v>
                </c:pt>
                <c:pt idx="46">
                  <c:v>32202.300244263122</c:v>
                </c:pt>
                <c:pt idx="47">
                  <c:v>32202.300244263122</c:v>
                </c:pt>
                <c:pt idx="48">
                  <c:v>32202.300244263122</c:v>
                </c:pt>
                <c:pt idx="49">
                  <c:v>32202.300244263122</c:v>
                </c:pt>
                <c:pt idx="50">
                  <c:v>32202.300244263122</c:v>
                </c:pt>
                <c:pt idx="51">
                  <c:v>32202.300244263122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A-44D7-B53C-DDE645FE62C7}"/>
            </c:ext>
          </c:extLst>
        </c:ser>
        <c:ser>
          <c:idx val="7"/>
          <c:order val="7"/>
          <c:tx>
            <c:strRef>
              <c:f>Weekly!$C$25</c:f>
              <c:strCache>
                <c:ptCount val="1"/>
                <c:pt idx="0">
                  <c:v>BQ Thực tế hàng tuần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2AD6-4550-AC7F-E7B2219867B2}"/>
              </c:ext>
            </c:extLst>
          </c:dPt>
          <c:dLbls>
            <c:dLbl>
              <c:idx val="51"/>
              <c:layout>
                <c:manualLayout>
                  <c:x val="-3.6718138424845399E-2"/>
                  <c:y val="4.7395752668810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A-464B-9DBC-C998350F39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Weekly!$D$25:$BC$25</c:f>
              <c:numCache>
                <c:formatCode>_-#,##0.0;\-#,##0.0;_-"- ";_-@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464B-9DBC-C998350F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822448"/>
        <c:axId val="1046821464"/>
      </c:line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096250075274687"/>
          <c:y val="5.2619361724757577E-2"/>
          <c:w val="0.14091458327177914"/>
          <c:h val="0.1599617848419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B2B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Weekly!$C$5</c:f>
              <c:strCache>
                <c:ptCount val="1"/>
                <c:pt idx="0">
                  <c:v>B2B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5E-42D0-A626-7EAA6F0DA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E-42D0-A626-7EAA6F0DAB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5E-42D0-A626-7EAA6F0DAB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DB5E-4561-9896-E425A434B2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C1-48C4-B57D-97B55A0D12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992-4569-8324-99DF24C079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8C-4FD6-9F65-826F77830A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360-46F0-BA55-0DCE75668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AD2-4721-B799-621D2EDC10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E4-43E5-841E-8A6205B30A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6AC-41A6-B137-90B0133DCA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58F-48F6-B1C4-AF83442C6B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5DD-4321-B437-53B4C6E3E5F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838-4FC9-B43F-120EADBB59F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C4-4650-A50F-4D447F2A384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C4-4650-A50F-4D447F2A384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E4-46C5-9871-14CC1F9FC67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83-4D48-AA66-9DC44D27E2F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17-41D9-8591-7F55153481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0D60-41B3-A713-375215D8E13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7CE-409D-9488-7053DF24441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57E-458C-92E6-B6D69AF398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928-432C-B3F9-15635BB8E10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5D-4B32-89B7-4E367AA63DA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9DA-474B-BDFB-7D8762CD77D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B39-4752-8284-19DC66E666C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313-4619-9760-3BE739F21B2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A37-440E-910A-17A12962FDE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7F-485B-A79A-55C10D0F48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B61-4DB4-9DF4-FFCCFD004B6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B17-4704-A3D8-A30A3ADC2A7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70FC-4D60-956B-684DC2831C7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39-4605-AFA7-C42C8988A6E7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6AC-4BAF-AE17-BE2472A8007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D78-4CB4-83CD-6F09C9127720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A-4FDF-8601-2E26EF67E2E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AEE-49EC-86CA-F12B388234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69B-4DCC-A8EC-FC32D7C7B32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EDC-49A7-87A7-85D896EB237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7901-4DDE-BFC0-ABA225621BA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D5D5-4B77-B1F5-BA9ED822252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809-4A80-9744-0DCE90172801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F10-4F30-9EA7-DF9CCF0580A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3F4-4A33-9A79-522FA4B3017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76F0-463C-961F-283E435731F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20F0-4681-902E-53E3442EC0E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267E-491E-BF79-1AABCCDE7D80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5BC5-43AC-84BB-60CF773ACDA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314-454B-BD76-40D388223678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1AD-40BA-A193-C213EADCF0D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083-4824-9210-8291A1224EC2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A52E-46EC-A6BF-977EFF3F8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Weekly!$D$5:$BC$5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6665.2960000000003</c:v>
                </c:pt>
                <c:pt idx="2">
                  <c:v>12347.897000000001</c:v>
                </c:pt>
                <c:pt idx="3">
                  <c:v>11764.07</c:v>
                </c:pt>
                <c:pt idx="4">
                  <c:v>7335.7969999999996</c:v>
                </c:pt>
                <c:pt idx="5">
                  <c:v>14035.371266739419</c:v>
                </c:pt>
                <c:pt idx="6">
                  <c:v>14035.371266739419</c:v>
                </c:pt>
                <c:pt idx="7">
                  <c:v>14035.371266739419</c:v>
                </c:pt>
                <c:pt idx="8">
                  <c:v>14035.371266739419</c:v>
                </c:pt>
                <c:pt idx="9">
                  <c:v>14585.331429229538</c:v>
                </c:pt>
                <c:pt idx="10">
                  <c:v>14585.331429229538</c:v>
                </c:pt>
                <c:pt idx="11">
                  <c:v>14585.331429229538</c:v>
                </c:pt>
                <c:pt idx="12">
                  <c:v>14585.331429229538</c:v>
                </c:pt>
                <c:pt idx="13">
                  <c:v>15244.067551923175</c:v>
                </c:pt>
                <c:pt idx="14">
                  <c:v>15244.067551923175</c:v>
                </c:pt>
                <c:pt idx="15">
                  <c:v>15244.067551923175</c:v>
                </c:pt>
                <c:pt idx="16">
                  <c:v>15244.067551923175</c:v>
                </c:pt>
                <c:pt idx="17">
                  <c:v>12290.044014765595</c:v>
                </c:pt>
                <c:pt idx="18">
                  <c:v>12290.044014765595</c:v>
                </c:pt>
                <c:pt idx="19">
                  <c:v>12290.044014765595</c:v>
                </c:pt>
                <c:pt idx="20">
                  <c:v>12290.044014765595</c:v>
                </c:pt>
                <c:pt idx="21">
                  <c:v>12290.044014765595</c:v>
                </c:pt>
                <c:pt idx="22">
                  <c:v>14621.455952083637</c:v>
                </c:pt>
                <c:pt idx="23">
                  <c:v>14621.455952083637</c:v>
                </c:pt>
                <c:pt idx="24">
                  <c:v>14621.455952083637</c:v>
                </c:pt>
                <c:pt idx="25">
                  <c:v>14621.455952083637</c:v>
                </c:pt>
                <c:pt idx="26">
                  <c:v>12103.405064501088</c:v>
                </c:pt>
                <c:pt idx="27">
                  <c:v>12103.405064501088</c:v>
                </c:pt>
                <c:pt idx="28">
                  <c:v>12103.405064501088</c:v>
                </c:pt>
                <c:pt idx="29">
                  <c:v>12103.405064501088</c:v>
                </c:pt>
                <c:pt idx="30">
                  <c:v>12103.405064501088</c:v>
                </c:pt>
                <c:pt idx="31">
                  <c:v>15926.865863172517</c:v>
                </c:pt>
                <c:pt idx="32">
                  <c:v>15926.865863172517</c:v>
                </c:pt>
                <c:pt idx="33">
                  <c:v>15926.865863172517</c:v>
                </c:pt>
                <c:pt idx="34">
                  <c:v>15926.865863172517</c:v>
                </c:pt>
                <c:pt idx="35">
                  <c:v>13853.196369207006</c:v>
                </c:pt>
                <c:pt idx="36">
                  <c:v>13853.196369207006</c:v>
                </c:pt>
                <c:pt idx="37">
                  <c:v>13853.196369207006</c:v>
                </c:pt>
                <c:pt idx="38">
                  <c:v>13853.196369207006</c:v>
                </c:pt>
                <c:pt idx="39">
                  <c:v>11859.032635541816</c:v>
                </c:pt>
                <c:pt idx="40">
                  <c:v>11859.032635541816</c:v>
                </c:pt>
                <c:pt idx="41">
                  <c:v>11859.032635541816</c:v>
                </c:pt>
                <c:pt idx="42">
                  <c:v>11859.032635541816</c:v>
                </c:pt>
                <c:pt idx="43">
                  <c:v>11859.032635541816</c:v>
                </c:pt>
                <c:pt idx="44">
                  <c:v>15123.858493343096</c:v>
                </c:pt>
                <c:pt idx="45">
                  <c:v>15123.858493343096</c:v>
                </c:pt>
                <c:pt idx="46">
                  <c:v>15123.858493343096</c:v>
                </c:pt>
                <c:pt idx="47">
                  <c:v>15123.858493343096</c:v>
                </c:pt>
                <c:pt idx="48">
                  <c:v>15483.96289517922</c:v>
                </c:pt>
                <c:pt idx="49">
                  <c:v>15483.96289517922</c:v>
                </c:pt>
                <c:pt idx="50">
                  <c:v>15483.96289517922</c:v>
                </c:pt>
                <c:pt idx="51">
                  <c:v>15483.96289517922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A2DF-4E51-9818-02B729941A44}"/>
            </c:ext>
          </c:extLst>
        </c:ser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2DF-4E51-9818-02B72994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DF-4E51-9818-02B729941A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18393.748772727271</c:v>
                      </c:pt>
                      <c:pt idx="6">
                        <c:v>18393.748772727271</c:v>
                      </c:pt>
                      <c:pt idx="7">
                        <c:v>18393.748772727271</c:v>
                      </c:pt>
                      <c:pt idx="8">
                        <c:v>18393.748772727271</c:v>
                      </c:pt>
                      <c:pt idx="9">
                        <c:v>21268.998772727271</c:v>
                      </c:pt>
                      <c:pt idx="10">
                        <c:v>21268.998772727271</c:v>
                      </c:pt>
                      <c:pt idx="11">
                        <c:v>21268.998772727271</c:v>
                      </c:pt>
                      <c:pt idx="12">
                        <c:v>21268.998772727271</c:v>
                      </c:pt>
                      <c:pt idx="13">
                        <c:v>18141.760272727275</c:v>
                      </c:pt>
                      <c:pt idx="14">
                        <c:v>18141.760272727275</c:v>
                      </c:pt>
                      <c:pt idx="15">
                        <c:v>18141.760272727275</c:v>
                      </c:pt>
                      <c:pt idx="16">
                        <c:v>18141.760272727275</c:v>
                      </c:pt>
                      <c:pt idx="17">
                        <c:v>16128.085018181819</c:v>
                      </c:pt>
                      <c:pt idx="18">
                        <c:v>16128.085018181819</c:v>
                      </c:pt>
                      <c:pt idx="19">
                        <c:v>16128.085018181819</c:v>
                      </c:pt>
                      <c:pt idx="20">
                        <c:v>16128.085018181819</c:v>
                      </c:pt>
                      <c:pt idx="21">
                        <c:v>16128.085018181819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DF-4E51-9818-02B729941A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83.806250000000006</c:v>
                      </c:pt>
                      <c:pt idx="6">
                        <c:v>83.806250000000006</c:v>
                      </c:pt>
                      <c:pt idx="7">
                        <c:v>83.806250000000006</c:v>
                      </c:pt>
                      <c:pt idx="8">
                        <c:v>83.806250000000006</c:v>
                      </c:pt>
                      <c:pt idx="9">
                        <c:v>83.806250000000006</c:v>
                      </c:pt>
                      <c:pt idx="10">
                        <c:v>83.806250000000006</c:v>
                      </c:pt>
                      <c:pt idx="11">
                        <c:v>83.806250000000006</c:v>
                      </c:pt>
                      <c:pt idx="12">
                        <c:v>83.806250000000006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DF-4E51-9818-02B729941A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32512.92628946669</c:v>
                      </c:pt>
                      <c:pt idx="6">
                        <c:v>32512.92628946669</c:v>
                      </c:pt>
                      <c:pt idx="7">
                        <c:v>32512.92628946669</c:v>
                      </c:pt>
                      <c:pt idx="8">
                        <c:v>32512.92628946669</c:v>
                      </c:pt>
                      <c:pt idx="9">
                        <c:v>35938.136451956809</c:v>
                      </c:pt>
                      <c:pt idx="10">
                        <c:v>35938.136451956809</c:v>
                      </c:pt>
                      <c:pt idx="11">
                        <c:v>35938.136451956809</c:v>
                      </c:pt>
                      <c:pt idx="12">
                        <c:v>35938.136451956809</c:v>
                      </c:pt>
                      <c:pt idx="13">
                        <c:v>33469.63407465045</c:v>
                      </c:pt>
                      <c:pt idx="14">
                        <c:v>33469.63407465045</c:v>
                      </c:pt>
                      <c:pt idx="15">
                        <c:v>33469.63407465045</c:v>
                      </c:pt>
                      <c:pt idx="16">
                        <c:v>33469.63407465045</c:v>
                      </c:pt>
                      <c:pt idx="17">
                        <c:v>28485.174032947412</c:v>
                      </c:pt>
                      <c:pt idx="18">
                        <c:v>28485.174032947412</c:v>
                      </c:pt>
                      <c:pt idx="19">
                        <c:v>28485.174032947412</c:v>
                      </c:pt>
                      <c:pt idx="20">
                        <c:v>28485.174032947412</c:v>
                      </c:pt>
                      <c:pt idx="21">
                        <c:v>28485.174032947412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2DF-4E51-9818-02B729941A44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Export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8D-4B8F-B0B3-96E3347D460D}"/>
            </c:ext>
          </c:extLst>
        </c:ser>
        <c:ser>
          <c:idx val="3"/>
          <c:order val="3"/>
          <c:tx>
            <c:strRef>
              <c:f>Weekly!$C$6</c:f>
              <c:strCache>
                <c:ptCount val="1"/>
                <c:pt idx="0">
                  <c:v>Export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393-4C7D-84C4-8D2EF6890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09-461D-A90F-B9A1BB3C1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9-461D-A90F-B9A1BB3C18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E6DD-4303-8FDA-53C7F7A932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F-4EFE-BB25-744D24CD07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F733-45E8-A38B-445CDEA786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5B-473C-8932-B66A20DF29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73C-8932-B66A20DF29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6307-425C-9E4C-5910A8423B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214-4704-8AD1-3A0E47D646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E7-4AE6-B106-FEEB428387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AA0-435E-9B94-F4E7C44287A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11-45CE-977A-E06C082E63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6E-4A07-849B-094CCC13EDF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9C-454A-AA8F-9F38ABB0E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C-454A-AA8F-9F38ABB0E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4-4A60-B81B-A9768A937F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F47-4AD3-8486-FEE43B4CF27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6A-408F-93E4-65016F6BEBE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89-4A05-8420-2092CA2C9C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14-490F-91D5-A649EC6B98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E046-42C5-99EF-D49D0486E89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36-4EA3-BD4D-78F40B91334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09-43E5-B05A-34374FD60AA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540-4466-9E20-81804CBCFA5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725-4710-BB82-FAFFE43B91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725-4710-BB82-FAFFE43B91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720-46CF-95C7-413EDC6759C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28-4B07-BA74-4A2C6BA06E6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C73-4DDA-94C0-A23603CB89D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96-4532-A920-F1F2BE7210A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F89-4AAE-A03E-649B1C63357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3D5-420A-8966-D3E52221733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481-4A18-A9D1-46ECDAA8DF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C62-43F4-A1E0-A1D65DCA615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8C-4FB5-9FDF-9BC4AF36977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2C97-49AC-9006-16707FBDF9C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8A1-4520-AB19-CBC491DB6F9B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49E-4662-9534-2D72B11A7548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1D76-4957-9EA1-4DC86A7171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55D-4862-B281-3F17992C75F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BB99-4183-81CD-2B54E09B3F02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BDF-44F4-A876-E9B9BF875CD0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51E-46D8-B69A-2F071E3804F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E962-41FB-87DD-E2B2CEC13CD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B36-400C-AD00-6500BBE1067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B36-400C-AD00-6500BBE1067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ACFF-4CE0-ACDB-41CBFC616C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747-4BA8-B849-A25BD2F4884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DD-4B38-B36D-14B6AFFC0D4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58D-44A7-AC61-E7194CF4D177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E638-4ADA-B35B-20203464A5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Weekly!$D$6:$BC$6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19483.190000000002</c:v>
                </c:pt>
                <c:pt idx="2">
                  <c:v>18993.54</c:v>
                </c:pt>
                <c:pt idx="3">
                  <c:v>13093.67</c:v>
                </c:pt>
                <c:pt idx="4">
                  <c:v>1901.6899999999998</c:v>
                </c:pt>
                <c:pt idx="5">
                  <c:v>18393.748772727271</c:v>
                </c:pt>
                <c:pt idx="6">
                  <c:v>18393.748772727271</c:v>
                </c:pt>
                <c:pt idx="7">
                  <c:v>18393.748772727271</c:v>
                </c:pt>
                <c:pt idx="8">
                  <c:v>18393.748772727271</c:v>
                </c:pt>
                <c:pt idx="9">
                  <c:v>21268.998772727271</c:v>
                </c:pt>
                <c:pt idx="10">
                  <c:v>21268.998772727271</c:v>
                </c:pt>
                <c:pt idx="11">
                  <c:v>21268.998772727271</c:v>
                </c:pt>
                <c:pt idx="12">
                  <c:v>21268.998772727271</c:v>
                </c:pt>
                <c:pt idx="13">
                  <c:v>18141.760272727275</c:v>
                </c:pt>
                <c:pt idx="14">
                  <c:v>18141.760272727275</c:v>
                </c:pt>
                <c:pt idx="15">
                  <c:v>18141.760272727275</c:v>
                </c:pt>
                <c:pt idx="16">
                  <c:v>18141.760272727275</c:v>
                </c:pt>
                <c:pt idx="17">
                  <c:v>16128.085018181819</c:v>
                </c:pt>
                <c:pt idx="18">
                  <c:v>16128.085018181819</c:v>
                </c:pt>
                <c:pt idx="19">
                  <c:v>16128.085018181819</c:v>
                </c:pt>
                <c:pt idx="20">
                  <c:v>16128.085018181819</c:v>
                </c:pt>
                <c:pt idx="21">
                  <c:v>16128.085018181819</c:v>
                </c:pt>
                <c:pt idx="22">
                  <c:v>21173.506022727273</c:v>
                </c:pt>
                <c:pt idx="23">
                  <c:v>21173.506022727273</c:v>
                </c:pt>
                <c:pt idx="24">
                  <c:v>21173.506022727273</c:v>
                </c:pt>
                <c:pt idx="25">
                  <c:v>21173.506022727273</c:v>
                </c:pt>
                <c:pt idx="26">
                  <c:v>16351.037709090908</c:v>
                </c:pt>
                <c:pt idx="27">
                  <c:v>16351.037709090908</c:v>
                </c:pt>
                <c:pt idx="28">
                  <c:v>16351.037709090908</c:v>
                </c:pt>
                <c:pt idx="29">
                  <c:v>16351.037709090908</c:v>
                </c:pt>
                <c:pt idx="30">
                  <c:v>16351.037709090908</c:v>
                </c:pt>
                <c:pt idx="31">
                  <c:v>18590.316136363635</c:v>
                </c:pt>
                <c:pt idx="32">
                  <c:v>18590.316136363635</c:v>
                </c:pt>
                <c:pt idx="33">
                  <c:v>18590.316136363635</c:v>
                </c:pt>
                <c:pt idx="34">
                  <c:v>18590.316136363635</c:v>
                </c:pt>
                <c:pt idx="35">
                  <c:v>22412.967636363635</c:v>
                </c:pt>
                <c:pt idx="36">
                  <c:v>22412.967636363635</c:v>
                </c:pt>
                <c:pt idx="37">
                  <c:v>22412.967636363635</c:v>
                </c:pt>
                <c:pt idx="38">
                  <c:v>22412.967636363635</c:v>
                </c:pt>
                <c:pt idx="39">
                  <c:v>15096.336909090907</c:v>
                </c:pt>
                <c:pt idx="40">
                  <c:v>15096.336909090907</c:v>
                </c:pt>
                <c:pt idx="41">
                  <c:v>15096.336909090907</c:v>
                </c:pt>
                <c:pt idx="42">
                  <c:v>15096.336909090907</c:v>
                </c:pt>
                <c:pt idx="43">
                  <c:v>15096.336909090907</c:v>
                </c:pt>
                <c:pt idx="44">
                  <c:v>20576.093636363636</c:v>
                </c:pt>
                <c:pt idx="45">
                  <c:v>20576.093636363636</c:v>
                </c:pt>
                <c:pt idx="46">
                  <c:v>20576.093636363636</c:v>
                </c:pt>
                <c:pt idx="47">
                  <c:v>20576.093636363636</c:v>
                </c:pt>
                <c:pt idx="48">
                  <c:v>20577.007886363637</c:v>
                </c:pt>
                <c:pt idx="49">
                  <c:v>20577.007886363637</c:v>
                </c:pt>
                <c:pt idx="50">
                  <c:v>20577.007886363637</c:v>
                </c:pt>
                <c:pt idx="51">
                  <c:v>20577.007886363637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28D-4B8F-B0B3-96E3347D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8D-4B8F-B0B3-96E3347D46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14035.371266739419</c:v>
                      </c:pt>
                      <c:pt idx="6">
                        <c:v>14035.371266739419</c:v>
                      </c:pt>
                      <c:pt idx="7">
                        <c:v>14035.371266739419</c:v>
                      </c:pt>
                      <c:pt idx="8">
                        <c:v>14035.371266739419</c:v>
                      </c:pt>
                      <c:pt idx="9">
                        <c:v>14585.331429229538</c:v>
                      </c:pt>
                      <c:pt idx="10">
                        <c:v>14585.331429229538</c:v>
                      </c:pt>
                      <c:pt idx="11">
                        <c:v>14585.331429229538</c:v>
                      </c:pt>
                      <c:pt idx="12">
                        <c:v>14585.331429229538</c:v>
                      </c:pt>
                      <c:pt idx="13">
                        <c:v>15244.067551923175</c:v>
                      </c:pt>
                      <c:pt idx="14">
                        <c:v>15244.067551923175</c:v>
                      </c:pt>
                      <c:pt idx="15">
                        <c:v>15244.067551923175</c:v>
                      </c:pt>
                      <c:pt idx="16">
                        <c:v>15244.067551923175</c:v>
                      </c:pt>
                      <c:pt idx="17">
                        <c:v>12290.044014765595</c:v>
                      </c:pt>
                      <c:pt idx="18">
                        <c:v>12290.044014765595</c:v>
                      </c:pt>
                      <c:pt idx="19">
                        <c:v>12290.044014765595</c:v>
                      </c:pt>
                      <c:pt idx="20">
                        <c:v>12290.044014765595</c:v>
                      </c:pt>
                      <c:pt idx="21">
                        <c:v>12290.044014765595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8D-4B8F-B0B3-96E3347D46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83.806250000000006</c:v>
                      </c:pt>
                      <c:pt idx="6">
                        <c:v>83.806250000000006</c:v>
                      </c:pt>
                      <c:pt idx="7">
                        <c:v>83.806250000000006</c:v>
                      </c:pt>
                      <c:pt idx="8">
                        <c:v>83.806250000000006</c:v>
                      </c:pt>
                      <c:pt idx="9">
                        <c:v>83.806250000000006</c:v>
                      </c:pt>
                      <c:pt idx="10">
                        <c:v>83.806250000000006</c:v>
                      </c:pt>
                      <c:pt idx="11">
                        <c:v>83.806250000000006</c:v>
                      </c:pt>
                      <c:pt idx="12">
                        <c:v>83.806250000000006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8D-4B8F-B0B3-96E3347D460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32512.92628946669</c:v>
                      </c:pt>
                      <c:pt idx="6">
                        <c:v>32512.92628946669</c:v>
                      </c:pt>
                      <c:pt idx="7">
                        <c:v>32512.92628946669</c:v>
                      </c:pt>
                      <c:pt idx="8">
                        <c:v>32512.92628946669</c:v>
                      </c:pt>
                      <c:pt idx="9">
                        <c:v>35938.136451956809</c:v>
                      </c:pt>
                      <c:pt idx="10">
                        <c:v>35938.136451956809</c:v>
                      </c:pt>
                      <c:pt idx="11">
                        <c:v>35938.136451956809</c:v>
                      </c:pt>
                      <c:pt idx="12">
                        <c:v>35938.136451956809</c:v>
                      </c:pt>
                      <c:pt idx="13">
                        <c:v>33469.63407465045</c:v>
                      </c:pt>
                      <c:pt idx="14">
                        <c:v>33469.63407465045</c:v>
                      </c:pt>
                      <c:pt idx="15">
                        <c:v>33469.63407465045</c:v>
                      </c:pt>
                      <c:pt idx="16">
                        <c:v>33469.63407465045</c:v>
                      </c:pt>
                      <c:pt idx="17">
                        <c:v>28485.174032947412</c:v>
                      </c:pt>
                      <c:pt idx="18">
                        <c:v>28485.174032947412</c:v>
                      </c:pt>
                      <c:pt idx="19">
                        <c:v>28485.174032947412</c:v>
                      </c:pt>
                      <c:pt idx="20">
                        <c:v>28485.174032947412</c:v>
                      </c:pt>
                      <c:pt idx="21">
                        <c:v>28485.174032947412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8D-4B8F-B0B3-96E3347D460D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Net Sales-Total (B VND)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44660588272E-2"/>
          <c:y val="0.12558650473049129"/>
          <c:w val="0.97678859394653228"/>
          <c:h val="0.6876330445090780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3-455A-BF36-E5F550CBED1E}"/>
              </c:ext>
            </c:extLst>
          </c:dPt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3A-4FA7-B4E5-D24DF7FDB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Weekly!$D$9:$BD$9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29399.886000000006</c:v>
                </c:pt>
                <c:pt idx="2">
                  <c:v>63404.42300000001</c:v>
                </c:pt>
                <c:pt idx="3">
                  <c:v>93172.413</c:v>
                </c:pt>
                <c:pt idx="4">
                  <c:v>106329.57</c:v>
                </c:pt>
                <c:pt idx="5">
                  <c:v>138842.49628946668</c:v>
                </c:pt>
                <c:pt idx="6">
                  <c:v>171355.42257893336</c:v>
                </c:pt>
                <c:pt idx="7">
                  <c:v>203868.34886840003</c:v>
                </c:pt>
                <c:pt idx="8">
                  <c:v>236381.27515786671</c:v>
                </c:pt>
                <c:pt idx="9">
                  <c:v>272319.41160982352</c:v>
                </c:pt>
                <c:pt idx="10">
                  <c:v>308257.54806178034</c:v>
                </c:pt>
                <c:pt idx="11">
                  <c:v>344195.68451373716</c:v>
                </c:pt>
                <c:pt idx="12">
                  <c:v>380133.82096569397</c:v>
                </c:pt>
                <c:pt idx="13">
                  <c:v>413603.45504034444</c:v>
                </c:pt>
                <c:pt idx="14">
                  <c:v>447073.08911499492</c:v>
                </c:pt>
                <c:pt idx="15">
                  <c:v>480542.72318964539</c:v>
                </c:pt>
                <c:pt idx="16">
                  <c:v>514012.35726429586</c:v>
                </c:pt>
                <c:pt idx="17">
                  <c:v>542497.53129724332</c:v>
                </c:pt>
                <c:pt idx="18">
                  <c:v>570982.70533019071</c:v>
                </c:pt>
                <c:pt idx="19">
                  <c:v>599467.87936313811</c:v>
                </c:pt>
                <c:pt idx="20">
                  <c:v>627953.05339608551</c:v>
                </c:pt>
                <c:pt idx="21">
                  <c:v>656438.22742903291</c:v>
                </c:pt>
                <c:pt idx="22">
                  <c:v>692316.99565384386</c:v>
                </c:pt>
                <c:pt idx="23">
                  <c:v>728195.76387865481</c:v>
                </c:pt>
                <c:pt idx="24">
                  <c:v>764074.53210346575</c:v>
                </c:pt>
                <c:pt idx="25">
                  <c:v>799953.3003282767</c:v>
                </c:pt>
                <c:pt idx="26">
                  <c:v>828474.7881018687</c:v>
                </c:pt>
                <c:pt idx="27">
                  <c:v>856996.27587546071</c:v>
                </c:pt>
                <c:pt idx="28">
                  <c:v>885517.76364905271</c:v>
                </c:pt>
                <c:pt idx="29">
                  <c:v>914039.25142264471</c:v>
                </c:pt>
                <c:pt idx="30">
                  <c:v>942560.73919623671</c:v>
                </c:pt>
                <c:pt idx="31">
                  <c:v>977161.72744577285</c:v>
                </c:pt>
                <c:pt idx="32">
                  <c:v>1011762.715695309</c:v>
                </c:pt>
                <c:pt idx="33">
                  <c:v>1046363.7039448451</c:v>
                </c:pt>
                <c:pt idx="34">
                  <c:v>1080964.6921943813</c:v>
                </c:pt>
                <c:pt idx="35">
                  <c:v>1117314.662449952</c:v>
                </c:pt>
                <c:pt idx="36">
                  <c:v>1153664.6327055227</c:v>
                </c:pt>
                <c:pt idx="37">
                  <c:v>1190014.6029610934</c:v>
                </c:pt>
                <c:pt idx="38">
                  <c:v>1226364.5732166641</c:v>
                </c:pt>
                <c:pt idx="39">
                  <c:v>1253386.9877612968</c:v>
                </c:pt>
                <c:pt idx="40">
                  <c:v>1280409.4023059295</c:v>
                </c:pt>
                <c:pt idx="41">
                  <c:v>1307431.8168505621</c:v>
                </c:pt>
                <c:pt idx="42">
                  <c:v>1334454.2313951948</c:v>
                </c:pt>
                <c:pt idx="43">
                  <c:v>1361476.6459398274</c:v>
                </c:pt>
                <c:pt idx="44">
                  <c:v>1397260.4043195341</c:v>
                </c:pt>
                <c:pt idx="45">
                  <c:v>1433044.1626992407</c:v>
                </c:pt>
                <c:pt idx="46">
                  <c:v>1468827.9210789474</c:v>
                </c:pt>
                <c:pt idx="47">
                  <c:v>1504611.679458654</c:v>
                </c:pt>
                <c:pt idx="48">
                  <c:v>1540756.456490197</c:v>
                </c:pt>
                <c:pt idx="49">
                  <c:v>1576901.23352174</c:v>
                </c:pt>
                <c:pt idx="50">
                  <c:v>1613046.0105532829</c:v>
                </c:pt>
                <c:pt idx="51">
                  <c:v>1649190.7875848259</c:v>
                </c:pt>
                <c:pt idx="52">
                  <c:v>1674519.6127016831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5-4028-A456-95A2C31618B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6-4999-A329-00825B7EEDD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5-4D2F-A949-4489D0E54FC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A-48BB-9F0F-BFB230A40A3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5-4028-A456-95A2C31618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F-4A34-8F5D-3B10A9B00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14-4E0E-B13C-0AB28D8179F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45-41FC-BDA1-21014F5E3AA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C-49AC-BBCC-CC84917AAB0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3-44BF-AB51-65A73BB76BD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33-4491-9901-02B8993FECC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F-45B4-8EE7-49C22B9808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A4-4818-87C2-2F1902E5578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BE-4566-ADF4-49B9EEB01487}"/>
                </c:ext>
              </c:extLst>
            </c:dLbl>
            <c:dLbl>
              <c:idx val="37"/>
              <c:layout>
                <c:manualLayout>
                  <c:x val="-2.5780889248730406E-2"/>
                  <c:y val="-8.400919019869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A-4FA7-B4E5-D24DF7FDBE8E}"/>
                </c:ext>
              </c:extLst>
            </c:dLbl>
            <c:dLbl>
              <c:idx val="51"/>
              <c:layout>
                <c:manualLayout>
                  <c:x val="-8.7939939183770653E-3"/>
                  <c:y val="-6.1805898586202973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55A-BF36-E5F550CBE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Weekly!$D$2:$BC$2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64404.600488526245</c:v>
                </c:pt>
                <c:pt idx="2">
                  <c:v>96606.900732789363</c:v>
                </c:pt>
                <c:pt idx="3">
                  <c:v>128809.20097705249</c:v>
                </c:pt>
                <c:pt idx="4">
                  <c:v>161011.50122131562</c:v>
                </c:pt>
                <c:pt idx="5">
                  <c:v>193213.80146557873</c:v>
                </c:pt>
                <c:pt idx="6">
                  <c:v>225416.10170984184</c:v>
                </c:pt>
                <c:pt idx="7">
                  <c:v>257618.40195410495</c:v>
                </c:pt>
                <c:pt idx="8">
                  <c:v>289820.70219836809</c:v>
                </c:pt>
                <c:pt idx="9">
                  <c:v>322023.00244263123</c:v>
                </c:pt>
                <c:pt idx="10">
                  <c:v>354225.30268689437</c:v>
                </c:pt>
                <c:pt idx="11">
                  <c:v>386427.60293115751</c:v>
                </c:pt>
                <c:pt idx="12">
                  <c:v>418629.90317542065</c:v>
                </c:pt>
                <c:pt idx="13">
                  <c:v>450832.20341968379</c:v>
                </c:pt>
                <c:pt idx="14">
                  <c:v>483034.50366394693</c:v>
                </c:pt>
                <c:pt idx="15">
                  <c:v>515236.80390821007</c:v>
                </c:pt>
                <c:pt idx="16">
                  <c:v>547439.10415247316</c:v>
                </c:pt>
                <c:pt idx="17">
                  <c:v>579641.4043967363</c:v>
                </c:pt>
                <c:pt idx="18">
                  <c:v>611843.70464099944</c:v>
                </c:pt>
                <c:pt idx="19">
                  <c:v>644046.00488526258</c:v>
                </c:pt>
                <c:pt idx="20">
                  <c:v>676248.30512952572</c:v>
                </c:pt>
                <c:pt idx="21">
                  <c:v>708450.60537378886</c:v>
                </c:pt>
                <c:pt idx="22">
                  <c:v>740652.905618052</c:v>
                </c:pt>
                <c:pt idx="23">
                  <c:v>772855.20586231514</c:v>
                </c:pt>
                <c:pt idx="24">
                  <c:v>805057.50610657828</c:v>
                </c:pt>
                <c:pt idx="25">
                  <c:v>837259.80635084142</c:v>
                </c:pt>
                <c:pt idx="26">
                  <c:v>869462.10659510456</c:v>
                </c:pt>
                <c:pt idx="27">
                  <c:v>901664.4068393677</c:v>
                </c:pt>
                <c:pt idx="28">
                  <c:v>933866.70708363084</c:v>
                </c:pt>
                <c:pt idx="29">
                  <c:v>966069.00732789398</c:v>
                </c:pt>
                <c:pt idx="30">
                  <c:v>998271.30757215712</c:v>
                </c:pt>
                <c:pt idx="31">
                  <c:v>1030473.6078164203</c:v>
                </c:pt>
                <c:pt idx="32">
                  <c:v>1062675.9080606834</c:v>
                </c:pt>
                <c:pt idx="33">
                  <c:v>1094878.2083049465</c:v>
                </c:pt>
                <c:pt idx="34">
                  <c:v>1127080.5085492097</c:v>
                </c:pt>
                <c:pt idx="35">
                  <c:v>1159282.8087934728</c:v>
                </c:pt>
                <c:pt idx="36">
                  <c:v>1191485.109037736</c:v>
                </c:pt>
                <c:pt idx="37">
                  <c:v>1223687.4092819991</c:v>
                </c:pt>
                <c:pt idx="38">
                  <c:v>1255889.7095262622</c:v>
                </c:pt>
                <c:pt idx="39">
                  <c:v>1288092.0097705254</c:v>
                </c:pt>
                <c:pt idx="40">
                  <c:v>1320294.3100147885</c:v>
                </c:pt>
                <c:pt idx="41">
                  <c:v>1352496.6102590517</c:v>
                </c:pt>
                <c:pt idx="42">
                  <c:v>1384698.9105033148</c:v>
                </c:pt>
                <c:pt idx="43">
                  <c:v>1416901.2107475779</c:v>
                </c:pt>
                <c:pt idx="44">
                  <c:v>1449103.5109918411</c:v>
                </c:pt>
                <c:pt idx="45">
                  <c:v>1481305.8112361042</c:v>
                </c:pt>
                <c:pt idx="46">
                  <c:v>1513508.1114803674</c:v>
                </c:pt>
                <c:pt idx="47">
                  <c:v>1545710.4117246305</c:v>
                </c:pt>
                <c:pt idx="48">
                  <c:v>1577912.7119688937</c:v>
                </c:pt>
                <c:pt idx="49">
                  <c:v>1610115.0122131568</c:v>
                </c:pt>
                <c:pt idx="50">
                  <c:v>1642317.3124574199</c:v>
                </c:pt>
                <c:pt idx="51">
                  <c:v>1674519.6127016831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494021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Weekly!$BD$10</c:f>
          <c:strCache>
            <c:ptCount val="1"/>
            <c:pt idx="0">
              <c:v>98,5%</c:v>
            </c:pt>
          </c:strCache>
        </c:strRef>
      </c:tx>
      <c:layout>
        <c:manualLayout>
          <c:xMode val="edge"/>
          <c:yMode val="edge"/>
          <c:x val="0.26401948462150115"/>
          <c:y val="0.3294153016874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27488288366944E-2"/>
          <c:y val="0.17825128295467998"/>
          <c:w val="0.73631853310002926"/>
          <c:h val="0.961607574540663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4A89-ABD0-F4763760C00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2-4A89-ABD0-F4763760C00D}"/>
              </c:ext>
            </c:extLst>
          </c:dPt>
          <c:val>
            <c:numRef>
              <c:f>Weekly!$BD$10:$BE$10</c:f>
              <c:numCache>
                <c:formatCode>0.0%</c:formatCode>
                <c:ptCount val="2"/>
                <c:pt idx="0">
                  <c:v>0.98487397524356768</c:v>
                </c:pt>
                <c:pt idx="1">
                  <c:v>1.5126024756432321E-2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A89-ABD0-F4763760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Sales Volume -Total (Ton)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00188647672E-2"/>
          <c:y val="7.3777516684924119E-2"/>
          <c:w val="0.97678859394653228"/>
          <c:h val="0.7739946583310868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1-434E-8802-52E82A24D481}"/>
              </c:ext>
            </c:extLst>
          </c:dPt>
          <c:dLbls>
            <c:dLbl>
              <c:idx val="37"/>
              <c:layout>
                <c:manualLayout>
                  <c:x val="9.5362431902755261E-17"/>
                  <c:y val="9.8948651103939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B-4F69-B613-36C52CB02EBA}"/>
                </c:ext>
              </c:extLst>
            </c:dLbl>
            <c:dLbl>
              <c:idx val="52"/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34E-8802-52E82A24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Weekly!$D$17:$BD$17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966.78</c:v>
                </c:pt>
                <c:pt idx="2">
                  <c:v>2082.34</c:v>
                </c:pt>
                <c:pt idx="3">
                  <c:v>3089.4500000000003</c:v>
                </c:pt>
                <c:pt idx="4">
                  <c:v>3512.9800000000005</c:v>
                </c:pt>
                <c:pt idx="5">
                  <c:v>4576.3086419560086</c:v>
                </c:pt>
                <c:pt idx="6">
                  <c:v>5639.6372839120168</c:v>
                </c:pt>
                <c:pt idx="7">
                  <c:v>6702.9659258680249</c:v>
                </c:pt>
                <c:pt idx="8">
                  <c:v>7766.294567824033</c:v>
                </c:pt>
                <c:pt idx="9">
                  <c:v>8935.9339186929683</c:v>
                </c:pt>
                <c:pt idx="10">
                  <c:v>10105.573269561904</c:v>
                </c:pt>
                <c:pt idx="11">
                  <c:v>11275.212620430841</c:v>
                </c:pt>
                <c:pt idx="12">
                  <c:v>12444.851971299777</c:v>
                </c:pt>
                <c:pt idx="13">
                  <c:v>13543.409850968957</c:v>
                </c:pt>
                <c:pt idx="14">
                  <c:v>14641.967730638138</c:v>
                </c:pt>
                <c:pt idx="15">
                  <c:v>15740.525610307319</c:v>
                </c:pt>
                <c:pt idx="16">
                  <c:v>16839.0834899765</c:v>
                </c:pt>
                <c:pt idx="17">
                  <c:v>17771.770777813006</c:v>
                </c:pt>
                <c:pt idx="18">
                  <c:v>18704.458065649513</c:v>
                </c:pt>
                <c:pt idx="19">
                  <c:v>19637.145353486019</c:v>
                </c:pt>
                <c:pt idx="20">
                  <c:v>20569.832641322526</c:v>
                </c:pt>
                <c:pt idx="21">
                  <c:v>21502.519929159032</c:v>
                </c:pt>
                <c:pt idx="22">
                  <c:v>22675.507974715933</c:v>
                </c:pt>
                <c:pt idx="23">
                  <c:v>23848.496020272833</c:v>
                </c:pt>
                <c:pt idx="24">
                  <c:v>25021.484065829733</c:v>
                </c:pt>
                <c:pt idx="25">
                  <c:v>26194.472111386633</c:v>
                </c:pt>
                <c:pt idx="26">
                  <c:v>27132.356614781285</c:v>
                </c:pt>
                <c:pt idx="27">
                  <c:v>28070.241118175938</c:v>
                </c:pt>
                <c:pt idx="28">
                  <c:v>29008.125621570591</c:v>
                </c:pt>
                <c:pt idx="29">
                  <c:v>29946.010124965243</c:v>
                </c:pt>
                <c:pt idx="30">
                  <c:v>30883.894628359896</c:v>
                </c:pt>
                <c:pt idx="31">
                  <c:v>32024.60700308708</c:v>
                </c:pt>
                <c:pt idx="32">
                  <c:v>33165.319377814267</c:v>
                </c:pt>
                <c:pt idx="33">
                  <c:v>34306.03175254145</c:v>
                </c:pt>
                <c:pt idx="34">
                  <c:v>35446.744127268634</c:v>
                </c:pt>
                <c:pt idx="35">
                  <c:v>36640.399902740857</c:v>
                </c:pt>
                <c:pt idx="36">
                  <c:v>37834.055678213081</c:v>
                </c:pt>
                <c:pt idx="37">
                  <c:v>39027.711453685304</c:v>
                </c:pt>
                <c:pt idx="38">
                  <c:v>40221.367229157528</c:v>
                </c:pt>
                <c:pt idx="39">
                  <c:v>41115.09248864324</c:v>
                </c:pt>
                <c:pt idx="40">
                  <c:v>42008.817748128953</c:v>
                </c:pt>
                <c:pt idx="41">
                  <c:v>42902.543007614666</c:v>
                </c:pt>
                <c:pt idx="42">
                  <c:v>43796.268267100379</c:v>
                </c:pt>
                <c:pt idx="43">
                  <c:v>44689.993526586091</c:v>
                </c:pt>
                <c:pt idx="44">
                  <c:v>45870.054307674705</c:v>
                </c:pt>
                <c:pt idx="45">
                  <c:v>47050.115088763319</c:v>
                </c:pt>
                <c:pt idx="46">
                  <c:v>48230.175869851933</c:v>
                </c:pt>
                <c:pt idx="47">
                  <c:v>49410.236650940547</c:v>
                </c:pt>
                <c:pt idx="48">
                  <c:v>50606.366755583054</c:v>
                </c:pt>
                <c:pt idx="49">
                  <c:v>51802.496860225561</c:v>
                </c:pt>
                <c:pt idx="50">
                  <c:v>52998.626964868068</c:v>
                </c:pt>
                <c:pt idx="51">
                  <c:v>54194.757069510575</c:v>
                </c:pt>
                <c:pt idx="52" formatCode="#,##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D-47EC-AD4E-7CAD7CA1DC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34E-8802-52E82A24D481}"/>
                </c:ext>
              </c:extLst>
            </c:dLbl>
            <c:dLbl>
              <c:idx val="37"/>
              <c:layout>
                <c:manualLayout>
                  <c:x val="-4.4981606823299845E-2"/>
                  <c:y val="-3.3011584150137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B-4F69-B613-36C52CB02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Weekly!$D$18:$BC$18</c:f>
              <c:numCache>
                <c:formatCode>_-#,##0;\-#,##0;_-"- ";_-@</c:formatCode>
                <c:ptCount val="52"/>
                <c:pt idx="0">
                  <c:v>1057.6923077343602</c:v>
                </c:pt>
                <c:pt idx="1">
                  <c:v>2115.3846154687203</c:v>
                </c:pt>
                <c:pt idx="2">
                  <c:v>3173.0769232030807</c:v>
                </c:pt>
                <c:pt idx="3">
                  <c:v>4230.7692309374406</c:v>
                </c:pt>
                <c:pt idx="4">
                  <c:v>5288.4615386718006</c:v>
                </c:pt>
                <c:pt idx="5">
                  <c:v>6346.1538464061605</c:v>
                </c:pt>
                <c:pt idx="6">
                  <c:v>7403.8461541405204</c:v>
                </c:pt>
                <c:pt idx="7">
                  <c:v>8461.5384618748812</c:v>
                </c:pt>
                <c:pt idx="8">
                  <c:v>9519.2307696092412</c:v>
                </c:pt>
                <c:pt idx="9">
                  <c:v>10576.923077343601</c:v>
                </c:pt>
                <c:pt idx="10">
                  <c:v>11634.615385077961</c:v>
                </c:pt>
                <c:pt idx="11">
                  <c:v>12692.307692812321</c:v>
                </c:pt>
                <c:pt idx="12">
                  <c:v>13750.000000546681</c:v>
                </c:pt>
                <c:pt idx="13">
                  <c:v>14807.692308281041</c:v>
                </c:pt>
                <c:pt idx="14">
                  <c:v>15865.384616015401</c:v>
                </c:pt>
                <c:pt idx="15">
                  <c:v>16923.076923749762</c:v>
                </c:pt>
                <c:pt idx="16">
                  <c:v>17980.769231484122</c:v>
                </c:pt>
                <c:pt idx="17">
                  <c:v>19038.461539218482</c:v>
                </c:pt>
                <c:pt idx="18">
                  <c:v>20096.153846952842</c:v>
                </c:pt>
                <c:pt idx="19">
                  <c:v>21153.846154687202</c:v>
                </c:pt>
                <c:pt idx="20">
                  <c:v>22211.538462421562</c:v>
                </c:pt>
                <c:pt idx="21">
                  <c:v>23269.230770155922</c:v>
                </c:pt>
                <c:pt idx="22">
                  <c:v>24326.923077890282</c:v>
                </c:pt>
                <c:pt idx="23">
                  <c:v>25384.615385624642</c:v>
                </c:pt>
                <c:pt idx="24">
                  <c:v>26442.307693359002</c:v>
                </c:pt>
                <c:pt idx="25">
                  <c:v>27500.000001093362</c:v>
                </c:pt>
                <c:pt idx="26">
                  <c:v>28557.692308827722</c:v>
                </c:pt>
                <c:pt idx="27">
                  <c:v>29615.384616562082</c:v>
                </c:pt>
                <c:pt idx="28">
                  <c:v>30673.076924296442</c:v>
                </c:pt>
                <c:pt idx="29">
                  <c:v>31730.769232030802</c:v>
                </c:pt>
                <c:pt idx="30">
                  <c:v>32788.461539765165</c:v>
                </c:pt>
                <c:pt idx="31">
                  <c:v>33846.153847499525</c:v>
                </c:pt>
                <c:pt idx="32">
                  <c:v>34903.846155233885</c:v>
                </c:pt>
                <c:pt idx="33">
                  <c:v>35961.538462968245</c:v>
                </c:pt>
                <c:pt idx="34">
                  <c:v>37019.230770702605</c:v>
                </c:pt>
                <c:pt idx="35">
                  <c:v>38076.923078436965</c:v>
                </c:pt>
                <c:pt idx="36">
                  <c:v>39134.615386171325</c:v>
                </c:pt>
                <c:pt idx="37">
                  <c:v>40192.307693905685</c:v>
                </c:pt>
                <c:pt idx="38">
                  <c:v>41250.000001640045</c:v>
                </c:pt>
                <c:pt idx="39">
                  <c:v>42307.692309374404</c:v>
                </c:pt>
                <c:pt idx="40">
                  <c:v>43365.384617108764</c:v>
                </c:pt>
                <c:pt idx="41">
                  <c:v>44423.076924843124</c:v>
                </c:pt>
                <c:pt idx="42">
                  <c:v>45480.769232577484</c:v>
                </c:pt>
                <c:pt idx="43">
                  <c:v>46538.461540311844</c:v>
                </c:pt>
                <c:pt idx="44">
                  <c:v>47596.153848046204</c:v>
                </c:pt>
                <c:pt idx="45">
                  <c:v>48653.846155780564</c:v>
                </c:pt>
                <c:pt idx="46">
                  <c:v>49711.538463514924</c:v>
                </c:pt>
                <c:pt idx="47">
                  <c:v>50769.230771249284</c:v>
                </c:pt>
                <c:pt idx="48">
                  <c:v>51826.923078983644</c:v>
                </c:pt>
                <c:pt idx="49">
                  <c:v>52884.615386718004</c:v>
                </c:pt>
                <c:pt idx="50">
                  <c:v>53942.307694452364</c:v>
                </c:pt>
                <c:pt idx="51">
                  <c:v>55000.000002186724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494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Weekly!$BE$17</c:f>
          <c:strCache>
            <c:ptCount val="1"/>
            <c:pt idx="0">
              <c:v>98,5%</c:v>
            </c:pt>
          </c:strCache>
        </c:strRef>
      </c:tx>
      <c:layout>
        <c:manualLayout>
          <c:xMode val="edge"/>
          <c:yMode val="edge"/>
          <c:x val="0.31597294151658378"/>
          <c:y val="0.44221981410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2683684297689"/>
          <c:y val="0.13776146998436475"/>
          <c:w val="0.72838213184516987"/>
          <c:h val="0.854966805014004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A-48DA-B821-41F12CEA967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A-48DA-B821-41F12CEA9677}"/>
              </c:ext>
            </c:extLst>
          </c:dPt>
          <c:val>
            <c:numRef>
              <c:f>Weekly!$BE$17:$BF$17</c:f>
              <c:numCache>
                <c:formatCode>0.0%</c:formatCode>
                <c:ptCount val="2"/>
                <c:pt idx="0">
                  <c:v>0.9853592194064702</c:v>
                </c:pt>
                <c:pt idx="1">
                  <c:v>1.4640780593529801E-2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DA-B821-41F12CE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Monthly!$B$2</c:f>
          <c:strCache>
            <c:ptCount val="1"/>
            <c:pt idx="0">
              <c:v>DOANH THU HÀNG THÁNG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Monthly!$D$8:$O$8</c:f>
              <c:numCache>
                <c:formatCode>_-#,##0;\-#,##0;_-"- ";_-@</c:formatCode>
                <c:ptCount val="12"/>
                <c:pt idx="0">
                  <c:v>131658.39511685679</c:v>
                </c:pt>
                <c:pt idx="1">
                  <c:v>130051.70515786676</c:v>
                </c:pt>
                <c:pt idx="2">
                  <c:v>143752.54580782723</c:v>
                </c:pt>
                <c:pt idx="3">
                  <c:v>133878.5362986018</c:v>
                </c:pt>
                <c:pt idx="4">
                  <c:v>142425.87016473708</c:v>
                </c:pt>
                <c:pt idx="5">
                  <c:v>143515.07289924365</c:v>
                </c:pt>
                <c:pt idx="6">
                  <c:v>142607.43886795998</c:v>
                </c:pt>
                <c:pt idx="7">
                  <c:v>138403.95299814461</c:v>
                </c:pt>
                <c:pt idx="8">
                  <c:v>145399.88102228256</c:v>
                </c:pt>
                <c:pt idx="9">
                  <c:v>135112.07272316361</c:v>
                </c:pt>
                <c:pt idx="10">
                  <c:v>143135.03351882694</c:v>
                </c:pt>
                <c:pt idx="11">
                  <c:v>144579.10812617143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1-47DF-BFF3-07B96B6856F7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1-47DF-BFF3-07B96B6856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71-47DF-BFF3-07B96B6856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1-47DF-BFF3-07B96B6856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71-47DF-BFF3-07B96B6856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1-47DF-BFF3-07B96B6856F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71-47DF-BFF3-07B96B6856F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1-47DF-BFF3-07B96B6856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71-47DF-BFF3-07B96B6856F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71-47DF-BFF3-07B96B6856F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C71-47DF-BFF3-07B96B6856F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2-4C55-B718-C6ED9476AD8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82-4C55-B718-C6ED9476AD8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7DF-BFF3-07B96B6856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7DF-BFF3-07B96B6856F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7DF-BFF3-07B96B6856F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71-47DF-BFF3-07B96B6856F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71-47DF-BFF3-07B96B6856F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71-47DF-BFF3-07B96B6856F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71-47DF-BFF3-07B96B6856F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71-47DF-BFF3-07B96B6856F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7DF-BFF3-07B96B6856F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71-47DF-BFF3-07B96B6856F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82-4C55-B718-C6ED9476AD8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82-4C55-B718-C6ED9476AD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Monthly!$D$22:$O$22</c:f>
              <c:numCache>
                <c:formatCode>_-#,##0;\-#,##0;_-"- ";_-@</c:formatCode>
                <c:ptCount val="12"/>
                <c:pt idx="0">
                  <c:v>106329.57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1-47DF-BFF3-07B96B68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Monthly!$C$25</c:f>
          <c:strCache>
            <c:ptCount val="1"/>
            <c:pt idx="0">
              <c:v>Sản lượng bán thực tế [Tấn]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Monthly!$D$15:$O$15</c:f>
              <c:numCache>
                <c:formatCode>_-#,##0;\-#,##0;_-"- ";_-@</c:formatCode>
                <c:ptCount val="12"/>
                <c:pt idx="0">
                  <c:v>4318.222932676138</c:v>
                </c:pt>
                <c:pt idx="1">
                  <c:v>4253.3145678240326</c:v>
                </c:pt>
                <c:pt idx="2">
                  <c:v>4678.557403475741</c:v>
                </c:pt>
                <c:pt idx="3">
                  <c:v>4394.231518676721</c:v>
                </c:pt>
                <c:pt idx="4">
                  <c:v>4663.4364391825347</c:v>
                </c:pt>
                <c:pt idx="5">
                  <c:v>4691.9521822275938</c:v>
                </c:pt>
                <c:pt idx="6">
                  <c:v>4689.422516973269</c:v>
                </c:pt>
                <c:pt idx="7">
                  <c:v>4562.8494989087394</c:v>
                </c:pt>
                <c:pt idx="8">
                  <c:v>4774.6231018888848</c:v>
                </c:pt>
                <c:pt idx="9">
                  <c:v>4468.6262974285746</c:v>
                </c:pt>
                <c:pt idx="10">
                  <c:v>4720.2431243544625</c:v>
                </c:pt>
                <c:pt idx="11">
                  <c:v>4784.5204185700313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7F8-86C6-F05FBDE7497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F6-4B5E-97D1-B00C05AA03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6E-4EC1-A632-DE9F0E5D58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29-4BE5-9B22-EFDE176F7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D-4CC8-8327-E3410A9964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42-4644-BF86-A8F57BCC5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ED-4ED1-8E77-3A0195F3E3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F7-4C47-B791-B62F93687E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804-4DB6-98B3-B534943B0B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13-47F8-86C6-F05FBDE749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313-47F8-86C6-F05FBDE74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313-47F8-86C6-F05FBDE74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313-47F8-86C6-F05FBDE7497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Monthly!$D$29:$O$29</c:f>
              <c:numCache>
                <c:formatCode>_-#,##0;\-#,##0;_-"- ";_-@</c:formatCode>
                <c:ptCount val="12"/>
                <c:pt idx="0">
                  <c:v>3512.98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13-47F8-86C6-F05FBDE7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18018879742304941"/>
          <c:y val="0.13614228889898397"/>
          <c:w val="0.46234967788117387"/>
          <c:h val="7.420598207261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7112860892388453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Monthly!$P$15</c:f>
              <c:numCache>
                <c:formatCode>_-#,##0;\-#,##0;_-"- ";_-@</c:formatCode>
                <c:ptCount val="1"/>
                <c:pt idx="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D5C-8A26-D8ED4ABCC9DE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Monthly!$P$29</c:f>
              <c:numCache>
                <c:formatCode>_-#,##0;\-#,##0;_-"- ";_-@</c:formatCode>
                <c:ptCount val="1"/>
                <c:pt idx="0">
                  <c:v>3512.98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AEC-4D5C-8A26-D8ED4ABC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Monthly!$D$12:$O$12</c:f>
              <c:numCache>
                <c:formatCode>_-#,##0;\-#,##0;_-"- ";_-@</c:formatCode>
                <c:ptCount val="12"/>
                <c:pt idx="0">
                  <c:v>2004.2229326761383</c:v>
                </c:pt>
                <c:pt idx="1">
                  <c:v>1856.3145678240328</c:v>
                </c:pt>
                <c:pt idx="2">
                  <c:v>1946.5574034757406</c:v>
                </c:pt>
                <c:pt idx="3">
                  <c:v>2014.231518676721</c:v>
                </c:pt>
                <c:pt idx="4">
                  <c:v>2046.4364391825352</c:v>
                </c:pt>
                <c:pt idx="5">
                  <c:v>1935.952182227594</c:v>
                </c:pt>
                <c:pt idx="6">
                  <c:v>2021.5225169732685</c:v>
                </c:pt>
                <c:pt idx="7">
                  <c:v>2108.8494989087399</c:v>
                </c:pt>
                <c:pt idx="8">
                  <c:v>1863.623101888885</c:v>
                </c:pt>
                <c:pt idx="9">
                  <c:v>1968.6262974285746</c:v>
                </c:pt>
                <c:pt idx="10">
                  <c:v>2029.2431243544627</c:v>
                </c:pt>
                <c:pt idx="11">
                  <c:v>2066.5204185700309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EDE-AC97-39A931439716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79-4EC2-8AC1-D0B8C66E8A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C-4338-9D01-3E264A752E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A-4CD9-9E34-64FD38F7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49-4FE0-8A02-8CF10ABA2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D-4E7B-8C4C-308AA39098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261-4041-A103-99261C763F2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197-4BE4-8395-EAB9B7ED48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210-4326-A1A0-31DA545246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AEF-4EDE-AC97-39A931439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AEF-4EDE-AC97-39A931439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AEF-4EDE-AC97-39A931439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AEF-4EDE-AC97-39A93143971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Monthly!$D$26:$O$26</c:f>
              <c:numCache>
                <c:formatCode>_-#,##0;\-#,##0;_-"- ";_-@</c:formatCode>
                <c:ptCount val="12"/>
                <c:pt idx="0">
                  <c:v>1166.6699999999998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AEF-4EDE-AC97-39A93143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Monthly!$D$13:$O$13</c:f>
              <c:numCache>
                <c:formatCode>_-#,##0;\-#,##0;_-"- ";_-@</c:formatCode>
                <c:ptCount val="12"/>
                <c:pt idx="0">
                  <c:v>2303</c:v>
                </c:pt>
                <c:pt idx="1">
                  <c:v>2386</c:v>
                </c:pt>
                <c:pt idx="2">
                  <c:v>2721</c:v>
                </c:pt>
                <c:pt idx="3">
                  <c:v>2369</c:v>
                </c:pt>
                <c:pt idx="4">
                  <c:v>2606</c:v>
                </c:pt>
                <c:pt idx="5">
                  <c:v>2745</c:v>
                </c:pt>
                <c:pt idx="6">
                  <c:v>2656.9</c:v>
                </c:pt>
                <c:pt idx="7">
                  <c:v>2443</c:v>
                </c:pt>
                <c:pt idx="8">
                  <c:v>2900</c:v>
                </c:pt>
                <c:pt idx="9">
                  <c:v>2489</c:v>
                </c:pt>
                <c:pt idx="10">
                  <c:v>2680</c:v>
                </c:pt>
                <c:pt idx="11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E4-8E1E-0A679A751331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B9C-4057-BA6F-486A4DA11B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02-4DE1-B105-F82738C8D0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70B-4102-A70B-93E4EF8596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0-4A8A-8372-9EE0F41C1D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DE-4368-B359-CA9D893CFA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A5-42F5-B18D-9D3CF8E24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CF3-4258-B77C-3A01FE9D05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5A5-44DD-A380-74C7ABCA45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24-43E4-8E1E-0A679A7513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24-43E4-8E1E-0A679A7513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924-43E4-8E1E-0A679A7513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924-43E4-8E1E-0A679A7513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Monthly!$D$27:$O$27</c:f>
              <c:numCache>
                <c:formatCode>_-#,##0;\-#,##0;_-"- ";_-@</c:formatCode>
                <c:ptCount val="12"/>
                <c:pt idx="0">
                  <c:v>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24-43E4-8E1E-0A679A751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Monthly!$P$12</c:f>
              <c:numCache>
                <c:formatCode>_-#,##0;\-#,##0;_-"- ";_-@</c:formatCode>
                <c:ptCount val="1"/>
                <c:pt idx="0">
                  <c:v>23862.100002186726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F-49ED-A4C4-B040CC83D96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Monthly!$P$26</c:f>
              <c:numCache>
                <c:formatCode>_-#,##0;\-#,##0;_-"- ";_-@</c:formatCode>
                <c:ptCount val="1"/>
                <c:pt idx="0">
                  <c:v>1166.6699999999998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25DF-49ED-A4C4-B040CC83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Monthly!$P$13</c:f>
              <c:numCache>
                <c:formatCode>_-#,##0;\-#,##0;_-"- ";_-@</c:formatCode>
                <c:ptCount val="1"/>
                <c:pt idx="0">
                  <c:v>31005.9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175-BB57-16FDEA7EEFB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Monthly!$P$27</c:f>
              <c:numCache>
                <c:formatCode>_-#,##0;\-#,##0;_-"- ";_-@</c:formatCode>
                <c:ptCount val="1"/>
                <c:pt idx="0">
                  <c:v>1893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D2BC-4175-BB57-16FDEA7E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Monthly!$D$8:$P$8</c15:sqref>
                  </c15:fullRef>
                </c:ext>
              </c:extLst>
              <c:f>Monthly!$P$8</c:f>
              <c:numCache>
                <c:formatCode>_-#,##0;\-#,##0;_-"- ";_-@</c:formatCode>
                <c:ptCount val="1"/>
                <c:pt idx="0">
                  <c:v>1674519.6127016824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BE-8213-CE79A12A684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Monthly!$D$22:$P$22</c15:sqref>
                  </c15:fullRef>
                </c:ext>
              </c:extLst>
              <c:f>Monthly!$P$22</c:f>
              <c:numCache>
                <c:formatCode>_-#,##0;\-#,##0;_-"- ";_-@</c:formatCode>
                <c:ptCount val="1"/>
                <c:pt idx="0">
                  <c:v>106329.57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Monthly!$D$22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Monthly!$E$22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Monthly!$F$22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Monthly!$G$22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Monthly!$H$22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Monthly!$I$22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Monthly!$J$22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Monthly!$K$22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Monthly!$L$22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Monthly!$O$22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D351-41BE-8213-CE79A12A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Monthly!$D$5:$O$5</c:f>
              <c:numCache>
                <c:formatCode>_-#,##0;\-#,##0;_-"- ";_-@</c:formatCode>
                <c:ptCount val="12"/>
                <c:pt idx="0">
                  <c:v>60334.1510259477</c:v>
                </c:pt>
                <c:pt idx="1">
                  <c:v>56141.485066957677</c:v>
                </c:pt>
                <c:pt idx="2">
                  <c:v>58341.325716918152</c:v>
                </c:pt>
                <c:pt idx="3">
                  <c:v>60976.270207692702</c:v>
                </c:pt>
                <c:pt idx="4">
                  <c:v>61450.220073827979</c:v>
                </c:pt>
                <c:pt idx="5">
                  <c:v>58485.82380833455</c:v>
                </c:pt>
                <c:pt idx="6">
                  <c:v>60517.02532250544</c:v>
                </c:pt>
                <c:pt idx="7">
                  <c:v>63707.46345269007</c:v>
                </c:pt>
                <c:pt idx="8">
                  <c:v>55412.785476828023</c:v>
                </c:pt>
                <c:pt idx="9">
                  <c:v>59295.163177709081</c:v>
                </c:pt>
                <c:pt idx="10">
                  <c:v>60495.433973372383</c:v>
                </c:pt>
                <c:pt idx="11">
                  <c:v>61935.851580716881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A-4D34-B18D-B5DB36EFDFBC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A-4D34-B18D-B5DB36EFD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A-4D34-B18D-B5DB36EFDF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A-4D34-B18D-B5DB36EFDF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A-4D34-B18D-B5DB36EFDF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A-4D34-B18D-B5DB36EFDF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A-4D34-B18D-B5DB36EFDF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6A-4D34-B18D-B5DB36EFDF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6A-4D34-B18D-B5DB36EFDF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6A-4D34-B18D-B5DB36EFDF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1B-408B-828B-FE77477D37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06A-4D34-B18D-B5DB36EFDF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6A-4D34-B18D-B5DB36EFDFB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A-4D34-B18D-B5DB36EFDFB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6A-4D34-B18D-B5DB36EFDFB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6A-4D34-B18D-B5DB36EFDFB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6A-4D34-B18D-B5DB36EFDFB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6A-4D34-B18D-B5DB36EFDFB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6A-4D34-B18D-B5DB36EFDFB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6A-4D34-B18D-B5DB36EFDFB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6A-4D34-B18D-B5DB36EFDF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6A-4D34-B18D-B5DB36EFDF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1B-408B-828B-FE77477D37F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06A-4D34-B18D-B5DB36EFDF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6A-4D34-B18D-B5DB36EFD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Monthly!$D$19:$O$19</c:f>
              <c:numCache>
                <c:formatCode>_-#,##0;\-#,##0;_-"- ";_-@</c:formatCode>
                <c:ptCount val="12"/>
                <c:pt idx="0">
                  <c:v>38113.06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6A-4D34-B18D-B5DB36EF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Monthly!$D$6:$O$6</c:f>
              <c:numCache>
                <c:formatCode>_-#,##0;\-#,##0;_-"- ";_-@</c:formatCode>
                <c:ptCount val="12"/>
                <c:pt idx="0">
                  <c:v>70989.019090909074</c:v>
                </c:pt>
                <c:pt idx="1">
                  <c:v>73574.995090909084</c:v>
                </c:pt>
                <c:pt idx="2">
                  <c:v>85075.995090909084</c:v>
                </c:pt>
                <c:pt idx="3">
                  <c:v>72567.041090909101</c:v>
                </c:pt>
                <c:pt idx="4">
                  <c:v>80640.425090909092</c:v>
                </c:pt>
                <c:pt idx="5">
                  <c:v>84694.024090909094</c:v>
                </c:pt>
                <c:pt idx="6">
                  <c:v>81755.188545454541</c:v>
                </c:pt>
                <c:pt idx="7">
                  <c:v>74361.264545454542</c:v>
                </c:pt>
                <c:pt idx="8">
                  <c:v>89651.870545454542</c:v>
                </c:pt>
                <c:pt idx="9">
                  <c:v>75481.68454545454</c:v>
                </c:pt>
                <c:pt idx="10">
                  <c:v>82304.374545454542</c:v>
                </c:pt>
                <c:pt idx="11">
                  <c:v>82308.031545454549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C-4C07-B54A-22B94C03FAEA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C-4C07-B54A-22B94C03F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C07-B54A-22B94C03F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C-4C07-B54A-22B94C03F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C-4C07-B54A-22B94C03F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C-4C07-B54A-22B94C03FA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C-4C07-B54A-22B94C03FA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3C-4C07-B54A-22B94C03FA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3C-4C07-B54A-22B94C03FA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3C-4C07-B54A-22B94C03FA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9-4FC0-B81C-C907051C297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3C-4C07-B54A-22B94C03FAE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3C-4C07-B54A-22B94C03FAE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C-4C07-B54A-22B94C03FAE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C-4C07-B54A-22B94C03FAE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C-4C07-B54A-22B94C03FAE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3C-4C07-B54A-22B94C03FAE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3C-4C07-B54A-22B94C03FAE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3C-4C07-B54A-22B94C03FAE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3C-4C07-B54A-22B94C03FAE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3C-4C07-B54A-22B94C03FAE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3C-4C07-B54A-22B94C03FAE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E9-4FC0-B81C-C907051C297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3C-4C07-B54A-22B94C03FAE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3C-4C07-B54A-22B94C03F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Monthly!$D$20:$O$20</c:f>
              <c:numCache>
                <c:formatCode>_-#,##0;\-#,##0;_-"- ";_-@</c:formatCode>
                <c:ptCount val="12"/>
                <c:pt idx="0">
                  <c:v>53472.090000000011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3C-4C07-B54A-22B94C03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FDE-9CC3-90A783DCD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Monthly!$D$5:$P$5</c15:sqref>
                  </c15:fullRef>
                </c:ext>
              </c:extLst>
              <c:f>Monthly!$P$5</c:f>
              <c:numCache>
                <c:formatCode>_-#,##0;\-#,##0;_-"- ";_-@</c:formatCode>
                <c:ptCount val="1"/>
                <c:pt idx="0">
                  <c:v>717092.99888350058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9-4FDE-9CC3-90A783DCDCD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72-4119-890E-A6392678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Monthly!$D$19:$P$19</c15:sqref>
                  </c15:fullRef>
                </c:ext>
              </c:extLst>
              <c:f>Monthly!$P$19</c:f>
              <c:numCache>
                <c:formatCode>_-#,##0;\-#,##0;_-"- ";_-@</c:formatCode>
                <c:ptCount val="1"/>
                <c:pt idx="0">
                  <c:v>38113.06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9-4FDE-9CC3-90A783DC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D55-B879-ADCB7E31C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Monthly!$D$6:$P$6</c15:sqref>
                  </c15:fullRef>
                </c:ext>
              </c:extLst>
              <c:f>Monthly!$P$6</c:f>
              <c:numCache>
                <c:formatCode>_-#,##0;\-#,##0;_-"- ";_-@</c:formatCode>
                <c:ptCount val="1"/>
                <c:pt idx="0">
                  <c:v>953403.91381818184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D55-B879-ADCB7E31C71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A3-4D37-95F7-8439513B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Monthly!$D$20:$P$20</c15:sqref>
                  </c15:fullRef>
                </c:ext>
              </c:extLst>
              <c:f>Monthly!$P$20</c:f>
              <c:numCache>
                <c:formatCode>_-#,##0;\-#,##0;_-"- ";_-@</c:formatCode>
                <c:ptCount val="1"/>
                <c:pt idx="0">
                  <c:v>53472.090000000011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D55-B879-ADCB7E3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Quarterly!$D$5:$G$5</c:f>
              <c:numCache>
                <c:formatCode>_-#,##0;\-#,##0;_-"- ";_-@</c:formatCode>
                <c:ptCount val="4"/>
                <c:pt idx="0">
                  <c:v>174816.96180982352</c:v>
                </c:pt>
                <c:pt idx="1">
                  <c:v>180912.31408985524</c:v>
                </c:pt>
                <c:pt idx="2">
                  <c:v>179637.27425202355</c:v>
                </c:pt>
                <c:pt idx="3">
                  <c:v>181726.44873179833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5A3-A25D-D7A0E3B29B09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E-45A3-A25D-D7A0E3B29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E-45A3-A25D-D7A0E3B29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E-45A3-A25D-D7A0E3B29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1E-45A3-A25D-D7A0E3B29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Quarterly!$D$19:$G$19</c:f>
              <c:numCache>
                <c:formatCode>_-#,##0;\-#,##0;_-"- ";_-@</c:formatCode>
                <c:ptCount val="4"/>
                <c:pt idx="0">
                  <c:v>38113.06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1E-45A3-A25D-D7A0E3B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Quarterly!$D$6:$G$6</c:f>
              <c:numCache>
                <c:formatCode>_-#,##0;\-#,##0;_-"- ";_-@</c:formatCode>
                <c:ptCount val="4"/>
                <c:pt idx="0">
                  <c:v>229640.00927272724</c:v>
                </c:pt>
                <c:pt idx="1">
                  <c:v>237901.49027272727</c:v>
                </c:pt>
                <c:pt idx="2">
                  <c:v>245768.32363636361</c:v>
                </c:pt>
                <c:pt idx="3">
                  <c:v>240094.09063636363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169-BAF1-8507D4C45E98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8-4169-BAF1-8507D4C45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A8-4169-BAF1-8507D4C45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A8-4169-BAF1-8507D4C45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A8-4169-BAF1-8507D4C4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Quarterly!$D$20:$G$20</c:f>
              <c:numCache>
                <c:formatCode>_-#,##0;\-#,##0;_-"- ";_-@</c:formatCode>
                <c:ptCount val="4"/>
                <c:pt idx="0">
                  <c:v>53472.090000000011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A8-4169-BAF1-8507D4C4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Quarterly!$D$8:$G$8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419819.4793625825</c:v>
                </c:pt>
                <c:pt idx="2">
                  <c:v>426411.27288838715</c:v>
                </c:pt>
                <c:pt idx="3">
                  <c:v>422826.21436816192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180-8F72-EE0BD786C417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7-4180-8F72-EE0BD786C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7-4180-8F72-EE0BD786C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7-4180-8F72-EE0BD786C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7-4180-8F72-EE0BD786C41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Quarterly!$D$22:$G$22</c:f>
              <c:numCache>
                <c:formatCode>_-#,##0;\-#,##0;_-"- ";_-@</c:formatCode>
                <c:ptCount val="4"/>
                <c:pt idx="0">
                  <c:v>106329.57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67-4180-8F72-EE0BD786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74900386542591268"/>
        </c:manualLayout>
      </c:layout>
      <c:lineChart>
        <c:grouping val="standard"/>
        <c:varyColors val="0"/>
        <c:ser>
          <c:idx val="0"/>
          <c:order val="0"/>
          <c:tx>
            <c:strRef>
              <c:f>Quarterly!$C$38</c:f>
              <c:strCache>
                <c:ptCount val="1"/>
                <c:pt idx="0">
                  <c:v>YTD Net Sales - Estimate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Quarterly!$D$38:$G$38</c:f>
              <c:numCache>
                <c:formatCode>_-#,##0;\-#,##0;_-"- ";_-@</c:formatCode>
                <c:ptCount val="4"/>
                <c:pt idx="0">
                  <c:v>106329.57</c:v>
                </c:pt>
                <c:pt idx="1">
                  <c:v>106329.57</c:v>
                </c:pt>
                <c:pt idx="2">
                  <c:v>106329.57</c:v>
                </c:pt>
                <c:pt idx="3">
                  <c:v>106329.57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1-4A81-8585-099187258B2A}"/>
            </c:ext>
          </c:extLst>
        </c:ser>
        <c:ser>
          <c:idx val="1"/>
          <c:order val="1"/>
          <c:tx>
            <c:strRef>
              <c:f>Quarterly!$C$39</c:f>
              <c:strCache>
                <c:ptCount val="1"/>
                <c:pt idx="0">
                  <c:v>YTD Net Sales - Plan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Quarterly!$D$39:$G$39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825282.12544513331</c:v>
                </c:pt>
                <c:pt idx="2">
                  <c:v>1251693.3983335204</c:v>
                </c:pt>
                <c:pt idx="3">
                  <c:v>1674519.6127016824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F1-4A81-8585-09918725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2531296"/>
        <c:axId val="892529656"/>
      </c:lineChart>
      <c:catAx>
        <c:axId val="8925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29656"/>
        <c:crosses val="autoZero"/>
        <c:auto val="1"/>
        <c:lblAlgn val="ctr"/>
        <c:lblOffset val="100"/>
        <c:noMultiLvlLbl val="0"/>
      </c:catAx>
      <c:valAx>
        <c:axId val="892529656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89253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Yearly!$D$5:$K$5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296873.54611200001</c:v>
                </c:pt>
                <c:pt idx="3">
                  <c:v>166464.44925000001</c:v>
                </c:pt>
                <c:pt idx="4">
                  <c:v>505376.74750000006</c:v>
                </c:pt>
                <c:pt idx="5">
                  <c:v>1181740.4254999999</c:v>
                </c:pt>
                <c:pt idx="6">
                  <c:v>717092.99888350058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38-4711-A387-FD206DE613E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66-41D7-9AE2-1840471385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266-41D7-9AE2-184047138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6-41D7-9AE2-184047138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Yearly!$D$20:$K$20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165810.98415900001</c:v>
                </c:pt>
                <c:pt idx="3">
                  <c:v>241992.50999999998</c:v>
                </c:pt>
                <c:pt idx="4">
                  <c:v>419702.11005023995</c:v>
                </c:pt>
                <c:pt idx="5">
                  <c:v>485417.63870000001</c:v>
                </c:pt>
                <c:pt idx="6">
                  <c:v>38113.06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38-4711-A387-FD206DE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Net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Yearly!$D$6:$K$6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184469.08480000001</c:v>
                </c:pt>
                <c:pt idx="3">
                  <c:v>557267.61599999992</c:v>
                </c:pt>
                <c:pt idx="4">
                  <c:v>994101.43500000006</c:v>
                </c:pt>
                <c:pt idx="5">
                  <c:v>676438.13400000008</c:v>
                </c:pt>
                <c:pt idx="6">
                  <c:v>953403.91381818173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DE5-446A-BF63-45D42315B5D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C50-4E47-9AFF-8B4EDC6D60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50-4E47-9AFF-8B4EDC6D6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0-4E47-9AFF-8B4EDC6D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Yearly!$D$21:$K$21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147304.82248800001</c:v>
                </c:pt>
                <c:pt idx="3">
                  <c:v>368221.91</c:v>
                </c:pt>
                <c:pt idx="4">
                  <c:v>564674.37</c:v>
                </c:pt>
                <c:pt idx="5">
                  <c:v>885448.93</c:v>
                </c:pt>
                <c:pt idx="6">
                  <c:v>53472.090000000011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5-446A-BF63-45D4231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2455509114297887E-2"/>
          <c:y val="0.12480832369072145"/>
          <c:w val="0.97991537683599228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Yearly!$D$8:$K$8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594545.116912</c:v>
                </c:pt>
                <c:pt idx="3">
                  <c:v>895115.68124999991</c:v>
                </c:pt>
                <c:pt idx="4">
                  <c:v>1580645.6825000001</c:v>
                </c:pt>
                <c:pt idx="5">
                  <c:v>1998679.0595</c:v>
                </c:pt>
                <c:pt idx="6">
                  <c:v>1674519.6127016821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7F-4D0B-AB74-2144DD10B5C6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D1-4612-B927-202ADB780A9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1-4612-B927-202ADB780A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1-4612-B927-202ADB780A98}"/>
              </c:ext>
            </c:extLst>
          </c:dPt>
          <c:dLbls>
            <c:dLbl>
              <c:idx val="2"/>
              <c:layout>
                <c:manualLayout>
                  <c:x val="7.8611218316042477E-3"/>
                  <c:y val="-2.280414091945297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1-4612-B927-202ADB780A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Yearly!$D$23:$K$23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329848.57664700004</c:v>
                </c:pt>
                <c:pt idx="3">
                  <c:v>676044.89999999991</c:v>
                </c:pt>
                <c:pt idx="4">
                  <c:v>1086409.89205024</c:v>
                </c:pt>
                <c:pt idx="5">
                  <c:v>1478104.2757000001</c:v>
                </c:pt>
                <c:pt idx="6">
                  <c:v>106329.57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F-4D0B-AB74-2144DD10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6736394502584492E-2"/>
          <c:y val="3.0336485270933959E-2"/>
          <c:w val="0.25989401146413948"/>
          <c:h val="0.1082184396185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B2B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072552798726626"/>
          <c:w val="0.96349949366565402"/>
          <c:h val="0.6604730399759971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56396828214689E-3"/>
                  <c:y val="-6.49614042302664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2-491A-9333-E1319FAF8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Yearly!$D$12:$K$12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9938.0800000000017</c:v>
                </c:pt>
                <c:pt idx="3">
                  <c:v>4444</c:v>
                </c:pt>
                <c:pt idx="4">
                  <c:v>16954.400000000001</c:v>
                </c:pt>
                <c:pt idx="5">
                  <c:v>34730.800000000003</c:v>
                </c:pt>
                <c:pt idx="6">
                  <c:v>23862.100002186722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F7C6-4052-84CE-26047CACDB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4-4558-B00B-89289E1340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F-46B0-B30B-AAD2E42D1300}"/>
              </c:ext>
            </c:extLst>
          </c:dPt>
          <c:dLbls>
            <c:dLbl>
              <c:idx val="0"/>
              <c:layout>
                <c:manualLayout>
                  <c:x val="5.8364339388633007E-3"/>
                  <c:y val="-2.977361776190552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4-4558-B00B-89289E13403D}"/>
                </c:ext>
              </c:extLst>
            </c:dLbl>
            <c:dLbl>
              <c:idx val="1"/>
              <c:layout>
                <c:manualLayout>
                  <c:x val="1.4678198414107882E-3"/>
                  <c:y val="1.299228084605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4-4558-B00B-89289E13403D}"/>
                </c:ext>
              </c:extLst>
            </c:dLbl>
            <c:dLbl>
              <c:idx val="2"/>
              <c:layout>
                <c:manualLayout>
                  <c:x val="5.8712793656429379E-3"/>
                  <c:y val="1.299228084605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4-4558-B00B-89289E134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Yearly!$D$27:$K$27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5241.2800000000007</c:v>
                </c:pt>
                <c:pt idx="3">
                  <c:v>7320.0899999999992</c:v>
                </c:pt>
                <c:pt idx="4">
                  <c:v>12203.012999999999</c:v>
                </c:pt>
                <c:pt idx="5">
                  <c:v>15774.625</c:v>
                </c:pt>
                <c:pt idx="6">
                  <c:v>1166.6699999999998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6-4052-84CE-26047C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Volume - Export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Yearly!$D$13:$K$13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6062</c:v>
                </c:pt>
                <c:pt idx="3">
                  <c:v>16318.8</c:v>
                </c:pt>
                <c:pt idx="4">
                  <c:v>30488</c:v>
                </c:pt>
                <c:pt idx="5">
                  <c:v>21220.2</c:v>
                </c:pt>
                <c:pt idx="6">
                  <c:v>31005.9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D36-472C-9B12-9DD42CFC66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0-46D2-8BAD-6F4D07C67646}"/>
              </c:ext>
            </c:extLst>
          </c:dPt>
          <c:dLbls>
            <c:dLbl>
              <c:idx val="0"/>
              <c:layout>
                <c:manualLayout>
                  <c:x val="4.36174804207879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0-46D2-8BAD-6F4D07C67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Yearly!$D$28:$K$28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4237.1000000000004</c:v>
                </c:pt>
                <c:pt idx="3">
                  <c:v>12370.74</c:v>
                </c:pt>
                <c:pt idx="4">
                  <c:v>19756.080000000002</c:v>
                </c:pt>
                <c:pt idx="5">
                  <c:v>28090.080000000002</c:v>
                </c:pt>
                <c:pt idx="6">
                  <c:v>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6-472C-9B12-9DD42CFC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Total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Yearly!$D$15:$K$15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16000.080000000002</c:v>
                </c:pt>
                <c:pt idx="3">
                  <c:v>26099.599999999999</c:v>
                </c:pt>
                <c:pt idx="4">
                  <c:v>50000.4</c:v>
                </c:pt>
                <c:pt idx="5">
                  <c:v>60000</c:v>
                </c:pt>
                <c:pt idx="6">
                  <c:v>55000.000002186724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377-45FC-BB8B-743E5741D01D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8-48E5-AFEA-B57638583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2-4C6E-A697-16E3E93E6A7E}"/>
              </c:ext>
            </c:extLst>
          </c:dPt>
          <c:dLbls>
            <c:dLbl>
              <c:idx val="0"/>
              <c:layout>
                <c:manualLayout>
                  <c:x val="5.73134306804215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A8-48E5-AFEA-B576385832B2}"/>
                </c:ext>
              </c:extLst>
            </c:dLbl>
            <c:dLbl>
              <c:idx val="2"/>
              <c:layout>
                <c:manualLayout>
                  <c:x val="5.73134306804209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A8-48E5-AFEA-B576385832B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Yearly!$D$30:$K$30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9807.9100000000017</c:v>
                </c:pt>
                <c:pt idx="3">
                  <c:v>21348.809999999998</c:v>
                </c:pt>
                <c:pt idx="4">
                  <c:v>34973.156999999999</c:v>
                </c:pt>
                <c:pt idx="5">
                  <c:v>47163.325000000004</c:v>
                </c:pt>
                <c:pt idx="6">
                  <c:v>3512.98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5FC-BB8B-743E5741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61846404067354E-2"/>
          <c:y val="3.5311991675625209E-2"/>
          <c:w val="0.29287400003294395"/>
          <c:h val="7.836540119036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45965</xdr:colOff>
      <xdr:row>44</xdr:row>
      <xdr:rowOff>26323</xdr:rowOff>
    </xdr:from>
    <xdr:to>
      <xdr:col>15</xdr:col>
      <xdr:colOff>50981</xdr:colOff>
      <xdr:row>90</xdr:row>
      <xdr:rowOff>174328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0007E9-EA5E-43FD-AAC8-965E45AD73D5}"/>
            </a:ext>
          </a:extLst>
        </xdr:cNvPr>
        <xdr:cNvGrpSpPr/>
      </xdr:nvGrpSpPr>
      <xdr:grpSpPr>
        <a:xfrm>
          <a:off x="45965" y="3880116"/>
          <a:ext cx="11486108" cy="9366453"/>
          <a:chOff x="-465213" y="1479957"/>
          <a:chExt cx="10661824" cy="880210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7B57F61-8FD7-48D1-880D-8593DF8B1CCB}"/>
              </a:ext>
            </a:extLst>
          </xdr:cNvPr>
          <xdr:cNvGraphicFramePr>
            <a:graphicFrameLocks/>
          </xdr:cNvGraphicFramePr>
        </xdr:nvGraphicFramePr>
        <xdr:xfrm>
          <a:off x="-465213" y="8203097"/>
          <a:ext cx="4915249" cy="20434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28032C9-A8D0-41D8-A41A-A658AB403D66}"/>
              </a:ext>
            </a:extLst>
          </xdr:cNvPr>
          <xdr:cNvGraphicFramePr>
            <a:graphicFrameLocks/>
          </xdr:cNvGraphicFramePr>
        </xdr:nvGraphicFramePr>
        <xdr:xfrm>
          <a:off x="4520595" y="8196085"/>
          <a:ext cx="5656008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54C9EB5-AF9F-42F3-88DD-05326CD6AE48}"/>
              </a:ext>
            </a:extLst>
          </xdr:cNvPr>
          <xdr:cNvGraphicFramePr>
            <a:graphicFrameLocks/>
          </xdr:cNvGraphicFramePr>
        </xdr:nvGraphicFramePr>
        <xdr:xfrm>
          <a:off x="4519710" y="1479957"/>
          <a:ext cx="5676901" cy="2256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FC9324B-9DEE-4086-BEB8-F6A151665082}"/>
              </a:ext>
            </a:extLst>
          </xdr:cNvPr>
          <xdr:cNvGraphicFramePr>
            <a:graphicFrameLocks/>
          </xdr:cNvGraphicFramePr>
        </xdr:nvGraphicFramePr>
        <xdr:xfrm>
          <a:off x="4518098" y="5891240"/>
          <a:ext cx="5658054" cy="2216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9800F2D-F93E-4176-859F-A361A954C497}"/>
              </a:ext>
            </a:extLst>
          </xdr:cNvPr>
          <xdr:cNvGraphicFramePr>
            <a:graphicFrameLocks/>
          </xdr:cNvGraphicFramePr>
        </xdr:nvGraphicFramePr>
        <xdr:xfrm>
          <a:off x="4512112" y="3853412"/>
          <a:ext cx="5667375" cy="1918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532</xdr:colOff>
      <xdr:row>43</xdr:row>
      <xdr:rowOff>137977</xdr:rowOff>
    </xdr:from>
    <xdr:to>
      <xdr:col>2</xdr:col>
      <xdr:colOff>5225814</xdr:colOff>
      <xdr:row>79</xdr:row>
      <xdr:rowOff>137842</xdr:rowOff>
    </xdr:to>
    <xdr:grpSp>
      <xdr:nvGrpSpPr>
        <xdr:cNvPr id="22" name="Group 20">
          <a:extLst>
            <a:ext uri="{FF2B5EF4-FFF2-40B4-BE49-F238E27FC236}">
              <a16:creationId xmlns:a16="http://schemas.microsoft.com/office/drawing/2014/main" id="{D90F30F2-7F75-88CD-CB3B-CA6111F69926}"/>
            </a:ext>
          </a:extLst>
        </xdr:cNvPr>
        <xdr:cNvGrpSpPr/>
      </xdr:nvGrpSpPr>
      <xdr:grpSpPr>
        <a:xfrm>
          <a:off x="66222" y="3831195"/>
          <a:ext cx="4942889" cy="7130842"/>
          <a:chOff x="-277394" y="1842257"/>
          <a:chExt cx="5253164" cy="6387343"/>
        </a:xfrm>
      </xdr:grpSpPr>
      <xdr:grpSp>
        <xdr:nvGrpSpPr>
          <xdr:cNvPr id="23" name="Group 13">
            <a:extLst>
              <a:ext uri="{FF2B5EF4-FFF2-40B4-BE49-F238E27FC236}">
                <a16:creationId xmlns:a16="http://schemas.microsoft.com/office/drawing/2014/main" id="{10081CD1-DD22-89DC-ACE5-E5AD9F1E3B73}"/>
              </a:ext>
            </a:extLst>
          </xdr:cNvPr>
          <xdr:cNvGrpSpPr/>
        </xdr:nvGrpSpPr>
        <xdr:grpSpPr>
          <a:xfrm>
            <a:off x="-277394" y="1842257"/>
            <a:ext cx="5253164" cy="6355768"/>
            <a:chOff x="-286919" y="1813682"/>
            <a:chExt cx="5253164" cy="6355768"/>
          </a:xfrm>
        </xdr:grpSpPr>
        <xdr:grpSp>
          <xdr:nvGrpSpPr>
            <xdr:cNvPr id="24" name="Group 16">
              <a:extLst>
                <a:ext uri="{FF2B5EF4-FFF2-40B4-BE49-F238E27FC236}">
                  <a16:creationId xmlns:a16="http://schemas.microsoft.com/office/drawing/2014/main" id="{E2E1FAFD-0F59-451F-8EBC-243624E8FBC6}"/>
                </a:ext>
              </a:extLst>
            </xdr:cNvPr>
            <xdr:cNvGrpSpPr/>
          </xdr:nvGrpSpPr>
          <xdr:grpSpPr>
            <a:xfrm>
              <a:off x="-286919" y="1813682"/>
              <a:ext cx="5182196" cy="2143125"/>
              <a:chOff x="-297140" y="1842257"/>
              <a:chExt cx="5200651" cy="2143125"/>
            </a:xfrm>
          </xdr:grpSpPr>
          <xdr:graphicFrame macro="">
            <xdr:nvGraphicFramePr>
              <xdr:cNvPr id="25" name="Chart 11">
                <a:extLst>
                  <a:ext uri="{FF2B5EF4-FFF2-40B4-BE49-F238E27FC236}">
                    <a16:creationId xmlns:a16="http://schemas.microsoft.com/office/drawing/2014/main" id="{AF2F1E75-9636-4571-8B93-ADA27F21C09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297140" y="1842257"/>
              <a:ext cx="5200651" cy="2143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6" name="Chart 15">
                <a:extLst>
                  <a:ext uri="{FF2B5EF4-FFF2-40B4-BE49-F238E27FC236}">
                    <a16:creationId xmlns:a16="http://schemas.microsoft.com/office/drawing/2014/main" id="{EE845C21-B0DA-4716-8D60-193118C23DEE}"/>
                  </a:ext>
                </a:extLst>
              </xdr:cNvPr>
              <xdr:cNvGraphicFramePr/>
            </xdr:nvGraphicFramePr>
            <xdr:xfrm>
              <a:off x="-164982" y="2321945"/>
              <a:ext cx="1252114" cy="10326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27" name="Group 12">
              <a:extLst>
                <a:ext uri="{FF2B5EF4-FFF2-40B4-BE49-F238E27FC236}">
                  <a16:creationId xmlns:a16="http://schemas.microsoft.com/office/drawing/2014/main" id="{BE7E37BE-DE0F-41A9-878E-CD79A035E170}"/>
                </a:ext>
              </a:extLst>
            </xdr:cNvPr>
            <xdr:cNvGrpSpPr/>
          </xdr:nvGrpSpPr>
          <xdr:grpSpPr>
            <a:xfrm>
              <a:off x="-271218" y="4109066"/>
              <a:ext cx="5237463" cy="4060384"/>
              <a:chOff x="-276660" y="5614016"/>
              <a:chExt cx="5324273" cy="4060384"/>
            </a:xfrm>
          </xdr:grpSpPr>
          <xdr:grpSp>
            <xdr:nvGrpSpPr>
              <xdr:cNvPr id="28" name="Group 7">
                <a:extLst>
                  <a:ext uri="{FF2B5EF4-FFF2-40B4-BE49-F238E27FC236}">
                    <a16:creationId xmlns:a16="http://schemas.microsoft.com/office/drawing/2014/main" id="{EF28DBC9-8CCC-4511-A0C0-710C9172C894}"/>
                  </a:ext>
                </a:extLst>
              </xdr:cNvPr>
              <xdr:cNvGrpSpPr/>
            </xdr:nvGrpSpPr>
            <xdr:grpSpPr>
              <a:xfrm>
                <a:off x="-276660" y="5614016"/>
                <a:ext cx="5324273" cy="4060384"/>
                <a:chOff x="-295710" y="4740019"/>
                <a:chExt cx="5324273" cy="3907424"/>
              </a:xfrm>
            </xdr:grpSpPr>
            <xdr:graphicFrame macro="">
              <xdr:nvGraphicFramePr>
                <xdr:cNvPr id="29" name="Chart 8">
                  <a:extLst>
                    <a:ext uri="{FF2B5EF4-FFF2-40B4-BE49-F238E27FC236}">
                      <a16:creationId xmlns:a16="http://schemas.microsoft.com/office/drawing/2014/main" id="{70AE3595-038A-42ED-8767-D317B208AB60}"/>
                    </a:ext>
                  </a:extLst>
                </xdr:cNvPr>
                <xdr:cNvGraphicFramePr/>
              </xdr:nvGraphicFramePr>
              <xdr:xfrm>
                <a:off x="-295710" y="4740019"/>
                <a:ext cx="5304043" cy="1771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graphicFrame macro="">
              <xdr:nvGraphicFramePr>
                <xdr:cNvPr id="31" name="Chart 10">
                  <a:extLst>
                    <a:ext uri="{FF2B5EF4-FFF2-40B4-BE49-F238E27FC236}">
                      <a16:creationId xmlns:a16="http://schemas.microsoft.com/office/drawing/2014/main" id="{61126770-662C-483C-A6F0-F13EA1E8B4B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291649" y="6622935"/>
                <a:ext cx="5320212" cy="202450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</xdr:grpSp>
          <xdr:graphicFrame macro="">
            <xdr:nvGraphicFramePr>
              <xdr:cNvPr id="32" name="Chart 14">
                <a:extLst>
                  <a:ext uri="{FF2B5EF4-FFF2-40B4-BE49-F238E27FC236}">
                    <a16:creationId xmlns:a16="http://schemas.microsoft.com/office/drawing/2014/main" id="{A480AB0D-D86B-4D6F-8D4D-381563DA443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172488" y="5863681"/>
              <a:ext cx="1301556" cy="8808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grpSp>
        <xdr:nvGrpSpPr>
          <xdr:cNvPr id="33" name="Group 19">
            <a:extLst>
              <a:ext uri="{FF2B5EF4-FFF2-40B4-BE49-F238E27FC236}">
                <a16:creationId xmlns:a16="http://schemas.microsoft.com/office/drawing/2014/main" id="{50A4A240-0B4B-4DB5-BFCD-A5F1435D0CD4}"/>
              </a:ext>
            </a:extLst>
          </xdr:cNvPr>
          <xdr:cNvGrpSpPr/>
        </xdr:nvGrpSpPr>
        <xdr:grpSpPr>
          <a:xfrm>
            <a:off x="-66196" y="6476965"/>
            <a:ext cx="1247296" cy="1752635"/>
            <a:chOff x="-72485" y="7905715"/>
            <a:chExt cx="1339310" cy="1752635"/>
          </a:xfrm>
        </xdr:grpSpPr>
        <xdr:graphicFrame macro="">
          <xdr:nvGraphicFramePr>
            <xdr:cNvPr id="34" name="Chart 17">
              <a:extLst>
                <a:ext uri="{FF2B5EF4-FFF2-40B4-BE49-F238E27FC236}">
                  <a16:creationId xmlns:a16="http://schemas.microsoft.com/office/drawing/2014/main" id="{834D63A8-A54E-42C0-9933-A32710823EDE}"/>
                </a:ext>
              </a:extLst>
            </xdr:cNvPr>
            <xdr:cNvGraphicFramePr>
              <a:graphicFrameLocks/>
            </xdr:cNvGraphicFramePr>
          </xdr:nvGraphicFramePr>
          <xdr:xfrm>
            <a:off x="28575" y="8467725"/>
            <a:ext cx="1238250" cy="1190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35" name="Chart 18">
              <a:extLst>
                <a:ext uri="{FF2B5EF4-FFF2-40B4-BE49-F238E27FC236}">
                  <a16:creationId xmlns:a16="http://schemas.microsoft.com/office/drawing/2014/main" id="{3886ED99-593D-45F0-9CC4-475C2DB4013F}"/>
                </a:ext>
              </a:extLst>
            </xdr:cNvPr>
            <xdr:cNvGraphicFramePr>
              <a:graphicFrameLocks/>
            </xdr:cNvGraphicFramePr>
          </xdr:nvGraphicFramePr>
          <xdr:xfrm>
            <a:off x="-72485" y="7905715"/>
            <a:ext cx="1331946" cy="771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23793</xdr:colOff>
      <xdr:row>24</xdr:row>
      <xdr:rowOff>190500</xdr:rowOff>
    </xdr:from>
    <xdr:to>
      <xdr:col>14</xdr:col>
      <xdr:colOff>440209</xdr:colOff>
      <xdr:row>99</xdr:row>
      <xdr:rowOff>47623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FCB44C-2661-D41A-1B61-5F773257E3F9}"/>
            </a:ext>
          </a:extLst>
        </xdr:cNvPr>
        <xdr:cNvGrpSpPr/>
      </xdr:nvGrpSpPr>
      <xdr:grpSpPr>
        <a:xfrm>
          <a:off x="157143" y="5060950"/>
          <a:ext cx="10773266" cy="15103473"/>
          <a:chOff x="-2756267" y="5582505"/>
          <a:chExt cx="9793051" cy="13450408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5693857-A374-481A-8367-24D7CBF9308A}"/>
              </a:ext>
            </a:extLst>
          </xdr:cNvPr>
          <xdr:cNvGraphicFramePr/>
        </xdr:nvGraphicFramePr>
        <xdr:xfrm>
          <a:off x="-2747480" y="5582505"/>
          <a:ext cx="9781351" cy="2679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EABEDF2-CCA0-46E5-9E97-B022C4D2172F}"/>
              </a:ext>
            </a:extLst>
          </xdr:cNvPr>
          <xdr:cNvGraphicFramePr>
            <a:graphicFrameLocks/>
          </xdr:cNvGraphicFramePr>
        </xdr:nvGraphicFramePr>
        <xdr:xfrm>
          <a:off x="-2750442" y="13755316"/>
          <a:ext cx="9761599" cy="2415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E566248-99AC-4ED5-B514-96737AACBC85}"/>
              </a:ext>
            </a:extLst>
          </xdr:cNvPr>
          <xdr:cNvGraphicFramePr>
            <a:graphicFrameLocks/>
          </xdr:cNvGraphicFramePr>
        </xdr:nvGraphicFramePr>
        <xdr:xfrm>
          <a:off x="-2756267" y="16233189"/>
          <a:ext cx="9760929" cy="2799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990BF18-7638-CBEC-3198-6CE5D21D0FCF}"/>
              </a:ext>
            </a:extLst>
          </xdr:cNvPr>
          <xdr:cNvGrpSpPr/>
        </xdr:nvGrpSpPr>
        <xdr:grpSpPr>
          <a:xfrm>
            <a:off x="-2736657" y="8302792"/>
            <a:ext cx="9773441" cy="2795587"/>
            <a:chOff x="-3546282" y="8493292"/>
            <a:chExt cx="9773441" cy="2795587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61F1CE-2365-4D94-8D25-A8932A2464DE}"/>
                </a:ext>
              </a:extLst>
            </xdr:cNvPr>
            <xdr:cNvGraphicFramePr/>
          </xdr:nvGraphicFramePr>
          <xdr:xfrm>
            <a:off x="-3546282" y="8493292"/>
            <a:ext cx="9773441" cy="27955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BF6915-6AE5-ECA7-F4F6-0970E4CDF540}"/>
                </a:ext>
              </a:extLst>
            </xdr:cNvPr>
            <xdr:cNvGraphicFramePr/>
          </xdr:nvGraphicFramePr>
          <xdr:xfrm>
            <a:off x="-3365439" y="8651397"/>
            <a:ext cx="1591407" cy="9212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F79A98E-EC29-BB36-F293-E06C37A6778C}"/>
              </a:ext>
            </a:extLst>
          </xdr:cNvPr>
          <xdr:cNvGrpSpPr/>
        </xdr:nvGrpSpPr>
        <xdr:grpSpPr>
          <a:xfrm>
            <a:off x="-2742686" y="11131125"/>
            <a:ext cx="9766137" cy="2566988"/>
            <a:chOff x="-7269258" y="10845375"/>
            <a:chExt cx="9499437" cy="2566988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5B1F43F-5401-403E-8F1A-22F84D052152}"/>
                </a:ext>
              </a:extLst>
            </xdr:cNvPr>
            <xdr:cNvGraphicFramePr>
              <a:graphicFrameLocks/>
            </xdr:cNvGraphicFramePr>
          </xdr:nvGraphicFramePr>
          <xdr:xfrm>
            <a:off x="-7269258" y="10845375"/>
            <a:ext cx="9499437" cy="25669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124FC6E-445C-01C1-F409-F41A35C5D52B}"/>
                </a:ext>
              </a:extLst>
            </xdr:cNvPr>
            <xdr:cNvGraphicFramePr/>
          </xdr:nvGraphicFramePr>
          <xdr:xfrm>
            <a:off x="-7183363" y="11051932"/>
            <a:ext cx="1600200" cy="11858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55</xdr:row>
      <xdr:rowOff>76202</xdr:rowOff>
    </xdr:from>
    <xdr:to>
      <xdr:col>7</xdr:col>
      <xdr:colOff>609600</xdr:colOff>
      <xdr:row>69</xdr:row>
      <xdr:rowOff>119498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97C3D-401E-4532-B43A-61F43B6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22225</xdr:colOff>
      <xdr:row>55</xdr:row>
      <xdr:rowOff>88900</xdr:rowOff>
    </xdr:from>
    <xdr:to>
      <xdr:col>19</xdr:col>
      <xdr:colOff>41275</xdr:colOff>
      <xdr:row>69</xdr:row>
      <xdr:rowOff>132196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91F1-FC6D-4969-96E2-CE0F8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130175</xdr:colOff>
      <xdr:row>55</xdr:row>
      <xdr:rowOff>95251</xdr:rowOff>
    </xdr:from>
    <xdr:to>
      <xdr:col>22</xdr:col>
      <xdr:colOff>34925</xdr:colOff>
      <xdr:row>69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25EEE4-4ED3-4EB5-8FD6-F496D16E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638471</xdr:colOff>
      <xdr:row>70</xdr:row>
      <xdr:rowOff>80419</xdr:rowOff>
    </xdr:from>
    <xdr:to>
      <xdr:col>22</xdr:col>
      <xdr:colOff>129928</xdr:colOff>
      <xdr:row>95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6DB325-AACA-EBF5-13C6-0530BCCC5850}"/>
            </a:ext>
          </a:extLst>
        </xdr:cNvPr>
        <xdr:cNvGrpSpPr/>
      </xdr:nvGrpSpPr>
      <xdr:grpSpPr>
        <a:xfrm>
          <a:off x="7714185" y="14056899"/>
          <a:ext cx="7558549" cy="5080964"/>
          <a:chOff x="5657469" y="12940145"/>
          <a:chExt cx="7365607" cy="42008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432EBFD-26C7-4A35-9CCC-2D56D3D3AAC3}"/>
              </a:ext>
            </a:extLst>
          </xdr:cNvPr>
          <xdr:cNvGrpSpPr/>
        </xdr:nvGrpSpPr>
        <xdr:grpSpPr>
          <a:xfrm>
            <a:off x="5657469" y="12940145"/>
            <a:ext cx="5414747" cy="4200873"/>
            <a:chOff x="238907" y="11844770"/>
            <a:chExt cx="5386048" cy="4200873"/>
          </a:xfrm>
        </xdr:grpSpPr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2162F25-612B-4C33-2C18-6DEA57B15CAE}"/>
                </a:ext>
              </a:extLst>
            </xdr:cNvPr>
            <xdr:cNvGraphicFramePr>
              <a:graphicFrameLocks/>
            </xdr:cNvGraphicFramePr>
          </xdr:nvGraphicFramePr>
          <xdr:xfrm>
            <a:off x="290955" y="11844770"/>
            <a:ext cx="5334000" cy="20156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88CCEE-5209-DE57-777F-5F8F3B815DF1}"/>
                </a:ext>
              </a:extLst>
            </xdr:cNvPr>
            <xdr:cNvGraphicFramePr>
              <a:graphicFrameLocks/>
            </xdr:cNvGraphicFramePr>
          </xdr:nvGraphicFramePr>
          <xdr:xfrm>
            <a:off x="238907" y="14014412"/>
            <a:ext cx="5353050" cy="2031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9D123025-E293-4848-8D58-F90B6AAB4296}"/>
              </a:ext>
            </a:extLst>
          </xdr:cNvPr>
          <xdr:cNvGrpSpPr/>
        </xdr:nvGrpSpPr>
        <xdr:grpSpPr>
          <a:xfrm>
            <a:off x="11188564" y="12945787"/>
            <a:ext cx="1834512" cy="4190040"/>
            <a:chOff x="378111" y="11869462"/>
            <a:chExt cx="1824788" cy="419004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3EADA995-592B-1F81-8195-4FE826349DC2}"/>
                </a:ext>
              </a:extLst>
            </xdr:cNvPr>
            <xdr:cNvGraphicFramePr>
              <a:graphicFrameLocks/>
            </xdr:cNvGraphicFramePr>
          </xdr:nvGraphicFramePr>
          <xdr:xfrm>
            <a:off x="378111" y="11869462"/>
            <a:ext cx="1809632" cy="20152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C244EBC-7D51-6342-E64F-1C792849D568}"/>
                </a:ext>
              </a:extLst>
            </xdr:cNvPr>
            <xdr:cNvGraphicFramePr>
              <a:graphicFrameLocks/>
            </xdr:cNvGraphicFramePr>
          </xdr:nvGraphicFramePr>
          <xdr:xfrm>
            <a:off x="383843" y="14030008"/>
            <a:ext cx="1819056" cy="20294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8</xdr:col>
      <xdr:colOff>28574</xdr:colOff>
      <xdr:row>55</xdr:row>
      <xdr:rowOff>76200</xdr:rowOff>
    </xdr:from>
    <xdr:to>
      <xdr:col>10</xdr:col>
      <xdr:colOff>571499</xdr:colOff>
      <xdr:row>69</xdr:row>
      <xdr:rowOff>119496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8E98F1B-C5E1-4D9E-9E7A-E2F8D14A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63500</xdr:colOff>
      <xdr:row>70</xdr:row>
      <xdr:rowOff>29259</xdr:rowOff>
    </xdr:from>
    <xdr:to>
      <xdr:col>10</xdr:col>
      <xdr:colOff>587375</xdr:colOff>
      <xdr:row>95</xdr:row>
      <xdr:rowOff>139700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F771398-446D-F6CE-6C04-5F5EC04988C0}"/>
            </a:ext>
          </a:extLst>
        </xdr:cNvPr>
        <xdr:cNvGrpSpPr/>
      </xdr:nvGrpSpPr>
      <xdr:grpSpPr>
        <a:xfrm>
          <a:off x="484673" y="14005739"/>
          <a:ext cx="7178416" cy="5132124"/>
          <a:chOff x="451155" y="16309624"/>
          <a:chExt cx="6827594" cy="384527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3AEFBD3-E524-4D2E-9BC3-CF65A6E75EC4}"/>
              </a:ext>
            </a:extLst>
          </xdr:cNvPr>
          <xdr:cNvGrpSpPr/>
        </xdr:nvGrpSpPr>
        <xdr:grpSpPr>
          <a:xfrm>
            <a:off x="451155" y="16309624"/>
            <a:ext cx="4936082" cy="3807177"/>
            <a:chOff x="450668" y="13633099"/>
            <a:chExt cx="5334000" cy="3807177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CDDEE-5EB2-4B12-B788-6DF00F3E1134}"/>
                </a:ext>
              </a:extLst>
            </xdr:cNvPr>
            <xdr:cNvGraphicFramePr>
              <a:graphicFrameLocks/>
            </xdr:cNvGraphicFramePr>
          </xdr:nvGraphicFramePr>
          <xdr:xfrm>
            <a:off x="450668" y="13633099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493C44-22EB-412D-AFCC-02DE6814B21D}"/>
                </a:ext>
              </a:extLst>
            </xdr:cNvPr>
            <xdr:cNvGraphicFramePr>
              <a:graphicFrameLocks/>
            </xdr:cNvGraphicFramePr>
          </xdr:nvGraphicFramePr>
          <xdr:xfrm>
            <a:off x="466725" y="15611476"/>
            <a:ext cx="5311879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A2EE96F-02FB-410F-8A33-0B6AED5BCFFD}"/>
              </a:ext>
            </a:extLst>
          </xdr:cNvPr>
          <xdr:cNvGraphicFramePr>
            <a:graphicFrameLocks/>
          </xdr:cNvGraphicFramePr>
        </xdr:nvGraphicFramePr>
        <xdr:xfrm>
          <a:off x="5459474" y="16330476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091A8D6-B7DC-4082-9EC6-BE654E5ACF3D}"/>
              </a:ext>
            </a:extLst>
          </xdr:cNvPr>
          <xdr:cNvGraphicFramePr>
            <a:graphicFrameLocks/>
          </xdr:cNvGraphicFramePr>
        </xdr:nvGraphicFramePr>
        <xdr:xfrm>
          <a:off x="5429250" y="18307050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127705</xdr:colOff>
      <xdr:row>62</xdr:row>
      <xdr:rowOff>183835</xdr:rowOff>
    </xdr:from>
    <xdr:to>
      <xdr:col>7</xdr:col>
      <xdr:colOff>352777</xdr:colOff>
      <xdr:row>90</xdr:row>
      <xdr:rowOff>42333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861767-36CC-418B-AAF5-133576A87930}"/>
            </a:ext>
          </a:extLst>
        </xdr:cNvPr>
        <xdr:cNvGrpSpPr/>
      </xdr:nvGrpSpPr>
      <xdr:grpSpPr>
        <a:xfrm>
          <a:off x="551038" y="12855613"/>
          <a:ext cx="5608461" cy="5587609"/>
          <a:chOff x="539587" y="11947840"/>
          <a:chExt cx="6548949" cy="42776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B78A07-0073-468D-B94C-C0B3C347C181}"/>
              </a:ext>
            </a:extLst>
          </xdr:cNvPr>
          <xdr:cNvGraphicFramePr>
            <a:graphicFrameLocks/>
          </xdr:cNvGraphicFramePr>
        </xdr:nvGraphicFramePr>
        <xdr:xfrm>
          <a:off x="539587" y="11947840"/>
          <a:ext cx="6540710" cy="2277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BCB5F6-4591-4FA3-9795-5FAA69142E4F}"/>
              </a:ext>
            </a:extLst>
          </xdr:cNvPr>
          <xdr:cNvGraphicFramePr>
            <a:graphicFrameLocks/>
          </xdr:cNvGraphicFramePr>
        </xdr:nvGraphicFramePr>
        <xdr:xfrm>
          <a:off x="540873" y="14396640"/>
          <a:ext cx="654766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38099</xdr:colOff>
      <xdr:row>48</xdr:row>
      <xdr:rowOff>66673</xdr:rowOff>
    </xdr:from>
    <xdr:to>
      <xdr:col>7</xdr:col>
      <xdr:colOff>402167</xdr:colOff>
      <xdr:row>62</xdr:row>
      <xdr:rowOff>109968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F84ED-5E5B-46AC-97C6-2004ACC5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488595</xdr:colOff>
      <xdr:row>49</xdr:row>
      <xdr:rowOff>95249</xdr:rowOff>
    </xdr:from>
    <xdr:to>
      <xdr:col>15</xdr:col>
      <xdr:colOff>218722</xdr:colOff>
      <xdr:row>63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E3D25A-B55E-49B5-A25A-886D12B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43</xdr:row>
      <xdr:rowOff>76200</xdr:rowOff>
    </xdr:from>
    <xdr:to>
      <xdr:col>6</xdr:col>
      <xdr:colOff>377471</xdr:colOff>
      <xdr:row>74</xdr:row>
      <xdr:rowOff>161575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96A3FF1-6159-4697-9C38-7F174A71DC16}"/>
            </a:ext>
          </a:extLst>
        </xdr:cNvPr>
        <xdr:cNvGrpSpPr/>
      </xdr:nvGrpSpPr>
      <xdr:grpSpPr>
        <a:xfrm>
          <a:off x="176388" y="9206089"/>
          <a:ext cx="5154083" cy="6428319"/>
          <a:chOff x="1015254" y="8096250"/>
          <a:chExt cx="6185646" cy="7216473"/>
        </a:xfrm>
        <a:solidFill>
          <a:schemeClr val="accent2">
            <a:lumMod val="75000"/>
          </a:schemeClr>
        </a:solidFill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7319B13F-C3CF-43A0-95E8-B1819E203DBA}"/>
              </a:ext>
            </a:extLst>
          </xdr:cNvPr>
          <xdr:cNvGrpSpPr/>
        </xdr:nvGrpSpPr>
        <xdr:grpSpPr>
          <a:xfrm>
            <a:off x="1091136" y="11048310"/>
            <a:ext cx="6000751" cy="4264413"/>
            <a:chOff x="419543" y="12194892"/>
            <a:chExt cx="5337161" cy="3986601"/>
          </a:xfrm>
          <a:grpFill/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C5C709-2E5D-4F57-88BE-A1BAE18BCAA1}"/>
                </a:ext>
              </a:extLst>
            </xdr:cNvPr>
            <xdr:cNvGraphicFramePr>
              <a:graphicFrameLocks/>
            </xdr:cNvGraphicFramePr>
          </xdr:nvGraphicFramePr>
          <xdr:xfrm>
            <a:off x="419543" y="12194892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F2EA40-7CF7-48CA-913C-3EEDA205DEAC}"/>
                </a:ext>
              </a:extLst>
            </xdr:cNvPr>
            <xdr:cNvGraphicFramePr>
              <a:graphicFrameLocks/>
            </xdr:cNvGraphicFramePr>
          </xdr:nvGraphicFramePr>
          <xdr:xfrm>
            <a:off x="429069" y="14352693"/>
            <a:ext cx="5327635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4DE2017-537F-457F-907B-CBB7C8552B81}"/>
              </a:ext>
            </a:extLst>
          </xdr:cNvPr>
          <xdr:cNvGraphicFramePr>
            <a:graphicFrameLocks/>
          </xdr:cNvGraphicFramePr>
        </xdr:nvGraphicFramePr>
        <xdr:xfrm>
          <a:off x="1015254" y="8096250"/>
          <a:ext cx="6185646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</xdr:col>
      <xdr:colOff>502709</xdr:colOff>
      <xdr:row>43</xdr:row>
      <xdr:rowOff>96309</xdr:rowOff>
    </xdr:from>
    <xdr:to>
      <xdr:col>20</xdr:col>
      <xdr:colOff>560918</xdr:colOff>
      <xdr:row>74</xdr:row>
      <xdr:rowOff>174628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9725E04-9A71-4B41-97D6-01165EA236D5}"/>
            </a:ext>
          </a:extLst>
        </xdr:cNvPr>
        <xdr:cNvGrpSpPr/>
      </xdr:nvGrpSpPr>
      <xdr:grpSpPr>
        <a:xfrm>
          <a:off x="5455709" y="9226198"/>
          <a:ext cx="9018765" cy="6421263"/>
          <a:chOff x="7496175" y="8105775"/>
          <a:chExt cx="6143624" cy="7208552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99EC446-578A-49A3-ABBF-C262BF37A133}"/>
              </a:ext>
            </a:extLst>
          </xdr:cNvPr>
          <xdr:cNvGrpSpPr/>
        </xdr:nvGrpSpPr>
        <xdr:grpSpPr>
          <a:xfrm>
            <a:off x="7520601" y="11026154"/>
            <a:ext cx="6044165" cy="4288173"/>
            <a:chOff x="411152" y="12165274"/>
            <a:chExt cx="5375774" cy="4008813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AAAC17-1541-4415-A2D4-07BA76D911C6}"/>
                </a:ext>
              </a:extLst>
            </xdr:cNvPr>
            <xdr:cNvGraphicFramePr>
              <a:graphicFrameLocks/>
            </xdr:cNvGraphicFramePr>
          </xdr:nvGraphicFramePr>
          <xdr:xfrm>
            <a:off x="452926" y="12165274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FF54B4D-E320-4CCD-BFF1-CC1AC7805B98}"/>
                </a:ext>
              </a:extLst>
            </xdr:cNvPr>
            <xdr:cNvGraphicFramePr>
              <a:graphicFrameLocks/>
            </xdr:cNvGraphicFramePr>
          </xdr:nvGraphicFramePr>
          <xdr:xfrm>
            <a:off x="411152" y="14345287"/>
            <a:ext cx="5353050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DB8CB78-CCBF-428B-A38F-D84B89F5680B}"/>
              </a:ext>
            </a:extLst>
          </xdr:cNvPr>
          <xdr:cNvGraphicFramePr>
            <a:graphicFrameLocks/>
          </xdr:cNvGraphicFramePr>
        </xdr:nvGraphicFramePr>
        <xdr:xfrm>
          <a:off x="7496175" y="8105775"/>
          <a:ext cx="6143624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8667-E708-4352-BE07-CD341FCD4943}">
  <sheetPr>
    <outlinePr summaryBelow="0" summaryRight="0"/>
  </sheetPr>
  <dimension ref="A1:BA67"/>
  <sheetViews>
    <sheetView showGridLines="0" showZeros="0" tabSelected="1" zoomScale="87" zoomScaleNormal="87" workbookViewId="0">
      <pane xSplit="3" ySplit="4" topLeftCell="Y11" activePane="bottomRight" state="frozen"/>
      <selection pane="topRight" activeCell="D1" sqref="D1"/>
      <selection pane="bottomLeft" activeCell="A5" sqref="A5"/>
      <selection pane="bottomRight" activeCell="AG46" sqref="AG46"/>
    </sheetView>
  </sheetViews>
  <sheetFormatPr defaultColWidth="8.90625" defaultRowHeight="16" outlineLevelRow="1" x14ac:dyDescent="0.45"/>
  <cols>
    <col min="1" max="1" width="0.90625" style="11" customWidth="1"/>
    <col min="2" max="2" width="3.90625" style="12" customWidth="1"/>
    <col min="3" max="3" width="66.90625" style="11" customWidth="1"/>
    <col min="4" max="4" width="7.54296875" style="11" bestFit="1" customWidth="1"/>
    <col min="5" max="5" width="7.36328125" style="11" customWidth="1"/>
    <col min="6" max="6" width="6.90625" style="11" customWidth="1"/>
    <col min="7" max="7" width="7.36328125" style="11" customWidth="1"/>
    <col min="8" max="8" width="7.54296875" style="11" customWidth="1"/>
    <col min="9" max="9" width="8.1796875" style="11" customWidth="1"/>
    <col min="10" max="10" width="7.6328125" style="11" bestFit="1" customWidth="1"/>
    <col min="11" max="11" width="7.81640625" style="11" bestFit="1" customWidth="1"/>
    <col min="12" max="12" width="7.6328125" style="11" bestFit="1" customWidth="1"/>
    <col min="13" max="13" width="8.453125" style="11" customWidth="1"/>
    <col min="14" max="14" width="8.7265625" style="11" customWidth="1"/>
    <col min="15" max="15" width="7.6328125" style="11" bestFit="1" customWidth="1"/>
    <col min="16" max="16" width="7.54296875" style="11" bestFit="1" customWidth="1"/>
    <col min="17" max="34" width="8.81640625" style="50" customWidth="1"/>
    <col min="35" max="35" width="8.08984375" style="27" customWidth="1"/>
    <col min="36" max="36" width="9.08984375" style="27" bestFit="1" customWidth="1"/>
    <col min="37" max="37" width="7.36328125" style="27" bestFit="1" customWidth="1"/>
    <col min="38" max="38" width="8.08984375" style="27" bestFit="1" customWidth="1"/>
    <col min="39" max="39" width="9.08984375" style="27" bestFit="1" customWidth="1"/>
    <col min="40" max="40" width="7" style="27" bestFit="1" customWidth="1"/>
    <col min="41" max="41" width="7.36328125" style="27" bestFit="1" customWidth="1"/>
    <col min="42" max="42" width="9" style="27" bestFit="1" customWidth="1"/>
    <col min="43" max="43" width="7.08984375" style="27" bestFit="1" customWidth="1"/>
    <col min="44" max="44" width="7" style="27" bestFit="1" customWidth="1"/>
    <col min="45" max="45" width="9" style="27" bestFit="1" customWidth="1"/>
    <col min="46" max="47" width="7" style="27" bestFit="1" customWidth="1"/>
    <col min="48" max="53" width="8.90625" style="27"/>
    <col min="54" max="16384" width="8.90625" style="11"/>
  </cols>
  <sheetData>
    <row r="1" spans="1:53" ht="15" customHeight="1" x14ac:dyDescent="0.45">
      <c r="B1" s="109" t="s">
        <v>53</v>
      </c>
      <c r="C1" s="26">
        <v>46053</v>
      </c>
      <c r="D1" s="22" t="str">
        <f>IF(B1="EN","AVG Estimate","BQ dự kiến")</f>
        <v>BQ dự kiến</v>
      </c>
      <c r="E1" s="22" t="str">
        <f>IF(B1="EN","AVG Estimate","BQ dự kiến")</f>
        <v>BQ dự kiến</v>
      </c>
      <c r="F1" s="22" t="str">
        <f>IF(B1="EN","AVG Estimate","BQ dự kiến")</f>
        <v>BQ dự kiến</v>
      </c>
      <c r="G1" s="22" t="str">
        <f>IF(B1="EN","AVG Estimate","BQ dự kiến")</f>
        <v>BQ dự kiến</v>
      </c>
      <c r="H1" s="22" t="str">
        <f>IF(B1="EN","AVG Estimate","BQ dự kiến")</f>
        <v>BQ dự kiến</v>
      </c>
      <c r="I1" s="22" t="str">
        <f>IF(B1="EN","AVG Estimate","BQ dự kiến")</f>
        <v>BQ dự kiến</v>
      </c>
      <c r="J1" s="22" t="str">
        <f>IF(B1="EN","AVG Estimate","BQ dự kiến")</f>
        <v>BQ dự kiến</v>
      </c>
      <c r="K1" s="22" t="str">
        <f>IF(B1="EN","AVG Estimate","BQ dự kiến")</f>
        <v>BQ dự kiến</v>
      </c>
      <c r="L1" s="22" t="str">
        <f>IF(B1="EN","AVG Estimate","BQ dự kiến")</f>
        <v>BQ dự kiến</v>
      </c>
      <c r="M1" s="22" t="str">
        <f>IF(B1="EN","AVG Estimate","BQ dự kiến")</f>
        <v>BQ dự kiến</v>
      </c>
      <c r="N1" s="22" t="str">
        <f>IF(A1="EN","AVG Estimate","BQ dự kiến")</f>
        <v>BQ dự kiến</v>
      </c>
      <c r="O1" s="22" t="str">
        <f>IF(B1="EN","AVG Estimate","BQ dự kiến")</f>
        <v>BQ dự kiến</v>
      </c>
      <c r="P1" s="108" t="str">
        <f>IF(B1="EN","AVG Actual","BQ thực tế")</f>
        <v>BQ thực tế</v>
      </c>
      <c r="AI1" s="204">
        <v>30</v>
      </c>
    </row>
    <row r="2" spans="1:53" s="50" customFormat="1" ht="16.5" x14ac:dyDescent="0.45">
      <c r="B2" s="55" t="str">
        <f>IF(B1="EN","ACTUAL (DAILY)"," BÁO CÁO THỰC HIỆN KPI HÀNG NGÀY")</f>
        <v xml:space="preserve"> BÁO CÁO THỰC HIỆN KPI HÀNG NGÀY</v>
      </c>
      <c r="D2" s="22">
        <f>AI10/$AI$1</f>
        <v>4388.6131705618927</v>
      </c>
      <c r="E2" s="22">
        <f t="shared" ref="E2:AH2" si="0">D2+$AI$10/$AI$1</f>
        <v>8777.2263411237855</v>
      </c>
      <c r="F2" s="22">
        <f t="shared" si="0"/>
        <v>13165.839511685677</v>
      </c>
      <c r="G2" s="22">
        <f t="shared" si="0"/>
        <v>17554.452682247571</v>
      </c>
      <c r="H2" s="22">
        <f t="shared" si="0"/>
        <v>21943.065852809465</v>
      </c>
      <c r="I2" s="22">
        <f t="shared" si="0"/>
        <v>26331.679023371358</v>
      </c>
      <c r="J2" s="22">
        <f t="shared" si="0"/>
        <v>30720.292193933252</v>
      </c>
      <c r="K2" s="22">
        <f t="shared" si="0"/>
        <v>35108.905364495142</v>
      </c>
      <c r="L2" s="22">
        <f t="shared" si="0"/>
        <v>39497.518535057032</v>
      </c>
      <c r="M2" s="22">
        <f t="shared" si="0"/>
        <v>43886.131705618922</v>
      </c>
      <c r="N2" s="22">
        <f t="shared" si="0"/>
        <v>48274.744876180812</v>
      </c>
      <c r="O2" s="22">
        <f t="shared" si="0"/>
        <v>52663.358046742702</v>
      </c>
      <c r="P2" s="22">
        <f t="shared" si="0"/>
        <v>57051.971217304592</v>
      </c>
      <c r="Q2" s="22">
        <f t="shared" si="0"/>
        <v>61440.584387866482</v>
      </c>
      <c r="R2" s="22">
        <f t="shared" si="0"/>
        <v>65829.197558428379</v>
      </c>
      <c r="S2" s="22">
        <f t="shared" si="0"/>
        <v>70217.810728990269</v>
      </c>
      <c r="T2" s="22">
        <f t="shared" si="0"/>
        <v>74606.423899552159</v>
      </c>
      <c r="U2" s="22">
        <f t="shared" si="0"/>
        <v>78995.037070114049</v>
      </c>
      <c r="V2" s="22">
        <f t="shared" si="0"/>
        <v>83383.650240675939</v>
      </c>
      <c r="W2" s="22">
        <f t="shared" si="0"/>
        <v>87772.263411237829</v>
      </c>
      <c r="X2" s="22">
        <f t="shared" si="0"/>
        <v>92160.876581799719</v>
      </c>
      <c r="Y2" s="22">
        <f t="shared" si="0"/>
        <v>96549.489752361609</v>
      </c>
      <c r="Z2" s="22">
        <f t="shared" si="0"/>
        <v>100938.1029229235</v>
      </c>
      <c r="AA2" s="22">
        <f t="shared" si="0"/>
        <v>105326.71609348539</v>
      </c>
      <c r="AB2" s="22">
        <f t="shared" si="0"/>
        <v>109715.32926404728</v>
      </c>
      <c r="AC2" s="22">
        <f t="shared" si="0"/>
        <v>114103.94243460917</v>
      </c>
      <c r="AD2" s="22">
        <f t="shared" si="0"/>
        <v>118492.55560517106</v>
      </c>
      <c r="AE2" s="22">
        <f t="shared" si="0"/>
        <v>122881.16877573295</v>
      </c>
      <c r="AF2" s="22">
        <f t="shared" si="0"/>
        <v>127269.78194629484</v>
      </c>
      <c r="AG2" s="22">
        <f t="shared" si="0"/>
        <v>131658.39511685673</v>
      </c>
      <c r="AH2" s="22">
        <f t="shared" si="0"/>
        <v>136047.00828741863</v>
      </c>
      <c r="AI2" s="22">
        <f>AH2</f>
        <v>136047.00828741863</v>
      </c>
      <c r="AJ2" s="22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x14ac:dyDescent="0.45">
      <c r="B3" s="24" t="str">
        <f>IF(B1="EN","As of","Đến ngày")</f>
        <v>Đến ngày</v>
      </c>
      <c r="C3" s="25" t="str">
        <f>B3&amp;" "&amp; TEXT(C1,"dd/mm/yyyy")</f>
        <v>Đến ngày 31/01/2026</v>
      </c>
      <c r="D3" s="22">
        <f t="shared" ref="D3:AH3" si="1">$AI$2/($AI$1)</f>
        <v>4534.9002762472874</v>
      </c>
      <c r="E3" s="22">
        <f t="shared" si="1"/>
        <v>4534.9002762472874</v>
      </c>
      <c r="F3" s="22">
        <f t="shared" si="1"/>
        <v>4534.9002762472874</v>
      </c>
      <c r="G3" s="22">
        <f t="shared" si="1"/>
        <v>4534.9002762472874</v>
      </c>
      <c r="H3" s="22">
        <f t="shared" si="1"/>
        <v>4534.9002762472874</v>
      </c>
      <c r="I3" s="22">
        <f t="shared" si="1"/>
        <v>4534.9002762472874</v>
      </c>
      <c r="J3" s="22">
        <f t="shared" si="1"/>
        <v>4534.9002762472874</v>
      </c>
      <c r="K3" s="22">
        <f t="shared" si="1"/>
        <v>4534.9002762472874</v>
      </c>
      <c r="L3" s="22">
        <f t="shared" si="1"/>
        <v>4534.9002762472874</v>
      </c>
      <c r="M3" s="22">
        <f t="shared" si="1"/>
        <v>4534.9002762472874</v>
      </c>
      <c r="N3" s="22">
        <f t="shared" si="1"/>
        <v>4534.9002762472874</v>
      </c>
      <c r="O3" s="22">
        <f t="shared" si="1"/>
        <v>4534.9002762472874</v>
      </c>
      <c r="P3" s="22">
        <f t="shared" si="1"/>
        <v>4534.9002762472874</v>
      </c>
      <c r="Q3" s="22">
        <f t="shared" si="1"/>
        <v>4534.9002762472874</v>
      </c>
      <c r="R3" s="22">
        <f t="shared" si="1"/>
        <v>4534.9002762472874</v>
      </c>
      <c r="S3" s="22">
        <f t="shared" si="1"/>
        <v>4534.9002762472874</v>
      </c>
      <c r="T3" s="22">
        <f t="shared" si="1"/>
        <v>4534.9002762472874</v>
      </c>
      <c r="U3" s="22">
        <f t="shared" si="1"/>
        <v>4534.9002762472874</v>
      </c>
      <c r="V3" s="22">
        <f t="shared" si="1"/>
        <v>4534.9002762472874</v>
      </c>
      <c r="W3" s="22">
        <f t="shared" si="1"/>
        <v>4534.9002762472874</v>
      </c>
      <c r="X3" s="22">
        <f t="shared" si="1"/>
        <v>4534.9002762472874</v>
      </c>
      <c r="Y3" s="22">
        <f t="shared" si="1"/>
        <v>4534.9002762472874</v>
      </c>
      <c r="Z3" s="22">
        <f t="shared" si="1"/>
        <v>4534.9002762472874</v>
      </c>
      <c r="AA3" s="22">
        <f t="shared" si="1"/>
        <v>4534.9002762472874</v>
      </c>
      <c r="AB3" s="22">
        <f t="shared" si="1"/>
        <v>4534.9002762472874</v>
      </c>
      <c r="AC3" s="22">
        <f t="shared" si="1"/>
        <v>4534.9002762472874</v>
      </c>
      <c r="AD3" s="22">
        <f>$AI$2/($AI$1)</f>
        <v>4534.9002762472874</v>
      </c>
      <c r="AE3" s="22">
        <f t="shared" si="1"/>
        <v>4534.9002762472874</v>
      </c>
      <c r="AF3" s="22">
        <f t="shared" si="1"/>
        <v>4534.9002762472874</v>
      </c>
      <c r="AG3" s="22">
        <f t="shared" si="1"/>
        <v>4534.9002762472874</v>
      </c>
      <c r="AH3" s="22">
        <f t="shared" si="1"/>
        <v>4534.9002762472874</v>
      </c>
    </row>
    <row r="4" spans="1:53" ht="13.5" customHeight="1" x14ac:dyDescent="0.45">
      <c r="A4" s="27" t="str">
        <f>IF(B1="EN","MTD Volumn (ton)","Sản lượng luỹ kế từ đầu tháng (tấn)")</f>
        <v>Sản lượng luỹ kế từ đầu tháng (tấn)</v>
      </c>
      <c r="B4" s="40" t="s">
        <v>46</v>
      </c>
      <c r="C4" s="41" t="str">
        <f>IF(B1="EN","Items","Chỉ tiêu")</f>
        <v>Chỉ tiêu</v>
      </c>
      <c r="D4" s="143">
        <v>1</v>
      </c>
      <c r="E4" s="143">
        <v>2</v>
      </c>
      <c r="F4" s="143">
        <v>3</v>
      </c>
      <c r="G4" s="143">
        <v>4</v>
      </c>
      <c r="H4" s="143">
        <v>5</v>
      </c>
      <c r="I4" s="143">
        <v>6</v>
      </c>
      <c r="J4" s="143">
        <v>7</v>
      </c>
      <c r="K4" s="143">
        <v>8</v>
      </c>
      <c r="L4" s="143">
        <v>9</v>
      </c>
      <c r="M4" s="143">
        <v>10</v>
      </c>
      <c r="N4" s="143">
        <v>11</v>
      </c>
      <c r="O4" s="143">
        <v>12</v>
      </c>
      <c r="P4" s="143">
        <v>13</v>
      </c>
      <c r="Q4" s="143">
        <v>14</v>
      </c>
      <c r="R4" s="143">
        <v>15</v>
      </c>
      <c r="S4" s="143">
        <v>16</v>
      </c>
      <c r="T4" s="143">
        <v>17</v>
      </c>
      <c r="U4" s="143">
        <v>18</v>
      </c>
      <c r="V4" s="143">
        <v>19</v>
      </c>
      <c r="W4" s="143">
        <v>20</v>
      </c>
      <c r="X4" s="143">
        <v>21</v>
      </c>
      <c r="Y4" s="143">
        <v>22</v>
      </c>
      <c r="Z4" s="143">
        <v>23</v>
      </c>
      <c r="AA4" s="143">
        <v>24</v>
      </c>
      <c r="AB4" s="143">
        <v>25</v>
      </c>
      <c r="AC4" s="41">
        <v>26</v>
      </c>
      <c r="AD4" s="41">
        <v>27</v>
      </c>
      <c r="AE4" s="41">
        <v>28</v>
      </c>
      <c r="AF4" s="41">
        <v>29</v>
      </c>
      <c r="AG4" s="41">
        <v>30</v>
      </c>
      <c r="AH4" s="41">
        <v>31</v>
      </c>
      <c r="AI4" s="205" t="s">
        <v>9</v>
      </c>
      <c r="AJ4" s="27" t="s">
        <v>49</v>
      </c>
      <c r="AL4" s="27" t="s">
        <v>50</v>
      </c>
    </row>
    <row r="5" spans="1:53" s="13" customFormat="1" collapsed="1" x14ac:dyDescent="0.45">
      <c r="B5" s="19">
        <v>1</v>
      </c>
      <c r="C5" s="20" t="str">
        <f>IF(B1="EN","Daily Net sales (mVND)","Doanh thu ngày (triệu VND)")</f>
        <v>Doanh thu ngày (triệu VND)</v>
      </c>
      <c r="D5" s="42">
        <f>SUM(D6:D8)</f>
        <v>0</v>
      </c>
      <c r="E5" s="42">
        <f t="shared" ref="E5:G5" si="2">SUM(E6:E8)</f>
        <v>0</v>
      </c>
      <c r="F5" s="42">
        <f t="shared" si="2"/>
        <v>0</v>
      </c>
      <c r="G5" s="42">
        <f t="shared" si="2"/>
        <v>0</v>
      </c>
      <c r="H5" s="42">
        <f t="shared" ref="H5" si="3">SUM(H6:H8)</f>
        <v>2057.933</v>
      </c>
      <c r="I5" s="42">
        <f t="shared" ref="I5" si="4">SUM(I6:I8)</f>
        <v>505.15999999999997</v>
      </c>
      <c r="J5" s="42">
        <f t="shared" ref="J5" si="5">SUM(J6:J8)</f>
        <v>11384.101999999999</v>
      </c>
      <c r="K5" s="42">
        <f t="shared" ref="K5" si="6">SUM(K6:K8)</f>
        <v>11224.870999999999</v>
      </c>
      <c r="L5" s="42">
        <f t="shared" ref="L5" si="7">SUM(L6:L8)</f>
        <v>2004.15</v>
      </c>
      <c r="M5" s="42">
        <f t="shared" ref="M5" si="8">SUM(M6:M8)</f>
        <v>2223.67</v>
      </c>
      <c r="N5" s="42">
        <f t="shared" ref="N5" si="9">SUM(N6:N8)</f>
        <v>0</v>
      </c>
      <c r="O5" s="42">
        <f t="shared" ref="O5" si="10">SUM(O6:O8)</f>
        <v>9329.3510000000006</v>
      </c>
      <c r="P5" s="42">
        <f t="shared" ref="P5" si="11">SUM(P6:P8)</f>
        <v>4542.6810000000005</v>
      </c>
      <c r="Q5" s="42">
        <f t="shared" ref="Q5" si="12">SUM(Q6:Q8)</f>
        <v>1320.2170000000001</v>
      </c>
      <c r="R5" s="42">
        <f t="shared" ref="R5:Z5" si="13">SUM(R6:R8)</f>
        <v>8230.5560000000005</v>
      </c>
      <c r="S5" s="42">
        <f t="shared" si="13"/>
        <v>1256.2620000000002</v>
      </c>
      <c r="T5" s="42">
        <f t="shared" si="13"/>
        <v>9325.4699999999993</v>
      </c>
      <c r="U5" s="42">
        <f t="shared" si="13"/>
        <v>0</v>
      </c>
      <c r="V5" s="42">
        <f t="shared" si="13"/>
        <v>2751.8</v>
      </c>
      <c r="W5" s="42">
        <f t="shared" si="13"/>
        <v>2639.4859999999999</v>
      </c>
      <c r="X5" s="42">
        <f t="shared" si="13"/>
        <v>4067.5540000000001</v>
      </c>
      <c r="Y5" s="42">
        <f t="shared" si="13"/>
        <v>7912.15</v>
      </c>
      <c r="Z5" s="42">
        <f t="shared" si="13"/>
        <v>3152.63</v>
      </c>
      <c r="AA5" s="42">
        <f t="shared" ref="AA5" si="14">SUM(AA6:AA8)</f>
        <v>9244.369999999999</v>
      </c>
      <c r="AB5" s="42">
        <f t="shared" ref="AB5:AE5" si="15">SUM(AB6:AB8)</f>
        <v>0</v>
      </c>
      <c r="AC5" s="42">
        <f t="shared" si="15"/>
        <v>3732.9900000000002</v>
      </c>
      <c r="AD5" s="42">
        <f t="shared" si="15"/>
        <v>770.66699999999992</v>
      </c>
      <c r="AE5" s="42">
        <f t="shared" si="15"/>
        <v>2134.9749999999999</v>
      </c>
      <c r="AF5" s="42">
        <f>SUM(AF6:AF8)</f>
        <v>860.71600000000001</v>
      </c>
      <c r="AG5" s="42">
        <f>SUM(AG6:AG8)</f>
        <v>3104.2190000000001</v>
      </c>
      <c r="AH5" s="42">
        <f>SUM(AH6:AH8)</f>
        <v>2553.59</v>
      </c>
      <c r="AI5" s="194">
        <f>SUM(D5:AH5)</f>
        <v>106329.57000000002</v>
      </c>
      <c r="AJ5" s="194">
        <f>AI5/DAY(C1)</f>
        <v>3429.9861290322588</v>
      </c>
      <c r="AK5" s="27"/>
      <c r="AL5" s="194">
        <f>AI25/AI1</f>
        <v>143.94076442253794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hidden="1" outlineLevel="1" x14ac:dyDescent="0.45">
      <c r="B6" s="14"/>
      <c r="C6" s="15" t="s">
        <v>0</v>
      </c>
      <c r="D6" s="38"/>
      <c r="E6" s="38"/>
      <c r="F6" s="39"/>
      <c r="G6" s="39"/>
      <c r="H6" s="39">
        <f>1533.7-29.877</f>
        <v>1503.8230000000001</v>
      </c>
      <c r="I6" s="39">
        <f>145.95-40.74</f>
        <v>105.20999999999998</v>
      </c>
      <c r="J6" s="39">
        <f>886.79-61.588</f>
        <v>825.202</v>
      </c>
      <c r="K6" s="39">
        <f>808.04-30.419</f>
        <v>777.62099999999998</v>
      </c>
      <c r="L6" s="38">
        <f>1634.66-30.46</f>
        <v>1604.2</v>
      </c>
      <c r="M6" s="38">
        <v>1849.24</v>
      </c>
      <c r="N6" s="38"/>
      <c r="O6" s="38">
        <f>3373.88-278.919</f>
        <v>3094.9610000000002</v>
      </c>
      <c r="P6" s="38">
        <f>3837.83-57.879</f>
        <v>3779.951</v>
      </c>
      <c r="Q6" s="137">
        <f>980.23-59.963</f>
        <v>920.26700000000005</v>
      </c>
      <c r="R6" s="137">
        <f>1077.34-120.124</f>
        <v>957.21599999999989</v>
      </c>
      <c r="S6" s="137">
        <f>956.07-62.588</f>
        <v>893.48200000000008</v>
      </c>
      <c r="T6" s="137">
        <v>2702.02</v>
      </c>
      <c r="U6" s="137"/>
      <c r="V6" s="137">
        <v>2344.59</v>
      </c>
      <c r="W6" s="137">
        <f>1933.57-31.294</f>
        <v>1902.2759999999998</v>
      </c>
      <c r="X6" s="137">
        <f>3123.84-57.546</f>
        <v>3066.2940000000003</v>
      </c>
      <c r="Y6" s="137">
        <f>1691.9-86.4</f>
        <v>1605.5</v>
      </c>
      <c r="Z6" s="137">
        <v>1616.41</v>
      </c>
      <c r="AA6" s="38">
        <f>1298.4-69.4</f>
        <v>1229</v>
      </c>
      <c r="AB6" s="137"/>
      <c r="AC6" s="137">
        <f>2486.09-29.79</f>
        <v>2456.3000000000002</v>
      </c>
      <c r="AD6" s="137">
        <f>1035.99-654.383</f>
        <v>381.60699999999997</v>
      </c>
      <c r="AE6" s="137">
        <f>1111.53-33.125</f>
        <v>1078.405</v>
      </c>
      <c r="AF6" s="137">
        <f>449-351.774</f>
        <v>97.225999999999999</v>
      </c>
      <c r="AG6" s="137">
        <f>2188.16-187.361</f>
        <v>2000.799</v>
      </c>
      <c r="AH6" s="137">
        <f>1371.96-11-39.5</f>
        <v>1321.46</v>
      </c>
      <c r="AI6" s="22">
        <f>SUM(D6:AH6)</f>
        <v>38113.06</v>
      </c>
      <c r="AO6" s="22"/>
    </row>
    <row r="7" spans="1:53" hidden="1" outlineLevel="1" x14ac:dyDescent="0.45">
      <c r="B7" s="14"/>
      <c r="C7" s="15" t="s">
        <v>4</v>
      </c>
      <c r="D7" s="38"/>
      <c r="E7" s="38"/>
      <c r="F7" s="39"/>
      <c r="G7" s="39"/>
      <c r="H7" s="39"/>
      <c r="I7" s="39"/>
      <c r="J7" s="39">
        <v>9784.52</v>
      </c>
      <c r="K7" s="39">
        <v>9698.67</v>
      </c>
      <c r="L7" s="38"/>
      <c r="M7" s="38"/>
      <c r="N7" s="38"/>
      <c r="O7" s="38">
        <v>6234.39</v>
      </c>
      <c r="P7" s="38"/>
      <c r="Q7" s="137"/>
      <c r="R7" s="137">
        <v>6524.76</v>
      </c>
      <c r="S7" s="137"/>
      <c r="T7" s="137">
        <v>6234.39</v>
      </c>
      <c r="U7" s="137"/>
      <c r="V7" s="137"/>
      <c r="W7" s="137"/>
      <c r="X7" s="137"/>
      <c r="Y7" s="137">
        <v>5194.53</v>
      </c>
      <c r="Z7" s="137">
        <v>418.73</v>
      </c>
      <c r="AA7" s="38">
        <v>7480.41</v>
      </c>
      <c r="AB7" s="137"/>
      <c r="AC7" s="137">
        <v>714.29</v>
      </c>
      <c r="AD7" s="137"/>
      <c r="AE7" s="137"/>
      <c r="AF7" s="137"/>
      <c r="AG7" s="137">
        <v>674.18</v>
      </c>
      <c r="AH7" s="137">
        <v>513.22</v>
      </c>
      <c r="AI7" s="22">
        <f>SUM(D7:AH7)</f>
        <v>53472.090000000011</v>
      </c>
      <c r="AO7" s="22"/>
    </row>
    <row r="8" spans="1:53" hidden="1" outlineLevel="1" x14ac:dyDescent="0.45">
      <c r="B8" s="16"/>
      <c r="C8" s="28" t="s">
        <v>5</v>
      </c>
      <c r="D8" s="39"/>
      <c r="E8" s="39"/>
      <c r="F8" s="39"/>
      <c r="G8" s="39"/>
      <c r="H8" s="39">
        <v>554.11</v>
      </c>
      <c r="I8" s="39">
        <v>399.95</v>
      </c>
      <c r="J8" s="39">
        <v>774.38</v>
      </c>
      <c r="K8" s="39">
        <v>748.58</v>
      </c>
      <c r="L8" s="38">
        <v>399.95</v>
      </c>
      <c r="M8" s="38">
        <v>374.43</v>
      </c>
      <c r="N8" s="38"/>
      <c r="O8" s="38"/>
      <c r="P8" s="38">
        <v>762.73</v>
      </c>
      <c r="Q8" s="137">
        <v>399.95</v>
      </c>
      <c r="R8" s="137">
        <v>748.58</v>
      </c>
      <c r="S8" s="137">
        <v>362.78</v>
      </c>
      <c r="T8" s="137">
        <v>389.06</v>
      </c>
      <c r="U8" s="137"/>
      <c r="V8" s="137">
        <v>407.21</v>
      </c>
      <c r="W8" s="137">
        <v>737.21</v>
      </c>
      <c r="X8" s="137">
        <v>1001.26</v>
      </c>
      <c r="Y8" s="137">
        <v>1112.1199999999999</v>
      </c>
      <c r="Z8" s="137">
        <v>1117.49</v>
      </c>
      <c r="AA8" s="38">
        <v>534.96</v>
      </c>
      <c r="AB8" s="137"/>
      <c r="AC8" s="137">
        <v>562.4</v>
      </c>
      <c r="AD8" s="137">
        <v>389.06</v>
      </c>
      <c r="AE8" s="137">
        <v>1056.57</v>
      </c>
      <c r="AF8" s="137">
        <v>763.49</v>
      </c>
      <c r="AG8" s="137">
        <v>429.24</v>
      </c>
      <c r="AH8" s="137">
        <v>718.91</v>
      </c>
      <c r="AI8" s="22">
        <f>SUM(D8:AH8)</f>
        <v>14744.419999999998</v>
      </c>
      <c r="AO8" s="22"/>
    </row>
    <row r="9" spans="1:53" ht="7.5" customHeight="1" x14ac:dyDescent="0.45"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22"/>
    </row>
    <row r="10" spans="1:53" s="13" customFormat="1" collapsed="1" x14ac:dyDescent="0.45">
      <c r="B10" s="17">
        <v>2</v>
      </c>
      <c r="C10" s="18" t="str">
        <f>IF(B1="EN","MTD Net sales (mVND)","Doanh thu luỹ kế từ đầu tháng (triệu VND)")</f>
        <v>Doanh thu luỹ kế từ đầu tháng (triệu VND)</v>
      </c>
      <c r="D10" s="43">
        <f t="shared" ref="D10:E10" si="16">SUM(D11:D13)</f>
        <v>0</v>
      </c>
      <c r="E10" s="43">
        <f t="shared" si="16"/>
        <v>0</v>
      </c>
      <c r="F10" s="43">
        <f t="shared" ref="F10:J10" si="17">SUM(F11:F13)</f>
        <v>0</v>
      </c>
      <c r="G10" s="43">
        <f t="shared" si="17"/>
        <v>0</v>
      </c>
      <c r="H10" s="43">
        <f t="shared" si="17"/>
        <v>2057.933</v>
      </c>
      <c r="I10" s="43">
        <f t="shared" si="17"/>
        <v>2563.0929999999998</v>
      </c>
      <c r="J10" s="43">
        <f t="shared" si="17"/>
        <v>13947.195000000002</v>
      </c>
      <c r="K10" s="43">
        <f t="shared" ref="K10:Q10" si="18">SUM(K11:K13)</f>
        <v>25172.066000000003</v>
      </c>
      <c r="L10" s="43">
        <f t="shared" si="18"/>
        <v>27176.216000000004</v>
      </c>
      <c r="M10" s="43">
        <f t="shared" si="18"/>
        <v>29399.886000000006</v>
      </c>
      <c r="N10" s="43">
        <f t="shared" si="18"/>
        <v>29399.886000000006</v>
      </c>
      <c r="O10" s="43">
        <f t="shared" si="18"/>
        <v>38729.237000000001</v>
      </c>
      <c r="P10" s="43">
        <f t="shared" si="18"/>
        <v>43271.917999999998</v>
      </c>
      <c r="Q10" s="43">
        <f t="shared" si="18"/>
        <v>44592.135000000009</v>
      </c>
      <c r="R10" s="43">
        <f t="shared" ref="R10:U10" si="19">SUM(R11:R13)</f>
        <v>52822.691000000006</v>
      </c>
      <c r="S10" s="43">
        <f t="shared" si="19"/>
        <v>54078.953000000009</v>
      </c>
      <c r="T10" s="43">
        <f t="shared" si="19"/>
        <v>63404.42300000001</v>
      </c>
      <c r="U10" s="43">
        <f t="shared" si="19"/>
        <v>63404.42300000001</v>
      </c>
      <c r="V10" s="43">
        <f t="shared" ref="V10:AB10" si="20">SUM(V11:V13)</f>
        <v>66156.223000000013</v>
      </c>
      <c r="W10" s="43">
        <f t="shared" si="20"/>
        <v>68795.709000000003</v>
      </c>
      <c r="X10" s="43">
        <f t="shared" si="20"/>
        <v>72863.263000000006</v>
      </c>
      <c r="Y10" s="43">
        <f t="shared" si="20"/>
        <v>80775.413000000015</v>
      </c>
      <c r="Z10" s="43">
        <f t="shared" si="20"/>
        <v>83928.043000000005</v>
      </c>
      <c r="AA10" s="43">
        <f t="shared" si="20"/>
        <v>93172.413000000015</v>
      </c>
      <c r="AB10" s="43">
        <f t="shared" si="20"/>
        <v>93172.413000000015</v>
      </c>
      <c r="AC10" s="43">
        <f t="shared" ref="AC10:AH10" si="21">SUM(AC11:AC13)</f>
        <v>96905.403000000006</v>
      </c>
      <c r="AD10" s="43">
        <f t="shared" si="21"/>
        <v>97676.07</v>
      </c>
      <c r="AE10" s="43">
        <f t="shared" si="21"/>
        <v>99811.045000000013</v>
      </c>
      <c r="AF10" s="43">
        <f t="shared" si="21"/>
        <v>100671.76100000001</v>
      </c>
      <c r="AG10" s="43">
        <f t="shared" si="21"/>
        <v>103775.98</v>
      </c>
      <c r="AH10" s="43">
        <f t="shared" si="21"/>
        <v>106329.57</v>
      </c>
      <c r="AI10" s="206">
        <f t="shared" ref="AI10" si="22">SUM(AI11:AI13)</f>
        <v>131658.39511685679</v>
      </c>
      <c r="AJ10" s="22">
        <f>SUM(D5:AH5)</f>
        <v>106329.57000000002</v>
      </c>
      <c r="AK10" s="99">
        <f>AJ10/AI10</f>
        <v>0.80761709046828711</v>
      </c>
      <c r="AL10" s="195">
        <f>IF(100%-AK10&gt;0,100%-AK10,0)</f>
        <v>0.19238290953171289</v>
      </c>
      <c r="AM10" s="22">
        <f>SUM(D6:AH6)</f>
        <v>38113.06</v>
      </c>
      <c r="AN10" s="99">
        <f>AM10/AI11</f>
        <v>0.63169961542359065</v>
      </c>
      <c r="AO10" s="99">
        <f>IF(100%-AN10&gt;0,100%-AN10,0)</f>
        <v>0.36830038457640935</v>
      </c>
      <c r="AP10" s="22"/>
      <c r="AQ10" s="99"/>
      <c r="AR10" s="99"/>
      <c r="AS10" s="22">
        <f>SUM(D7:AH7)</f>
        <v>53472.090000000011</v>
      </c>
      <c r="AT10" s="57">
        <f>AS10/AI12</f>
        <v>0.7532445254881357</v>
      </c>
      <c r="AU10" s="57">
        <f>1-AT10</f>
        <v>0.2467554745118643</v>
      </c>
      <c r="AV10" s="27"/>
      <c r="AW10" s="27"/>
      <c r="AX10" s="27"/>
      <c r="AY10" s="27"/>
      <c r="AZ10" s="27"/>
      <c r="BA10" s="27"/>
    </row>
    <row r="11" spans="1:53" hidden="1" outlineLevel="1" x14ac:dyDescent="0.45">
      <c r="B11" s="14"/>
      <c r="C11" s="15" t="str">
        <f>C6</f>
        <v>B2B</v>
      </c>
      <c r="D11" s="38">
        <f>SUM($D6:D6)</f>
        <v>0</v>
      </c>
      <c r="E11" s="38">
        <f>SUM($D6:E6)</f>
        <v>0</v>
      </c>
      <c r="F11" s="38">
        <f>SUM($D6:F6)</f>
        <v>0</v>
      </c>
      <c r="G11" s="38">
        <f>SUM($D6:G6)</f>
        <v>0</v>
      </c>
      <c r="H11" s="38">
        <f>SUM($D6:H6)</f>
        <v>1503.8230000000001</v>
      </c>
      <c r="I11" s="38">
        <f>SUM($D6:I6)</f>
        <v>1609.0330000000001</v>
      </c>
      <c r="J11" s="38">
        <f>SUM($D6:J6)</f>
        <v>2434.2350000000001</v>
      </c>
      <c r="K11" s="38">
        <f>SUM($D6:K6)</f>
        <v>3211.8560000000002</v>
      </c>
      <c r="L11" s="38">
        <f>SUM($D6:L6)</f>
        <v>4816.0560000000005</v>
      </c>
      <c r="M11" s="38">
        <f>SUM($D6:M6)</f>
        <v>6665.2960000000003</v>
      </c>
      <c r="N11" s="38">
        <f>SUM($D6:N6)</f>
        <v>6665.2960000000003</v>
      </c>
      <c r="O11" s="38">
        <f>SUM($D6:O6)</f>
        <v>9760.2570000000014</v>
      </c>
      <c r="P11" s="38">
        <f>SUM($D6:P6)</f>
        <v>13540.208000000002</v>
      </c>
      <c r="Q11" s="38">
        <f>SUM($D6:Q6)</f>
        <v>14460.475000000002</v>
      </c>
      <c r="R11" s="38">
        <f>SUM($D6:R6)</f>
        <v>15417.691000000003</v>
      </c>
      <c r="S11" s="38">
        <f>SUM($D6:S6)</f>
        <v>16311.173000000003</v>
      </c>
      <c r="T11" s="38">
        <f>SUM($D6:T6)</f>
        <v>19013.193000000003</v>
      </c>
      <c r="U11" s="38">
        <f>SUM($D6:U6)</f>
        <v>19013.193000000003</v>
      </c>
      <c r="V11" s="38">
        <f>SUM($D6:V6)</f>
        <v>21357.783000000003</v>
      </c>
      <c r="W11" s="38">
        <f>SUM($D6:W6)</f>
        <v>23260.059000000001</v>
      </c>
      <c r="X11" s="38">
        <f>SUM($D6:X6)</f>
        <v>26326.353000000003</v>
      </c>
      <c r="Y11" s="38">
        <f>SUM($D6:Y6)</f>
        <v>27931.853000000003</v>
      </c>
      <c r="Z11" s="38">
        <f>SUM($D6:Z6)</f>
        <v>29548.263000000003</v>
      </c>
      <c r="AA11" s="38">
        <f>SUM($D6:AA6)</f>
        <v>30777.263000000003</v>
      </c>
      <c r="AB11" s="38">
        <f>SUM($D6:AB6)</f>
        <v>30777.263000000003</v>
      </c>
      <c r="AC11" s="38">
        <f>SUM($D6:AC6)</f>
        <v>33233.563000000002</v>
      </c>
      <c r="AD11" s="38">
        <f>SUM($D6:AD6)</f>
        <v>33615.17</v>
      </c>
      <c r="AE11" s="38">
        <f>SUM($D6:AE6)</f>
        <v>34693.574999999997</v>
      </c>
      <c r="AF11" s="38">
        <f>SUM($D6:AF6)</f>
        <v>34790.800999999999</v>
      </c>
      <c r="AG11" s="38">
        <f>SUM($D6:AG6)</f>
        <v>36791.599999999999</v>
      </c>
      <c r="AH11" s="38">
        <f>SUM($D6:AH6)</f>
        <v>38113.06</v>
      </c>
      <c r="AI11" s="22">
        <v>60334.1510259477</v>
      </c>
      <c r="AJ11" s="22"/>
    </row>
    <row r="12" spans="1:53" hidden="1" outlineLevel="1" x14ac:dyDescent="0.45">
      <c r="B12" s="14"/>
      <c r="C12" s="15" t="str">
        <f>C7</f>
        <v>Export</v>
      </c>
      <c r="D12" s="38">
        <f>SUM($D7:D7)</f>
        <v>0</v>
      </c>
      <c r="E12" s="38">
        <f>SUM($D7:E7)</f>
        <v>0</v>
      </c>
      <c r="F12" s="38">
        <f>SUM($D7:F7)</f>
        <v>0</v>
      </c>
      <c r="G12" s="38">
        <f>SUM($D7:G7)</f>
        <v>0</v>
      </c>
      <c r="H12" s="38">
        <f>SUM($D7:H7)</f>
        <v>0</v>
      </c>
      <c r="I12" s="38">
        <f>SUM($D7:I7)</f>
        <v>0</v>
      </c>
      <c r="J12" s="38">
        <f>SUM($D7:J7)</f>
        <v>9784.52</v>
      </c>
      <c r="K12" s="38">
        <f>SUM($D7:K7)</f>
        <v>19483.190000000002</v>
      </c>
      <c r="L12" s="38">
        <f>SUM($D7:L7)</f>
        <v>19483.190000000002</v>
      </c>
      <c r="M12" s="38">
        <f>SUM($D7:M7)</f>
        <v>19483.190000000002</v>
      </c>
      <c r="N12" s="38">
        <f>SUM($D7:N7)</f>
        <v>19483.190000000002</v>
      </c>
      <c r="O12" s="38">
        <f>SUM($D7:O7)</f>
        <v>25717.58</v>
      </c>
      <c r="P12" s="38">
        <f>SUM($D7:P7)</f>
        <v>25717.58</v>
      </c>
      <c r="Q12" s="38">
        <f>SUM($D7:Q7)</f>
        <v>25717.58</v>
      </c>
      <c r="R12" s="38">
        <f>SUM($D7:R7)</f>
        <v>32242.340000000004</v>
      </c>
      <c r="S12" s="38">
        <f>SUM($D7:S7)</f>
        <v>32242.340000000004</v>
      </c>
      <c r="T12" s="38">
        <f>SUM($D7:T7)</f>
        <v>38476.730000000003</v>
      </c>
      <c r="U12" s="38">
        <f>SUM($D7:U7)</f>
        <v>38476.730000000003</v>
      </c>
      <c r="V12" s="38">
        <f>SUM($D7:V7)</f>
        <v>38476.730000000003</v>
      </c>
      <c r="W12" s="38">
        <f>SUM($D7:W7)</f>
        <v>38476.730000000003</v>
      </c>
      <c r="X12" s="38">
        <f>SUM($D7:X7)</f>
        <v>38476.730000000003</v>
      </c>
      <c r="Y12" s="38">
        <f>SUM($D7:Y7)</f>
        <v>43671.26</v>
      </c>
      <c r="Z12" s="38">
        <f>SUM($D7:Z7)</f>
        <v>44089.990000000005</v>
      </c>
      <c r="AA12" s="38">
        <f>SUM($D7:AA7)</f>
        <v>51570.400000000009</v>
      </c>
      <c r="AB12" s="38">
        <f>SUM($D7:AB7)</f>
        <v>51570.400000000009</v>
      </c>
      <c r="AC12" s="38">
        <f>SUM($D7:AC7)</f>
        <v>52284.69000000001</v>
      </c>
      <c r="AD12" s="38">
        <f>SUM($D7:AD7)</f>
        <v>52284.69000000001</v>
      </c>
      <c r="AE12" s="38">
        <f>SUM($D7:AE7)</f>
        <v>52284.69000000001</v>
      </c>
      <c r="AF12" s="38">
        <f>SUM($D7:AF7)</f>
        <v>52284.69000000001</v>
      </c>
      <c r="AG12" s="38">
        <f>SUM($D7:AG7)</f>
        <v>52958.87000000001</v>
      </c>
      <c r="AH12" s="38">
        <f>SUM($D7:AH7)</f>
        <v>53472.090000000011</v>
      </c>
      <c r="AI12" s="22">
        <v>70989.019090909074</v>
      </c>
      <c r="AJ12" s="22"/>
    </row>
    <row r="13" spans="1:53" hidden="1" outlineLevel="1" x14ac:dyDescent="0.45">
      <c r="B13" s="14"/>
      <c r="C13" s="15" t="str">
        <f>C8</f>
        <v>Other</v>
      </c>
      <c r="D13" s="38">
        <f>SUM($D8:D8)</f>
        <v>0</v>
      </c>
      <c r="E13" s="38">
        <f>SUM($D8:E8)</f>
        <v>0</v>
      </c>
      <c r="F13" s="38">
        <f>SUM($D8:F8)</f>
        <v>0</v>
      </c>
      <c r="G13" s="38">
        <f>SUM($D8:G8)</f>
        <v>0</v>
      </c>
      <c r="H13" s="38">
        <f>SUM($D8:H8)</f>
        <v>554.11</v>
      </c>
      <c r="I13" s="38">
        <f>SUM($D8:I8)</f>
        <v>954.06</v>
      </c>
      <c r="J13" s="38">
        <f>SUM($D8:J8)</f>
        <v>1728.44</v>
      </c>
      <c r="K13" s="38">
        <f>SUM($D8:K8)</f>
        <v>2477.02</v>
      </c>
      <c r="L13" s="38">
        <f>SUM($D8:L8)</f>
        <v>2876.97</v>
      </c>
      <c r="M13" s="38">
        <f>SUM($D8:M8)</f>
        <v>3251.3999999999996</v>
      </c>
      <c r="N13" s="38">
        <f>SUM($D8:N8)</f>
        <v>3251.3999999999996</v>
      </c>
      <c r="O13" s="38">
        <f>SUM($D8:O8)</f>
        <v>3251.3999999999996</v>
      </c>
      <c r="P13" s="38">
        <f>SUM($D8:P8)</f>
        <v>4014.1299999999997</v>
      </c>
      <c r="Q13" s="38">
        <f>SUM($D8:Q8)</f>
        <v>4414.08</v>
      </c>
      <c r="R13" s="38">
        <f>SUM($D8:R8)</f>
        <v>5162.66</v>
      </c>
      <c r="S13" s="38">
        <f>SUM($D8:S8)</f>
        <v>5525.44</v>
      </c>
      <c r="T13" s="38">
        <f>SUM($D8:T8)</f>
        <v>5914.5</v>
      </c>
      <c r="U13" s="38">
        <f>SUM($D8:U8)</f>
        <v>5914.5</v>
      </c>
      <c r="V13" s="38">
        <f>SUM($D8:V8)</f>
        <v>6321.71</v>
      </c>
      <c r="W13" s="38">
        <f>SUM($D8:W8)</f>
        <v>7058.92</v>
      </c>
      <c r="X13" s="38">
        <f>SUM($D8:X8)</f>
        <v>8060.18</v>
      </c>
      <c r="Y13" s="38">
        <f>SUM($D8:Y8)</f>
        <v>9172.2999999999993</v>
      </c>
      <c r="Z13" s="38">
        <f>SUM($D8:Z8)</f>
        <v>10289.789999999999</v>
      </c>
      <c r="AA13" s="38">
        <f>SUM($D8:AA8)</f>
        <v>10824.75</v>
      </c>
      <c r="AB13" s="38">
        <f>SUM($D8:AB8)</f>
        <v>10824.75</v>
      </c>
      <c r="AC13" s="38">
        <f>SUM($D8:AC8)</f>
        <v>11387.15</v>
      </c>
      <c r="AD13" s="38">
        <f>SUM($D8:AD8)</f>
        <v>11776.21</v>
      </c>
      <c r="AE13" s="38">
        <f>SUM($D8:AE8)</f>
        <v>12832.779999999999</v>
      </c>
      <c r="AF13" s="38">
        <f>SUM($D8:AF8)</f>
        <v>13596.269999999999</v>
      </c>
      <c r="AG13" s="38">
        <f>SUM($D8:AG8)</f>
        <v>14025.509999999998</v>
      </c>
      <c r="AH13" s="38">
        <f>SUM($D8:AH8)</f>
        <v>14744.419999999998</v>
      </c>
      <c r="AI13" s="22">
        <v>335.22500000000002</v>
      </c>
      <c r="AJ13" s="22"/>
    </row>
    <row r="14" spans="1:53" ht="9" customHeight="1" x14ac:dyDescent="0.4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22"/>
    </row>
    <row r="15" spans="1:53" s="13" customFormat="1" collapsed="1" x14ac:dyDescent="0.45">
      <c r="B15" s="17">
        <v>3</v>
      </c>
      <c r="C15" s="18" t="str">
        <f>IF(B1="EN","MTD PO from customers (mVND)","Đơn đặt hàng phát sinh luỹ kế  từ đầu tháng (triệu VND)")</f>
        <v>Đơn đặt hàng phát sinh luỹ kế  từ đầu tháng (triệu VND)</v>
      </c>
      <c r="D15" s="43">
        <f>SUM(D16:D18)</f>
        <v>0</v>
      </c>
      <c r="E15" s="43">
        <f t="shared" ref="E15:G15" si="23">SUM(E16:E18)</f>
        <v>6196.96</v>
      </c>
      <c r="F15" s="43">
        <f t="shared" si="23"/>
        <v>6196.96</v>
      </c>
      <c r="G15" s="43">
        <f t="shared" si="23"/>
        <v>6196.96</v>
      </c>
      <c r="H15" s="43">
        <f t="shared" ref="H15" si="24">SUM(H16:H18)</f>
        <v>6226.8399999999992</v>
      </c>
      <c r="I15" s="43">
        <f t="shared" ref="I15" si="25">SUM(I16:I18)</f>
        <v>6226.8399999999992</v>
      </c>
      <c r="J15" s="43">
        <f t="shared" ref="J15" si="26">SUM(J16:J18)</f>
        <v>8094.08</v>
      </c>
      <c r="K15" s="43">
        <f>SUM(K16:K18)</f>
        <v>14258.02</v>
      </c>
      <c r="L15" s="43">
        <f t="shared" ref="L15:N15" si="27">SUM(L16:L18)</f>
        <v>25023.71</v>
      </c>
      <c r="M15" s="43">
        <f t="shared" si="27"/>
        <v>25023.71</v>
      </c>
      <c r="N15" s="43">
        <f t="shared" si="27"/>
        <v>25023.71</v>
      </c>
      <c r="O15" s="43">
        <f t="shared" ref="O15:P15" si="28">SUM(O16:O18)</f>
        <v>26230.170000000006</v>
      </c>
      <c r="P15" s="43">
        <f t="shared" si="28"/>
        <v>29623.32</v>
      </c>
      <c r="Q15" s="43">
        <f t="shared" ref="Q15:R15" si="29">SUM(Q16:Q18)</f>
        <v>29683.279999999999</v>
      </c>
      <c r="R15" s="43">
        <f t="shared" si="29"/>
        <v>38091.69</v>
      </c>
      <c r="S15" s="43">
        <f t="shared" ref="S15" si="30">SUM(S16:S18)</f>
        <v>38868.92</v>
      </c>
      <c r="T15" s="43">
        <f t="shared" ref="T15" si="31">SUM(T16:T18)</f>
        <v>38868.92</v>
      </c>
      <c r="U15" s="43">
        <f t="shared" ref="U15" si="32">SUM(U16:U18)</f>
        <v>38868.92</v>
      </c>
      <c r="V15" s="43">
        <f t="shared" ref="V15" si="33">SUM(V16:V18)</f>
        <v>41766.33</v>
      </c>
      <c r="W15" s="43">
        <f t="shared" ref="W15" si="34">SUM(W16:W18)</f>
        <v>43336.04</v>
      </c>
      <c r="X15" s="43">
        <f t="shared" ref="X15" si="35">SUM(X16:X18)</f>
        <v>44256.17</v>
      </c>
      <c r="Y15" s="43">
        <f t="shared" ref="Y15" si="36">SUM(Y16:Y18)</f>
        <v>46105.66</v>
      </c>
      <c r="Z15" s="43">
        <f t="shared" ref="Z15" si="37">SUM(Z16:Z18)</f>
        <v>46815.880000000005</v>
      </c>
      <c r="AA15" s="43">
        <f t="shared" ref="AA15" si="38">SUM(AA16:AA18)</f>
        <v>46815.880000000005</v>
      </c>
      <c r="AB15" s="43">
        <f>SUM(AB16:AB18)</f>
        <v>46815.880000000005</v>
      </c>
      <c r="AC15" s="43">
        <f t="shared" ref="AC15" si="39">SUM(AC16:AC18)</f>
        <v>49979.01</v>
      </c>
      <c r="AD15" s="43">
        <f t="shared" ref="AD15" si="40">SUM(AD16:AD18)</f>
        <v>55860.26</v>
      </c>
      <c r="AE15" s="43">
        <f t="shared" ref="AE15:AH15" si="41">SUM(AE16:AE18)</f>
        <v>87920.13</v>
      </c>
      <c r="AF15" s="43">
        <f t="shared" si="41"/>
        <v>87920.13</v>
      </c>
      <c r="AG15" s="43">
        <f>SUM(AG16:AG18)</f>
        <v>105695.00000000001</v>
      </c>
      <c r="AH15" s="43">
        <f t="shared" si="41"/>
        <v>106024.85</v>
      </c>
      <c r="AI15" s="22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hidden="1" outlineLevel="1" x14ac:dyDescent="0.45">
      <c r="B16" s="14"/>
      <c r="C16" s="15" t="str">
        <f>C11</f>
        <v>B2B</v>
      </c>
      <c r="D16" s="38"/>
      <c r="E16" s="38">
        <v>5448.1</v>
      </c>
      <c r="F16" s="38">
        <v>5448.1</v>
      </c>
      <c r="G16" s="38">
        <v>5448.1</v>
      </c>
      <c r="H16" s="38">
        <v>5477.98</v>
      </c>
      <c r="I16" s="38">
        <v>5477.98</v>
      </c>
      <c r="J16" s="38">
        <v>5539.56</v>
      </c>
      <c r="K16" s="38">
        <v>6186.33</v>
      </c>
      <c r="L16" s="38">
        <v>16533.28</v>
      </c>
      <c r="M16" s="38">
        <v>16533.28</v>
      </c>
      <c r="N16" s="38">
        <v>16533.28</v>
      </c>
      <c r="O16" s="38">
        <v>16651.400000000001</v>
      </c>
      <c r="P16" s="38">
        <v>16709.27</v>
      </c>
      <c r="Q16" s="137">
        <v>16769.23</v>
      </c>
      <c r="R16" s="137">
        <v>18294.080000000002</v>
      </c>
      <c r="S16" s="137">
        <v>18356.66</v>
      </c>
      <c r="T16" s="137">
        <v>18356.66</v>
      </c>
      <c r="U16" s="137">
        <v>18356.66</v>
      </c>
      <c r="V16" s="137">
        <v>20296.34</v>
      </c>
      <c r="W16" s="137">
        <v>21866.05</v>
      </c>
      <c r="X16" s="137">
        <v>22786.18</v>
      </c>
      <c r="Y16" s="137">
        <v>23240.3</v>
      </c>
      <c r="Z16" s="137">
        <v>23950.52</v>
      </c>
      <c r="AA16" s="137">
        <v>23950.52</v>
      </c>
      <c r="AB16" s="137">
        <v>23950.52</v>
      </c>
      <c r="AC16" s="137">
        <v>27113.65</v>
      </c>
      <c r="AD16" s="137">
        <v>32994.9</v>
      </c>
      <c r="AE16" s="137">
        <v>33207.53</v>
      </c>
      <c r="AF16" s="137">
        <v>33207.53</v>
      </c>
      <c r="AG16" s="137">
        <v>44214.48</v>
      </c>
      <c r="AH16" s="137">
        <v>44214.48</v>
      </c>
      <c r="AI16" s="22"/>
    </row>
    <row r="17" spans="2:53" hidden="1" outlineLevel="1" x14ac:dyDescent="0.45">
      <c r="B17" s="14"/>
      <c r="C17" s="15" t="str">
        <f>C12</f>
        <v>Export</v>
      </c>
      <c r="D17" s="38"/>
      <c r="E17" s="38"/>
      <c r="F17" s="38"/>
      <c r="G17" s="38"/>
      <c r="H17" s="38"/>
      <c r="I17" s="38"/>
      <c r="J17" s="38"/>
      <c r="K17" s="38"/>
      <c r="L17" s="38">
        <v>418.74</v>
      </c>
      <c r="M17" s="38">
        <v>418.74</v>
      </c>
      <c r="N17" s="38">
        <v>418.74</v>
      </c>
      <c r="O17" s="38">
        <v>418.74</v>
      </c>
      <c r="P17" s="38">
        <v>418.74</v>
      </c>
      <c r="Q17" s="144">
        <v>418.74</v>
      </c>
      <c r="R17" s="137">
        <v>6135.12</v>
      </c>
      <c r="S17" s="144">
        <v>6849.77</v>
      </c>
      <c r="T17" s="144">
        <v>6849.77</v>
      </c>
      <c r="U17" s="144">
        <v>6849.77</v>
      </c>
      <c r="V17" s="144">
        <v>6849.77</v>
      </c>
      <c r="W17" s="144">
        <v>6849.77</v>
      </c>
      <c r="X17" s="144">
        <v>6849.77</v>
      </c>
      <c r="Y17" s="144">
        <v>6858.17</v>
      </c>
      <c r="Z17" s="144">
        <v>6858.17</v>
      </c>
      <c r="AA17" s="144">
        <v>6858.17</v>
      </c>
      <c r="AB17" s="144">
        <v>6858.17</v>
      </c>
      <c r="AC17" s="144">
        <v>6858.17</v>
      </c>
      <c r="AD17" s="144">
        <v>6858.17</v>
      </c>
      <c r="AE17" s="144">
        <v>38705.410000000003</v>
      </c>
      <c r="AF17" s="144">
        <v>38705.410000000003</v>
      </c>
      <c r="AG17" s="144">
        <v>44424.75</v>
      </c>
      <c r="AH17" s="144">
        <v>44424.75</v>
      </c>
      <c r="AI17" s="22"/>
    </row>
    <row r="18" spans="2:53" hidden="1" outlineLevel="1" x14ac:dyDescent="0.45">
      <c r="B18" s="14"/>
      <c r="C18" s="15" t="s">
        <v>5</v>
      </c>
      <c r="D18" s="38"/>
      <c r="E18" s="39">
        <v>748.86</v>
      </c>
      <c r="F18" s="39">
        <v>748.86</v>
      </c>
      <c r="G18" s="39">
        <v>748.86</v>
      </c>
      <c r="H18" s="39">
        <v>748.86</v>
      </c>
      <c r="I18" s="38">
        <v>748.86</v>
      </c>
      <c r="J18" s="38">
        <v>2554.52</v>
      </c>
      <c r="K18" s="38">
        <v>8071.69</v>
      </c>
      <c r="L18" s="38">
        <v>8071.69</v>
      </c>
      <c r="M18" s="38">
        <v>8071.69</v>
      </c>
      <c r="N18" s="38">
        <v>8071.69</v>
      </c>
      <c r="O18" s="38">
        <v>9160.0300000000007</v>
      </c>
      <c r="P18" s="38">
        <v>12495.31</v>
      </c>
      <c r="Q18" s="144">
        <v>12495.31</v>
      </c>
      <c r="R18" s="137">
        <v>13662.49</v>
      </c>
      <c r="S18" s="144">
        <v>13662.49</v>
      </c>
      <c r="T18" s="144">
        <v>13662.49</v>
      </c>
      <c r="U18" s="144">
        <v>13662.49</v>
      </c>
      <c r="V18" s="144">
        <v>14620.22</v>
      </c>
      <c r="W18" s="144">
        <v>14620.22</v>
      </c>
      <c r="X18" s="144">
        <v>14620.22</v>
      </c>
      <c r="Y18" s="144">
        <v>16007.19</v>
      </c>
      <c r="Z18" s="144">
        <v>16007.19</v>
      </c>
      <c r="AA18" s="144">
        <v>16007.19</v>
      </c>
      <c r="AB18" s="144">
        <v>16007.19</v>
      </c>
      <c r="AC18" s="144">
        <v>16007.19</v>
      </c>
      <c r="AD18" s="144">
        <v>16007.19</v>
      </c>
      <c r="AE18" s="144">
        <v>16007.19</v>
      </c>
      <c r="AF18" s="144">
        <v>16007.19</v>
      </c>
      <c r="AG18" s="144">
        <v>17055.77</v>
      </c>
      <c r="AH18" s="144">
        <v>17385.62</v>
      </c>
      <c r="AI18" s="22"/>
    </row>
    <row r="19" spans="2:53" ht="7.5" customHeight="1" x14ac:dyDescent="0.4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22"/>
    </row>
    <row r="20" spans="2:53" s="13" customFormat="1" collapsed="1" x14ac:dyDescent="0.45">
      <c r="B20" s="17">
        <v>4</v>
      </c>
      <c r="C20" s="18" t="str">
        <f>IF(B1="EN","Daily sales volume (Ton)","Sản lượng bán hàng ngày (Tấn)")</f>
        <v>Sản lượng bán hàng ngày (Tấn)</v>
      </c>
      <c r="D20" s="43">
        <f>SUM(D21:D23)</f>
        <v>0</v>
      </c>
      <c r="E20" s="43">
        <f t="shared" ref="E20:AH20" si="42">SUM(E21:E23)</f>
        <v>0</v>
      </c>
      <c r="F20" s="43">
        <f t="shared" si="42"/>
        <v>0</v>
      </c>
      <c r="G20" s="43">
        <f t="shared" si="42"/>
        <v>0</v>
      </c>
      <c r="H20" s="43">
        <f t="shared" si="42"/>
        <v>67.099999999999994</v>
      </c>
      <c r="I20" s="43">
        <f t="shared" si="42"/>
        <v>17.75</v>
      </c>
      <c r="J20" s="43">
        <f t="shared" si="42"/>
        <v>382.48</v>
      </c>
      <c r="K20" s="43">
        <f t="shared" si="42"/>
        <v>374</v>
      </c>
      <c r="L20" s="43">
        <f t="shared" si="42"/>
        <v>61</v>
      </c>
      <c r="M20" s="43">
        <f t="shared" si="42"/>
        <v>64.45</v>
      </c>
      <c r="N20" s="43">
        <f t="shared" ref="N20:O20" si="43">SUM(N21:N23)</f>
        <v>0</v>
      </c>
      <c r="O20" s="43">
        <f t="shared" si="43"/>
        <v>308</v>
      </c>
      <c r="P20" s="43">
        <f t="shared" ref="P20" si="44">SUM(P21:P23)</f>
        <v>131.18</v>
      </c>
      <c r="Q20" s="43">
        <f t="shared" si="42"/>
        <v>43.75</v>
      </c>
      <c r="R20" s="43">
        <f t="shared" si="42"/>
        <v>275.38</v>
      </c>
      <c r="S20" s="43">
        <f t="shared" si="42"/>
        <v>38.5</v>
      </c>
      <c r="T20" s="43">
        <f t="shared" si="42"/>
        <v>318.75</v>
      </c>
      <c r="U20" s="43">
        <f t="shared" si="42"/>
        <v>0</v>
      </c>
      <c r="V20" s="43">
        <f t="shared" si="42"/>
        <v>85.5</v>
      </c>
      <c r="W20" s="43">
        <f t="shared" si="42"/>
        <v>79.199999999999989</v>
      </c>
      <c r="X20" s="43">
        <f t="shared" si="42"/>
        <v>124</v>
      </c>
      <c r="Y20" s="43">
        <f>SUM(Y21:Y23)</f>
        <v>299.27999999999997</v>
      </c>
      <c r="Z20" s="43">
        <f t="shared" si="42"/>
        <v>104</v>
      </c>
      <c r="AA20" s="43">
        <f>SUM(AA21:AA23)</f>
        <v>315.13</v>
      </c>
      <c r="AB20" s="43">
        <f t="shared" si="42"/>
        <v>0</v>
      </c>
      <c r="AC20" s="43">
        <f t="shared" si="42"/>
        <v>117.13</v>
      </c>
      <c r="AD20" s="43">
        <f t="shared" ref="AD20" si="45">SUM(AD21:AD23)</f>
        <v>37.600000000000009</v>
      </c>
      <c r="AE20" s="43">
        <f t="shared" si="42"/>
        <v>58</v>
      </c>
      <c r="AF20" s="43">
        <f t="shared" si="42"/>
        <v>27.999999999999996</v>
      </c>
      <c r="AG20" s="43">
        <f t="shared" si="42"/>
        <v>115.95</v>
      </c>
      <c r="AH20" s="43">
        <f t="shared" si="42"/>
        <v>66.849999999999994</v>
      </c>
      <c r="AI20" s="194">
        <f>SUM(D20:AH20)/DAY(C1)</f>
        <v>113.32193548387096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2:53" hidden="1" outlineLevel="1" x14ac:dyDescent="0.45">
      <c r="B21" s="14"/>
      <c r="C21" s="15" t="str">
        <f>C11</f>
        <v>B2B</v>
      </c>
      <c r="D21" s="38"/>
      <c r="E21" s="38"/>
      <c r="F21" s="39"/>
      <c r="G21" s="39"/>
      <c r="H21" s="39">
        <f>52.27-7.17</f>
        <v>45.1</v>
      </c>
      <c r="I21" s="39">
        <f>10.75-4</f>
        <v>6.75</v>
      </c>
      <c r="J21" s="39">
        <f>45.26-14.78</f>
        <v>30.479999999999997</v>
      </c>
      <c r="K21" s="39">
        <f>29.3-7.3</f>
        <v>22</v>
      </c>
      <c r="L21" s="38">
        <f>57.31-7.31</f>
        <v>50</v>
      </c>
      <c r="M21" s="38">
        <v>53.45</v>
      </c>
      <c r="N21" s="38"/>
      <c r="O21" s="38">
        <f>122.14-34.14</f>
        <v>88</v>
      </c>
      <c r="P21" s="38">
        <f>123.07-13.89</f>
        <v>109.17999999999999</v>
      </c>
      <c r="Q21" s="137">
        <f>47.14-14.39</f>
        <v>32.75</v>
      </c>
      <c r="R21" s="137">
        <f>53.32-19.94</f>
        <v>33.379999999999995</v>
      </c>
      <c r="S21" s="137">
        <f>42.52-15.02</f>
        <v>27.500000000000004</v>
      </c>
      <c r="T21" s="137">
        <v>87.75</v>
      </c>
      <c r="U21" s="137"/>
      <c r="V21" s="137">
        <v>69</v>
      </c>
      <c r="W21" s="137">
        <f>64.71-7.51</f>
        <v>57.199999999999996</v>
      </c>
      <c r="X21" s="137">
        <f>104.81-13.81</f>
        <v>91</v>
      </c>
      <c r="Y21" s="137">
        <f>53.48-7.2</f>
        <v>46.279999999999994</v>
      </c>
      <c r="Z21" s="137">
        <v>50</v>
      </c>
      <c r="AA21" s="38">
        <f>42-6</f>
        <v>36</v>
      </c>
      <c r="AB21" s="137"/>
      <c r="AC21" s="137">
        <f>84.4-7.15</f>
        <v>77.25</v>
      </c>
      <c r="AD21" s="137">
        <f>65.79-39.19</f>
        <v>26.600000000000009</v>
      </c>
      <c r="AE21" s="137">
        <f>58.88-33.88</f>
        <v>25</v>
      </c>
      <c r="AF21" s="137">
        <f>37.66-31.66</f>
        <v>5.9999999999999964</v>
      </c>
      <c r="AG21" s="137">
        <f>90.65-15.2</f>
        <v>75.45</v>
      </c>
      <c r="AH21" s="137">
        <f>24.05-0.5-3</f>
        <v>20.55</v>
      </c>
      <c r="AI21" s="22">
        <f>SUM(D21:AH21)</f>
        <v>1166.6699999999998</v>
      </c>
      <c r="AN21" s="22"/>
      <c r="AO21" s="22"/>
    </row>
    <row r="22" spans="2:53" hidden="1" outlineLevel="1" x14ac:dyDescent="0.45">
      <c r="B22" s="14"/>
      <c r="C22" s="15" t="str">
        <f>C12</f>
        <v>Export</v>
      </c>
      <c r="D22" s="38"/>
      <c r="E22" s="38"/>
      <c r="F22" s="39"/>
      <c r="G22" s="39"/>
      <c r="H22" s="39"/>
      <c r="I22" s="39"/>
      <c r="J22" s="39">
        <v>330</v>
      </c>
      <c r="K22" s="39">
        <v>330</v>
      </c>
      <c r="L22" s="38"/>
      <c r="M22" s="38"/>
      <c r="N22" s="38"/>
      <c r="O22" s="38">
        <v>220</v>
      </c>
      <c r="P22" s="38"/>
      <c r="Q22" s="137"/>
      <c r="R22" s="137">
        <v>220</v>
      </c>
      <c r="S22" s="137"/>
      <c r="T22" s="137">
        <v>220</v>
      </c>
      <c r="U22" s="137"/>
      <c r="V22" s="137"/>
      <c r="W22" s="137"/>
      <c r="X22" s="137"/>
      <c r="Y22" s="38">
        <v>220</v>
      </c>
      <c r="Z22" s="38">
        <v>21</v>
      </c>
      <c r="AA22" s="38">
        <v>264</v>
      </c>
      <c r="AB22" s="137"/>
      <c r="AC22" s="137">
        <v>22</v>
      </c>
      <c r="AD22" s="38"/>
      <c r="AE22" s="137"/>
      <c r="AF22" s="137"/>
      <c r="AG22" s="137">
        <v>24</v>
      </c>
      <c r="AH22" s="137">
        <v>22</v>
      </c>
      <c r="AI22" s="22">
        <f>SUM(D22:AH22)</f>
        <v>1893</v>
      </c>
      <c r="AN22" s="22"/>
      <c r="AO22" s="22"/>
    </row>
    <row r="23" spans="2:53" hidden="1" outlineLevel="1" x14ac:dyDescent="0.45">
      <c r="B23" s="14"/>
      <c r="C23" s="15" t="s">
        <v>5</v>
      </c>
      <c r="D23" s="38"/>
      <c r="E23" s="38"/>
      <c r="F23" s="39"/>
      <c r="G23" s="39"/>
      <c r="H23" s="39">
        <v>22</v>
      </c>
      <c r="I23" s="39">
        <v>11</v>
      </c>
      <c r="J23" s="39">
        <v>22</v>
      </c>
      <c r="K23" s="39">
        <v>22</v>
      </c>
      <c r="L23" s="38">
        <v>11</v>
      </c>
      <c r="M23" s="38">
        <v>11</v>
      </c>
      <c r="N23" s="38"/>
      <c r="O23" s="38"/>
      <c r="P23" s="38">
        <v>22</v>
      </c>
      <c r="Q23" s="137">
        <v>11</v>
      </c>
      <c r="R23" s="137">
        <v>22</v>
      </c>
      <c r="S23" s="137">
        <v>11</v>
      </c>
      <c r="T23" s="137">
        <v>11</v>
      </c>
      <c r="U23" s="137"/>
      <c r="V23" s="137">
        <v>16.5</v>
      </c>
      <c r="W23" s="137">
        <v>22</v>
      </c>
      <c r="X23" s="137">
        <v>33</v>
      </c>
      <c r="Y23" s="137">
        <v>33</v>
      </c>
      <c r="Z23" s="137">
        <v>33</v>
      </c>
      <c r="AA23" s="38">
        <v>15.13</v>
      </c>
      <c r="AB23" s="137"/>
      <c r="AC23" s="137">
        <v>17.88</v>
      </c>
      <c r="AD23" s="137">
        <v>11</v>
      </c>
      <c r="AE23" s="137">
        <v>33</v>
      </c>
      <c r="AF23" s="137">
        <v>22</v>
      </c>
      <c r="AG23" s="137">
        <v>16.5</v>
      </c>
      <c r="AH23" s="137">
        <v>24.3</v>
      </c>
      <c r="AI23" s="22">
        <f>SUM(D23:AH23)</f>
        <v>453.31</v>
      </c>
      <c r="AN23" s="22"/>
      <c r="AO23" s="22"/>
    </row>
    <row r="24" spans="2:53" ht="8.25" customHeight="1" x14ac:dyDescent="0.4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22"/>
    </row>
    <row r="25" spans="2:53" s="13" customFormat="1" collapsed="1" x14ac:dyDescent="0.45">
      <c r="B25" s="17">
        <v>5</v>
      </c>
      <c r="C25" s="18" t="str">
        <f>IF(B1="EN","MTD sales volume (Ton)","Sản lượng bán luỹ kế từ đầu tháng (tấn)")</f>
        <v>Sản lượng bán luỹ kế từ đầu tháng (tấn)</v>
      </c>
      <c r="D25" s="43">
        <f t="shared" ref="D25:E25" si="46">SUM(D26:D28)</f>
        <v>0</v>
      </c>
      <c r="E25" s="43">
        <f t="shared" si="46"/>
        <v>0</v>
      </c>
      <c r="F25" s="43">
        <f t="shared" ref="F25:J25" si="47">SUM(F26:F28)</f>
        <v>0</v>
      </c>
      <c r="G25" s="43">
        <f t="shared" si="47"/>
        <v>0</v>
      </c>
      <c r="H25" s="43">
        <f t="shared" si="47"/>
        <v>67.099999999999994</v>
      </c>
      <c r="I25" s="43">
        <f t="shared" si="47"/>
        <v>84.85</v>
      </c>
      <c r="J25" s="43">
        <f t="shared" si="47"/>
        <v>467.33</v>
      </c>
      <c r="K25" s="43">
        <f t="shared" ref="K25:Q25" si="48">SUM(K26:K28)</f>
        <v>841.33</v>
      </c>
      <c r="L25" s="43">
        <f t="shared" si="48"/>
        <v>902.32999999999993</v>
      </c>
      <c r="M25" s="43">
        <f t="shared" si="48"/>
        <v>966.78</v>
      </c>
      <c r="N25" s="43">
        <f t="shared" si="48"/>
        <v>966.78</v>
      </c>
      <c r="O25" s="43">
        <f t="shared" si="48"/>
        <v>1274.78</v>
      </c>
      <c r="P25" s="43">
        <f t="shared" si="48"/>
        <v>1405.96</v>
      </c>
      <c r="Q25" s="43">
        <f t="shared" si="48"/>
        <v>1449.71</v>
      </c>
      <c r="R25" s="43">
        <f t="shared" ref="R25:U25" si="49">SUM(R26:R28)</f>
        <v>1725.09</v>
      </c>
      <c r="S25" s="43">
        <f t="shared" si="49"/>
        <v>1763.59</v>
      </c>
      <c r="T25" s="43">
        <f t="shared" si="49"/>
        <v>2082.34</v>
      </c>
      <c r="U25" s="43">
        <f t="shared" si="49"/>
        <v>2082.34</v>
      </c>
      <c r="V25" s="43">
        <f t="shared" ref="V25:AB25" si="50">SUM(V26:V28)</f>
        <v>2167.84</v>
      </c>
      <c r="W25" s="43">
        <f t="shared" si="50"/>
        <v>2247.04</v>
      </c>
      <c r="X25" s="43">
        <f t="shared" si="50"/>
        <v>2371.04</v>
      </c>
      <c r="Y25" s="43">
        <f t="shared" si="50"/>
        <v>2670.3199999999997</v>
      </c>
      <c r="Z25" s="43">
        <f t="shared" si="50"/>
        <v>2774.3199999999997</v>
      </c>
      <c r="AA25" s="43">
        <f t="shared" si="50"/>
        <v>3089.45</v>
      </c>
      <c r="AB25" s="43">
        <f t="shared" si="50"/>
        <v>3089.45</v>
      </c>
      <c r="AC25" s="43">
        <f t="shared" ref="AC25:AH25" si="51">SUM(AC26:AC28)</f>
        <v>3206.58</v>
      </c>
      <c r="AD25" s="43">
        <f t="shared" si="51"/>
        <v>3244.1800000000003</v>
      </c>
      <c r="AE25" s="43">
        <f t="shared" si="51"/>
        <v>3302.1800000000003</v>
      </c>
      <c r="AF25" s="43">
        <f t="shared" si="51"/>
        <v>3330.1800000000003</v>
      </c>
      <c r="AG25" s="43">
        <f t="shared" si="51"/>
        <v>3446.13</v>
      </c>
      <c r="AH25" s="43">
        <f t="shared" si="51"/>
        <v>3512.98</v>
      </c>
      <c r="AI25" s="194">
        <f>SUM(AI26:AI28)</f>
        <v>4318.222932676138</v>
      </c>
      <c r="AJ25" s="20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2:53" hidden="1" outlineLevel="1" x14ac:dyDescent="0.45">
      <c r="B26" s="14"/>
      <c r="C26" s="15" t="str">
        <f>C21</f>
        <v>B2B</v>
      </c>
      <c r="D26" s="38">
        <f>SUM($D21:D21)</f>
        <v>0</v>
      </c>
      <c r="E26" s="38">
        <f>SUM($D21:E21)</f>
        <v>0</v>
      </c>
      <c r="F26" s="38">
        <f>SUM($D21:F21)</f>
        <v>0</v>
      </c>
      <c r="G26" s="38">
        <f>SUM($D21:G21)</f>
        <v>0</v>
      </c>
      <c r="H26" s="38">
        <f>SUM($D21:H21)</f>
        <v>45.1</v>
      </c>
      <c r="I26" s="38">
        <f>SUM($D21:I21)</f>
        <v>51.85</v>
      </c>
      <c r="J26" s="38">
        <f>SUM($D21:J21)</f>
        <v>82.33</v>
      </c>
      <c r="K26" s="38">
        <f>SUM($D21:K21)</f>
        <v>104.33</v>
      </c>
      <c r="L26" s="38">
        <f>SUM($D21:L21)</f>
        <v>154.32999999999998</v>
      </c>
      <c r="M26" s="38">
        <f>SUM($D21:M21)</f>
        <v>207.77999999999997</v>
      </c>
      <c r="N26" s="38">
        <f>SUM($D21:N21)</f>
        <v>207.77999999999997</v>
      </c>
      <c r="O26" s="38">
        <f>SUM($D21:O21)</f>
        <v>295.77999999999997</v>
      </c>
      <c r="P26" s="38">
        <f>SUM($D21:P21)</f>
        <v>404.96</v>
      </c>
      <c r="Q26" s="38">
        <f>SUM($D21:Q21)</f>
        <v>437.71</v>
      </c>
      <c r="R26" s="38">
        <f>SUM($D21:R21)</f>
        <v>471.09</v>
      </c>
      <c r="S26" s="38">
        <f>SUM($D21:S21)</f>
        <v>498.59</v>
      </c>
      <c r="T26" s="38">
        <f>SUM($D21:T21)</f>
        <v>586.33999999999992</v>
      </c>
      <c r="U26" s="38">
        <f>SUM($D21:U21)</f>
        <v>586.33999999999992</v>
      </c>
      <c r="V26" s="38">
        <f>SUM($D21:V21)</f>
        <v>655.33999999999992</v>
      </c>
      <c r="W26" s="38">
        <f>SUM($D21:W21)</f>
        <v>712.54</v>
      </c>
      <c r="X26" s="38">
        <f>SUM($D21:X21)</f>
        <v>803.54</v>
      </c>
      <c r="Y26" s="38">
        <f>SUM($D21:Y21)</f>
        <v>849.81999999999994</v>
      </c>
      <c r="Z26" s="38">
        <f>SUM($D21:Z21)</f>
        <v>899.81999999999994</v>
      </c>
      <c r="AA26" s="38">
        <f>SUM($D21:AA21)</f>
        <v>935.81999999999994</v>
      </c>
      <c r="AB26" s="38">
        <f>SUM($D21:AB21)</f>
        <v>935.81999999999994</v>
      </c>
      <c r="AC26" s="38">
        <f>SUM($D21:AC21)</f>
        <v>1013.0699999999999</v>
      </c>
      <c r="AD26" s="38">
        <f>SUM($D21:AD21)</f>
        <v>1039.6699999999998</v>
      </c>
      <c r="AE26" s="38">
        <f>SUM($D21:AE21)</f>
        <v>1064.6699999999998</v>
      </c>
      <c r="AF26" s="38">
        <f>SUM($D21:AF21)</f>
        <v>1070.6699999999998</v>
      </c>
      <c r="AG26" s="38">
        <f>SUM($D21:AG21)</f>
        <v>1146.1199999999999</v>
      </c>
      <c r="AH26" s="38">
        <f>SUM($D21:AH21)</f>
        <v>1166.6699999999998</v>
      </c>
      <c r="AI26" s="22">
        <v>2004.2229326761383</v>
      </c>
    </row>
    <row r="27" spans="2:53" hidden="1" outlineLevel="1" x14ac:dyDescent="0.45">
      <c r="B27" s="14"/>
      <c r="C27" s="15" t="str">
        <f>C22</f>
        <v>Export</v>
      </c>
      <c r="D27" s="38">
        <f>SUM($D22:D22)</f>
        <v>0</v>
      </c>
      <c r="E27" s="38">
        <f>SUM($D22:E22)</f>
        <v>0</v>
      </c>
      <c r="F27" s="38">
        <f>SUM($D22:F22)</f>
        <v>0</v>
      </c>
      <c r="G27" s="38">
        <f>SUM($D22:G22)</f>
        <v>0</v>
      </c>
      <c r="H27" s="38">
        <f>SUM($D22:H22)</f>
        <v>0</v>
      </c>
      <c r="I27" s="38">
        <f>SUM($D22:I22)</f>
        <v>0</v>
      </c>
      <c r="J27" s="38">
        <f>SUM($D22:J22)</f>
        <v>330</v>
      </c>
      <c r="K27" s="38">
        <f>SUM($D22:K22)</f>
        <v>660</v>
      </c>
      <c r="L27" s="38">
        <f>SUM($D22:L22)</f>
        <v>660</v>
      </c>
      <c r="M27" s="38">
        <f>SUM($D22:M22)</f>
        <v>660</v>
      </c>
      <c r="N27" s="38">
        <f>SUM($D22:N22)</f>
        <v>660</v>
      </c>
      <c r="O27" s="38">
        <f>SUM($D22:O22)</f>
        <v>880</v>
      </c>
      <c r="P27" s="38">
        <f>SUM($D22:P22)</f>
        <v>880</v>
      </c>
      <c r="Q27" s="38">
        <f>SUM($D22:Q22)</f>
        <v>880</v>
      </c>
      <c r="R27" s="38">
        <f>SUM($D22:R22)</f>
        <v>1100</v>
      </c>
      <c r="S27" s="38">
        <f>SUM($D22:S22)</f>
        <v>1100</v>
      </c>
      <c r="T27" s="38">
        <f>SUM($D22:T22)</f>
        <v>1320</v>
      </c>
      <c r="U27" s="38">
        <f>SUM($D22:U22)</f>
        <v>1320</v>
      </c>
      <c r="V27" s="38">
        <f>SUM($D22:V22)</f>
        <v>1320</v>
      </c>
      <c r="W27" s="38">
        <f>SUM($D22:W22)</f>
        <v>1320</v>
      </c>
      <c r="X27" s="38">
        <f>SUM($D22:X22)</f>
        <v>1320</v>
      </c>
      <c r="Y27" s="38">
        <f>SUM($D22:Y22)</f>
        <v>1540</v>
      </c>
      <c r="Z27" s="38">
        <f>SUM($D22:Z22)</f>
        <v>1561</v>
      </c>
      <c r="AA27" s="38">
        <f>SUM($D22:AA22)</f>
        <v>1825</v>
      </c>
      <c r="AB27" s="38">
        <f>SUM($D22:AB22)</f>
        <v>1825</v>
      </c>
      <c r="AC27" s="38">
        <f>SUM($D22:AC22)</f>
        <v>1847</v>
      </c>
      <c r="AD27" s="38">
        <f>SUM($D22:AD22)</f>
        <v>1847</v>
      </c>
      <c r="AE27" s="38">
        <f>SUM($D22:AE22)</f>
        <v>1847</v>
      </c>
      <c r="AF27" s="38">
        <f>SUM($D22:AF22)</f>
        <v>1847</v>
      </c>
      <c r="AG27" s="38">
        <f>SUM($D22:AG22)</f>
        <v>1871</v>
      </c>
      <c r="AH27" s="38">
        <f>SUM($D22:AH22)</f>
        <v>1893</v>
      </c>
      <c r="AI27" s="22">
        <v>2303</v>
      </c>
    </row>
    <row r="28" spans="2:53" hidden="1" outlineLevel="1" x14ac:dyDescent="0.45">
      <c r="B28" s="14"/>
      <c r="C28" s="15" t="s">
        <v>5</v>
      </c>
      <c r="D28" s="38">
        <f>SUM($D23:D23)</f>
        <v>0</v>
      </c>
      <c r="E28" s="38">
        <f>SUM($D23:E23)</f>
        <v>0</v>
      </c>
      <c r="F28" s="38">
        <f>SUM($D23:F23)</f>
        <v>0</v>
      </c>
      <c r="G28" s="38">
        <f>SUM($D23:G23)</f>
        <v>0</v>
      </c>
      <c r="H28" s="38">
        <f>SUM($D23:H23)</f>
        <v>22</v>
      </c>
      <c r="I28" s="38">
        <f>SUM($D23:I23)</f>
        <v>33</v>
      </c>
      <c r="J28" s="38">
        <f>SUM($D23:J23)</f>
        <v>55</v>
      </c>
      <c r="K28" s="38">
        <f>SUM($D23:K23)</f>
        <v>77</v>
      </c>
      <c r="L28" s="38">
        <f>SUM($D23:L23)</f>
        <v>88</v>
      </c>
      <c r="M28" s="38">
        <f>SUM($D23:M23)</f>
        <v>99</v>
      </c>
      <c r="N28" s="38">
        <f>SUM($D23:N23)</f>
        <v>99</v>
      </c>
      <c r="O28" s="38">
        <f>SUM($D23:O23)</f>
        <v>99</v>
      </c>
      <c r="P28" s="38">
        <f>SUM($D23:P23)</f>
        <v>121</v>
      </c>
      <c r="Q28" s="38">
        <f>SUM($D23:Q23)</f>
        <v>132</v>
      </c>
      <c r="R28" s="38">
        <f>SUM($D23:R23)</f>
        <v>154</v>
      </c>
      <c r="S28" s="38">
        <f>SUM($D23:S23)</f>
        <v>165</v>
      </c>
      <c r="T28" s="38">
        <f>SUM($D23:T23)</f>
        <v>176</v>
      </c>
      <c r="U28" s="38">
        <f>SUM($D23:U23)</f>
        <v>176</v>
      </c>
      <c r="V28" s="38">
        <f>SUM($D23:V23)</f>
        <v>192.5</v>
      </c>
      <c r="W28" s="38">
        <f>SUM($D23:W23)</f>
        <v>214.5</v>
      </c>
      <c r="X28" s="38">
        <f>SUM($D23:X23)</f>
        <v>247.5</v>
      </c>
      <c r="Y28" s="38">
        <f>SUM($D23:Y23)</f>
        <v>280.5</v>
      </c>
      <c r="Z28" s="38">
        <f>SUM($D23:Z23)</f>
        <v>313.5</v>
      </c>
      <c r="AA28" s="38">
        <f>SUM($D23:AA23)</f>
        <v>328.63</v>
      </c>
      <c r="AB28" s="38">
        <f>SUM($D23:AB23)</f>
        <v>328.63</v>
      </c>
      <c r="AC28" s="38">
        <f>SUM($D23:AC23)</f>
        <v>346.51</v>
      </c>
      <c r="AD28" s="38">
        <f>SUM($D23:AD23)</f>
        <v>357.51</v>
      </c>
      <c r="AE28" s="38">
        <f>SUM($D23:AE23)</f>
        <v>390.51</v>
      </c>
      <c r="AF28" s="38">
        <f>SUM($D23:AF23)</f>
        <v>412.51</v>
      </c>
      <c r="AG28" s="38">
        <f>SUM($D23:AG23)</f>
        <v>429.01</v>
      </c>
      <c r="AH28" s="38">
        <f>SUM($D23:AH23)</f>
        <v>453.31</v>
      </c>
      <c r="AI28" s="22">
        <v>11</v>
      </c>
    </row>
    <row r="29" spans="2:53" ht="8.25" customHeight="1" x14ac:dyDescent="0.4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22"/>
    </row>
    <row r="30" spans="2:53" s="21" customFormat="1" collapsed="1" x14ac:dyDescent="0.45">
      <c r="B30" s="17">
        <v>6</v>
      </c>
      <c r="C30" s="18" t="str">
        <f>IF(B1="EN","Daily production volume (Ton)","Sản lượng sản xuất hàng ngày (Tấn)")</f>
        <v>Sản lượng sản xuất hàng ngày (Tấn)</v>
      </c>
      <c r="D30" s="43">
        <f>SUM(D31:D31)</f>
        <v>0</v>
      </c>
      <c r="E30" s="43">
        <f>SUM(E31:E31)</f>
        <v>0</v>
      </c>
      <c r="F30" s="43">
        <f>SUM(F31:F31)</f>
        <v>0</v>
      </c>
      <c r="G30" s="43">
        <f>SUM(G31:G31)</f>
        <v>0</v>
      </c>
      <c r="H30" s="43">
        <f t="shared" ref="H30:AH30" si="52">SUM(H31:H31)</f>
        <v>22</v>
      </c>
      <c r="I30" s="43">
        <f t="shared" si="52"/>
        <v>41</v>
      </c>
      <c r="J30" s="43">
        <f t="shared" si="52"/>
        <v>38</v>
      </c>
      <c r="K30" s="43">
        <f t="shared" si="52"/>
        <v>51</v>
      </c>
      <c r="L30" s="43">
        <f t="shared" si="52"/>
        <v>100</v>
      </c>
      <c r="M30" s="43">
        <f t="shared" si="52"/>
        <v>133</v>
      </c>
      <c r="N30" s="43">
        <f t="shared" si="52"/>
        <v>100</v>
      </c>
      <c r="O30" s="43">
        <f t="shared" si="52"/>
        <v>117</v>
      </c>
      <c r="P30" s="43">
        <f t="shared" si="52"/>
        <v>94</v>
      </c>
      <c r="Q30" s="43">
        <f t="shared" si="52"/>
        <v>67</v>
      </c>
      <c r="R30" s="43">
        <f t="shared" si="52"/>
        <v>114</v>
      </c>
      <c r="S30" s="43">
        <f t="shared" si="52"/>
        <v>131</v>
      </c>
      <c r="T30" s="43">
        <f t="shared" si="52"/>
        <v>119</v>
      </c>
      <c r="U30" s="43">
        <f t="shared" si="52"/>
        <v>59.325000000000003</v>
      </c>
      <c r="V30" s="43">
        <f t="shared" si="52"/>
        <v>94</v>
      </c>
      <c r="W30" s="43">
        <f>SUM(W31:W31)</f>
        <v>94</v>
      </c>
      <c r="X30" s="43">
        <f t="shared" si="52"/>
        <v>192</v>
      </c>
      <c r="Y30" s="43">
        <f t="shared" si="52"/>
        <v>160</v>
      </c>
      <c r="Z30" s="43">
        <f t="shared" si="52"/>
        <v>143</v>
      </c>
      <c r="AA30" s="43">
        <f t="shared" si="52"/>
        <v>103</v>
      </c>
      <c r="AB30" s="43">
        <f t="shared" si="52"/>
        <v>162.79999999999998</v>
      </c>
      <c r="AC30" s="43">
        <f t="shared" si="52"/>
        <v>145</v>
      </c>
      <c r="AD30" s="43">
        <f t="shared" si="52"/>
        <v>164</v>
      </c>
      <c r="AE30" s="43">
        <f t="shared" si="52"/>
        <v>172</v>
      </c>
      <c r="AF30" s="43">
        <f t="shared" si="52"/>
        <v>114</v>
      </c>
      <c r="AG30" s="43">
        <f t="shared" si="52"/>
        <v>87</v>
      </c>
      <c r="AH30" s="43">
        <f t="shared" si="52"/>
        <v>49</v>
      </c>
      <c r="AI30" s="194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2:53" hidden="1" outlineLevel="1" x14ac:dyDescent="0.45">
      <c r="B31" s="14"/>
      <c r="C31" s="15" t="s">
        <v>56</v>
      </c>
      <c r="D31" s="38"/>
      <c r="E31" s="38"/>
      <c r="F31" s="38"/>
      <c r="G31" s="38"/>
      <c r="H31" s="38">
        <v>22</v>
      </c>
      <c r="I31" s="38">
        <v>41</v>
      </c>
      <c r="J31" s="38">
        <v>38</v>
      </c>
      <c r="K31" s="38">
        <v>51</v>
      </c>
      <c r="L31" s="38">
        <v>100</v>
      </c>
      <c r="M31" s="38">
        <v>133</v>
      </c>
      <c r="N31" s="38">
        <v>100</v>
      </c>
      <c r="O31" s="142">
        <v>117</v>
      </c>
      <c r="P31" s="137">
        <v>94</v>
      </c>
      <c r="Q31" s="137">
        <v>67</v>
      </c>
      <c r="R31" s="137">
        <v>114</v>
      </c>
      <c r="S31" s="137">
        <v>131</v>
      </c>
      <c r="T31" s="137">
        <v>119</v>
      </c>
      <c r="U31" s="137">
        <f>89.025-29.7</f>
        <v>59.325000000000003</v>
      </c>
      <c r="V31" s="137">
        <v>94</v>
      </c>
      <c r="W31" s="137">
        <v>94</v>
      </c>
      <c r="X31" s="137">
        <v>192</v>
      </c>
      <c r="Y31" s="137">
        <v>160</v>
      </c>
      <c r="Z31" s="137">
        <v>143</v>
      </c>
      <c r="AA31" s="137">
        <v>103</v>
      </c>
      <c r="AB31" s="137">
        <f>183.7-20.9</f>
        <v>162.79999999999998</v>
      </c>
      <c r="AC31" s="137">
        <v>145</v>
      </c>
      <c r="AD31" s="137">
        <v>164</v>
      </c>
      <c r="AE31" s="137">
        <v>172</v>
      </c>
      <c r="AF31" s="137">
        <v>114</v>
      </c>
      <c r="AG31" s="137">
        <v>87</v>
      </c>
      <c r="AH31" s="137">
        <v>49</v>
      </c>
      <c r="AI31" s="22"/>
    </row>
    <row r="32" spans="2:53" ht="9" customHeight="1" x14ac:dyDescent="0.4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22"/>
    </row>
    <row r="33" spans="2:53" s="13" customFormat="1" collapsed="1" x14ac:dyDescent="0.45">
      <c r="B33" s="17">
        <v>7</v>
      </c>
      <c r="C33" s="18" t="str">
        <f>IF(B1="EN","MTD production volume (Ton)","Sản lượng sản xuất luỹ kế từ đầu tháng (tấn)")</f>
        <v>Sản lượng sản xuất luỹ kế từ đầu tháng (tấn)</v>
      </c>
      <c r="D33" s="43">
        <f t="shared" ref="D33:AH33" si="53">SUM(D34:D34)</f>
        <v>0</v>
      </c>
      <c r="E33" s="43">
        <f t="shared" si="53"/>
        <v>0</v>
      </c>
      <c r="F33" s="43">
        <f t="shared" si="53"/>
        <v>0</v>
      </c>
      <c r="G33" s="43">
        <f t="shared" si="53"/>
        <v>0</v>
      </c>
      <c r="H33" s="43">
        <f t="shared" si="53"/>
        <v>22</v>
      </c>
      <c r="I33" s="43">
        <f t="shared" si="53"/>
        <v>63</v>
      </c>
      <c r="J33" s="43">
        <f t="shared" si="53"/>
        <v>101</v>
      </c>
      <c r="K33" s="43">
        <f t="shared" si="53"/>
        <v>152</v>
      </c>
      <c r="L33" s="43">
        <f t="shared" si="53"/>
        <v>252</v>
      </c>
      <c r="M33" s="43">
        <f t="shared" si="53"/>
        <v>385</v>
      </c>
      <c r="N33" s="43">
        <f t="shared" si="53"/>
        <v>485</v>
      </c>
      <c r="O33" s="43">
        <f t="shared" si="53"/>
        <v>602</v>
      </c>
      <c r="P33" s="43">
        <f t="shared" si="53"/>
        <v>696</v>
      </c>
      <c r="Q33" s="43">
        <f t="shared" si="53"/>
        <v>763</v>
      </c>
      <c r="R33" s="43">
        <f t="shared" si="53"/>
        <v>877</v>
      </c>
      <c r="S33" s="43">
        <f t="shared" si="53"/>
        <v>1008</v>
      </c>
      <c r="T33" s="43">
        <f t="shared" si="53"/>
        <v>1127</v>
      </c>
      <c r="U33" s="43">
        <f t="shared" si="53"/>
        <v>1186.325</v>
      </c>
      <c r="V33" s="43">
        <f t="shared" si="53"/>
        <v>1280.325</v>
      </c>
      <c r="W33" s="43">
        <f t="shared" si="53"/>
        <v>1374.325</v>
      </c>
      <c r="X33" s="43">
        <f t="shared" si="53"/>
        <v>1566.325</v>
      </c>
      <c r="Y33" s="43">
        <f t="shared" si="53"/>
        <v>1726.325</v>
      </c>
      <c r="Z33" s="43">
        <f t="shared" si="53"/>
        <v>1869.325</v>
      </c>
      <c r="AA33" s="43">
        <f t="shared" si="53"/>
        <v>1972.325</v>
      </c>
      <c r="AB33" s="43">
        <f t="shared" si="53"/>
        <v>2135.125</v>
      </c>
      <c r="AC33" s="43">
        <f t="shared" si="53"/>
        <v>2280.125</v>
      </c>
      <c r="AD33" s="43">
        <f t="shared" si="53"/>
        <v>2444.125</v>
      </c>
      <c r="AE33" s="43">
        <f t="shared" si="53"/>
        <v>2616.125</v>
      </c>
      <c r="AF33" s="43">
        <f t="shared" si="53"/>
        <v>2730.125</v>
      </c>
      <c r="AG33" s="43">
        <f t="shared" si="53"/>
        <v>2817.125</v>
      </c>
      <c r="AH33" s="43">
        <f t="shared" si="53"/>
        <v>2866.125</v>
      </c>
      <c r="AI33" s="2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2:53" hidden="1" outlineLevel="1" x14ac:dyDescent="0.45">
      <c r="B34" s="14"/>
      <c r="C34" s="15" t="s">
        <v>56</v>
      </c>
      <c r="D34" s="38">
        <f>SUM($D31:D31)</f>
        <v>0</v>
      </c>
      <c r="E34" s="38">
        <f>SUM($D31:E31)</f>
        <v>0</v>
      </c>
      <c r="F34" s="38">
        <f>SUM($D31:F31)</f>
        <v>0</v>
      </c>
      <c r="G34" s="38">
        <f>SUM($D31:G31)</f>
        <v>0</v>
      </c>
      <c r="H34" s="38">
        <f>SUM($D31:H31)</f>
        <v>22</v>
      </c>
      <c r="I34" s="38">
        <f>SUM($D31:I31)</f>
        <v>63</v>
      </c>
      <c r="J34" s="38">
        <f>SUM($D31:J31)</f>
        <v>101</v>
      </c>
      <c r="K34" s="38">
        <f>SUM($D31:K31)</f>
        <v>152</v>
      </c>
      <c r="L34" s="38">
        <f>SUM($D31:L31)</f>
        <v>252</v>
      </c>
      <c r="M34" s="38">
        <f>SUM($D31:M31)</f>
        <v>385</v>
      </c>
      <c r="N34" s="38">
        <f>SUM($D31:N31)</f>
        <v>485</v>
      </c>
      <c r="O34" s="38">
        <f>SUM($D31:O31)</f>
        <v>602</v>
      </c>
      <c r="P34" s="38">
        <f>SUM($D31:P31)</f>
        <v>696</v>
      </c>
      <c r="Q34" s="38">
        <f>SUM($D31:Q31)</f>
        <v>763</v>
      </c>
      <c r="R34" s="38">
        <f>SUM($D31:R31)</f>
        <v>877</v>
      </c>
      <c r="S34" s="38">
        <f>SUM($D31:S31)</f>
        <v>1008</v>
      </c>
      <c r="T34" s="38">
        <f>SUM($D31:T31)</f>
        <v>1127</v>
      </c>
      <c r="U34" s="38">
        <f>SUM($D31:U31)</f>
        <v>1186.325</v>
      </c>
      <c r="V34" s="38">
        <f>SUM($D31:V31)</f>
        <v>1280.325</v>
      </c>
      <c r="W34" s="38">
        <f>SUM($D31:W31)</f>
        <v>1374.325</v>
      </c>
      <c r="X34" s="38">
        <f>SUM($D31:X31)</f>
        <v>1566.325</v>
      </c>
      <c r="Y34" s="38">
        <f>SUM($D31:Y31)</f>
        <v>1726.325</v>
      </c>
      <c r="Z34" s="38">
        <f>SUM($D31:Z31)</f>
        <v>1869.325</v>
      </c>
      <c r="AA34" s="38">
        <f>SUM($D31:AA31)</f>
        <v>1972.325</v>
      </c>
      <c r="AB34" s="38">
        <f>SUM($D31:AB31)</f>
        <v>2135.125</v>
      </c>
      <c r="AC34" s="38">
        <f>SUM($D31:AC31)</f>
        <v>2280.125</v>
      </c>
      <c r="AD34" s="38">
        <f>SUM($D31:AD31)</f>
        <v>2444.125</v>
      </c>
      <c r="AE34" s="38">
        <f>SUM($D31:AE31)</f>
        <v>2616.125</v>
      </c>
      <c r="AF34" s="38">
        <f>SUM($D31:AF31)</f>
        <v>2730.125</v>
      </c>
      <c r="AG34" s="38">
        <f>SUM($D31:AG31)</f>
        <v>2817.125</v>
      </c>
      <c r="AH34" s="38">
        <f>SUM($D31:AH31)</f>
        <v>2866.125</v>
      </c>
      <c r="AI34" s="22"/>
    </row>
    <row r="35" spans="2:53" ht="6.75" customHeight="1" x14ac:dyDescent="0.4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22"/>
    </row>
    <row r="36" spans="2:53" s="21" customFormat="1" collapsed="1" x14ac:dyDescent="0.45">
      <c r="B36" s="17">
        <v>8</v>
      </c>
      <c r="C36" s="18" t="str">
        <f>IF(B1="EN","Finished Goods Inventory (Ton)","Thành phẩm tồn kho (Tấn)")</f>
        <v>Thành phẩm tồn kho (Tấn)</v>
      </c>
      <c r="D36" s="43">
        <f t="shared" ref="D36:AH36" si="54">D37</f>
        <v>11631.5</v>
      </c>
      <c r="E36" s="43">
        <f t="shared" si="54"/>
        <v>11631.5</v>
      </c>
      <c r="F36" s="43">
        <f t="shared" si="54"/>
        <v>11631.5</v>
      </c>
      <c r="G36" s="43">
        <f t="shared" si="54"/>
        <v>11631.5</v>
      </c>
      <c r="H36" s="43">
        <f t="shared" si="54"/>
        <v>11631.5</v>
      </c>
      <c r="I36" s="43">
        <f t="shared" si="54"/>
        <v>11526.72</v>
      </c>
      <c r="J36" s="43">
        <f t="shared" si="54"/>
        <v>11557.07</v>
      </c>
      <c r="K36" s="43">
        <f t="shared" si="54"/>
        <v>11220.4</v>
      </c>
      <c r="L36" s="43">
        <f t="shared" si="54"/>
        <v>10866.08</v>
      </c>
      <c r="M36" s="43">
        <f t="shared" si="54"/>
        <v>10828.23</v>
      </c>
      <c r="N36" s="43">
        <f t="shared" si="54"/>
        <v>10825.67</v>
      </c>
      <c r="O36" s="43">
        <f t="shared" si="54"/>
        <v>10894.92</v>
      </c>
      <c r="P36" s="43">
        <f t="shared" si="54"/>
        <v>10731.01</v>
      </c>
      <c r="Q36" s="43">
        <f t="shared" si="54"/>
        <v>10763.81</v>
      </c>
      <c r="R36" s="43">
        <f t="shared" si="54"/>
        <v>10811.79</v>
      </c>
      <c r="S36" s="43">
        <f t="shared" si="54"/>
        <v>10600.97</v>
      </c>
      <c r="T36" s="43">
        <f t="shared" si="54"/>
        <v>10657.47</v>
      </c>
      <c r="U36" s="43">
        <f t="shared" si="54"/>
        <v>10421.83</v>
      </c>
      <c r="V36" s="43">
        <f t="shared" si="54"/>
        <v>10496.85</v>
      </c>
      <c r="W36" s="43">
        <f t="shared" si="54"/>
        <v>10501.92</v>
      </c>
      <c r="X36" s="43">
        <f t="shared" si="54"/>
        <v>10573.95</v>
      </c>
      <c r="Y36" s="43">
        <f t="shared" si="54"/>
        <v>10551.73</v>
      </c>
      <c r="Z36" s="43">
        <f t="shared" si="54"/>
        <v>10363.35</v>
      </c>
      <c r="AA36" s="43">
        <f t="shared" si="54"/>
        <v>10390.530000000001</v>
      </c>
      <c r="AB36" s="43">
        <f t="shared" si="54"/>
        <v>10159.93</v>
      </c>
      <c r="AC36" s="43">
        <f t="shared" si="54"/>
        <v>10288.629999999999</v>
      </c>
      <c r="AD36" s="43">
        <f t="shared" si="54"/>
        <v>10317.86</v>
      </c>
      <c r="AE36" s="43">
        <f t="shared" si="54"/>
        <v>10433.91</v>
      </c>
      <c r="AF36" s="43">
        <f t="shared" si="54"/>
        <v>10473.549999999999</v>
      </c>
      <c r="AG36" s="43">
        <f t="shared" si="54"/>
        <v>10567.95</v>
      </c>
      <c r="AH36" s="43">
        <f t="shared" si="54"/>
        <v>10565.46</v>
      </c>
      <c r="AI36" s="194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2:53" hidden="1" outlineLevel="1" x14ac:dyDescent="0.45">
      <c r="B37" s="14"/>
      <c r="C37" s="15" t="s">
        <v>56</v>
      </c>
      <c r="D37" s="38">
        <v>11631.5</v>
      </c>
      <c r="E37" s="38">
        <v>11631.5</v>
      </c>
      <c r="F37" s="38">
        <v>11631.5</v>
      </c>
      <c r="G37" s="38">
        <v>11631.5</v>
      </c>
      <c r="H37" s="38">
        <v>11631.5</v>
      </c>
      <c r="I37" s="38">
        <v>11526.72</v>
      </c>
      <c r="J37" s="38">
        <v>11557.07</v>
      </c>
      <c r="K37" s="38">
        <v>11220.4</v>
      </c>
      <c r="L37" s="38">
        <v>10866.08</v>
      </c>
      <c r="M37" s="38">
        <v>10828.23</v>
      </c>
      <c r="N37" s="38">
        <v>10825.67</v>
      </c>
      <c r="O37" s="38">
        <v>10894.92</v>
      </c>
      <c r="P37" s="38">
        <v>10731.01</v>
      </c>
      <c r="Q37" s="38">
        <v>10763.81</v>
      </c>
      <c r="R37" s="38">
        <v>10811.79</v>
      </c>
      <c r="S37" s="38">
        <v>10600.97</v>
      </c>
      <c r="T37" s="38">
        <v>10657.47</v>
      </c>
      <c r="U37" s="38">
        <v>10421.83</v>
      </c>
      <c r="V37" s="38">
        <v>10496.85</v>
      </c>
      <c r="W37" s="38">
        <v>10501.92</v>
      </c>
      <c r="X37" s="137">
        <v>10573.95</v>
      </c>
      <c r="Y37" s="137">
        <v>10551.73</v>
      </c>
      <c r="Z37" s="137">
        <v>10363.35</v>
      </c>
      <c r="AA37" s="137">
        <v>10390.530000000001</v>
      </c>
      <c r="AB37" s="137">
        <v>10159.93</v>
      </c>
      <c r="AC37" s="137">
        <v>10288.629999999999</v>
      </c>
      <c r="AD37" s="137">
        <v>10317.86</v>
      </c>
      <c r="AE37" s="137">
        <v>10433.91</v>
      </c>
      <c r="AF37" s="137">
        <v>10473.549999999999</v>
      </c>
      <c r="AG37" s="137">
        <v>10567.95</v>
      </c>
      <c r="AH37" s="137">
        <v>10565.46</v>
      </c>
      <c r="AI37" s="22"/>
    </row>
    <row r="38" spans="2:53" s="21" customFormat="1" ht="7" customHeight="1" x14ac:dyDescent="0.45">
      <c r="B38" s="128"/>
      <c r="C38" s="129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94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2:53" s="21" customFormat="1" collapsed="1" x14ac:dyDescent="0.45">
      <c r="B39" s="17">
        <v>9</v>
      </c>
      <c r="C39" s="18" t="s">
        <v>54</v>
      </c>
      <c r="D39" s="43">
        <f t="shared" ref="D39:AH39" si="55">SUM(D40:D40)</f>
        <v>0</v>
      </c>
      <c r="E39" s="43">
        <f t="shared" si="55"/>
        <v>62.36</v>
      </c>
      <c r="F39" s="43">
        <f t="shared" si="55"/>
        <v>77.84</v>
      </c>
      <c r="G39" s="43">
        <f t="shared" si="55"/>
        <v>0</v>
      </c>
      <c r="H39" s="43">
        <f t="shared" si="55"/>
        <v>103.6</v>
      </c>
      <c r="I39" s="43">
        <f t="shared" si="55"/>
        <v>146.96</v>
      </c>
      <c r="J39" s="43">
        <f t="shared" si="55"/>
        <v>140.9</v>
      </c>
      <c r="K39" s="43">
        <f t="shared" si="55"/>
        <v>127.78</v>
      </c>
      <c r="L39" s="43">
        <f t="shared" si="55"/>
        <v>119.33</v>
      </c>
      <c r="M39" s="43">
        <f t="shared" si="55"/>
        <v>84.16</v>
      </c>
      <c r="N39" s="43">
        <f t="shared" si="55"/>
        <v>0</v>
      </c>
      <c r="O39" s="43">
        <f t="shared" si="55"/>
        <v>109.95</v>
      </c>
      <c r="P39" s="43">
        <f t="shared" si="55"/>
        <v>120.74</v>
      </c>
      <c r="Q39" s="43">
        <f t="shared" si="55"/>
        <v>150.94999999999999</v>
      </c>
      <c r="R39" s="43">
        <f t="shared" si="55"/>
        <v>113.75</v>
      </c>
      <c r="S39" s="43">
        <f t="shared" si="55"/>
        <v>187.69</v>
      </c>
      <c r="T39" s="43">
        <f t="shared" si="55"/>
        <v>150.44999999999999</v>
      </c>
      <c r="U39" s="43">
        <f t="shared" si="55"/>
        <v>0</v>
      </c>
      <c r="V39" s="43">
        <f t="shared" si="55"/>
        <v>247.32</v>
      </c>
      <c r="W39" s="43">
        <f t="shared" si="55"/>
        <v>175.21</v>
      </c>
      <c r="X39" s="43">
        <f t="shared" si="55"/>
        <v>157.85</v>
      </c>
      <c r="Y39" s="43">
        <f t="shared" si="55"/>
        <v>189.43</v>
      </c>
      <c r="Z39" s="43">
        <f t="shared" si="55"/>
        <v>197.62</v>
      </c>
      <c r="AA39" s="43">
        <f t="shared" si="55"/>
        <v>171.43</v>
      </c>
      <c r="AB39" s="43">
        <f t="shared" si="55"/>
        <v>0</v>
      </c>
      <c r="AC39" s="43">
        <f t="shared" si="55"/>
        <v>179.01</v>
      </c>
      <c r="AD39" s="43">
        <f t="shared" si="55"/>
        <v>216.67</v>
      </c>
      <c r="AE39" s="43">
        <f t="shared" si="55"/>
        <v>161.69</v>
      </c>
      <c r="AF39" s="43">
        <f t="shared" si="55"/>
        <v>177.11</v>
      </c>
      <c r="AG39" s="43">
        <f t="shared" si="55"/>
        <v>129.78</v>
      </c>
      <c r="AH39" s="43">
        <f t="shared" si="55"/>
        <v>142.38</v>
      </c>
      <c r="AI39" s="194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2:53" hidden="1" outlineLevel="1" x14ac:dyDescent="0.45">
      <c r="B40" s="14"/>
      <c r="C40" s="15" t="s">
        <v>56</v>
      </c>
      <c r="D40" s="38"/>
      <c r="E40" s="38">
        <v>62.36</v>
      </c>
      <c r="F40" s="38">
        <v>77.84</v>
      </c>
      <c r="G40" s="38"/>
      <c r="H40" s="38">
        <v>103.6</v>
      </c>
      <c r="I40" s="38">
        <v>146.96</v>
      </c>
      <c r="J40" s="38">
        <v>140.9</v>
      </c>
      <c r="K40" s="38">
        <v>127.78</v>
      </c>
      <c r="L40" s="38">
        <v>119.33</v>
      </c>
      <c r="M40" s="38">
        <v>84.16</v>
      </c>
      <c r="N40" s="38"/>
      <c r="O40" s="38">
        <v>109.95</v>
      </c>
      <c r="P40" s="38">
        <v>120.74</v>
      </c>
      <c r="Q40" s="137">
        <v>150.94999999999999</v>
      </c>
      <c r="R40" s="137">
        <v>113.75</v>
      </c>
      <c r="S40" s="137">
        <v>187.69</v>
      </c>
      <c r="T40" s="137">
        <v>150.44999999999999</v>
      </c>
      <c r="U40" s="137"/>
      <c r="V40" s="137">
        <v>247.32</v>
      </c>
      <c r="W40" s="137">
        <v>175.21</v>
      </c>
      <c r="X40" s="137">
        <v>157.85</v>
      </c>
      <c r="Y40" s="137">
        <v>189.43</v>
      </c>
      <c r="Z40" s="137">
        <v>197.62</v>
      </c>
      <c r="AA40" s="137">
        <v>171.43</v>
      </c>
      <c r="AB40" s="137"/>
      <c r="AC40" s="137">
        <v>179.01</v>
      </c>
      <c r="AD40" s="137">
        <v>216.67</v>
      </c>
      <c r="AE40" s="137">
        <v>161.69</v>
      </c>
      <c r="AF40" s="137">
        <v>177.11</v>
      </c>
      <c r="AG40" s="137">
        <v>129.78</v>
      </c>
      <c r="AH40" s="137">
        <v>142.38</v>
      </c>
      <c r="AI40" s="22"/>
    </row>
    <row r="41" spans="2:53" s="21" customFormat="1" ht="6.5" customHeight="1" x14ac:dyDescent="0.45">
      <c r="B41" s="128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94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2:53" s="21" customFormat="1" collapsed="1" x14ac:dyDescent="0.45">
      <c r="B42" s="17">
        <v>10</v>
      </c>
      <c r="C42" s="18" t="s">
        <v>55</v>
      </c>
      <c r="D42" s="43">
        <f t="shared" ref="D42:AH42" si="56">SUM(D43:D43)</f>
        <v>0</v>
      </c>
      <c r="E42" s="43">
        <f t="shared" si="56"/>
        <v>62.36</v>
      </c>
      <c r="F42" s="43">
        <f t="shared" si="56"/>
        <v>140.19999999999999</v>
      </c>
      <c r="G42" s="43">
        <f t="shared" si="56"/>
        <v>140.19999999999999</v>
      </c>
      <c r="H42" s="43">
        <f t="shared" si="56"/>
        <v>243.79999999999998</v>
      </c>
      <c r="I42" s="43">
        <f t="shared" si="56"/>
        <v>390.76</v>
      </c>
      <c r="J42" s="43">
        <f t="shared" si="56"/>
        <v>531.66</v>
      </c>
      <c r="K42" s="43">
        <f t="shared" si="56"/>
        <v>659.43999999999994</v>
      </c>
      <c r="L42" s="43">
        <f t="shared" si="56"/>
        <v>778.77</v>
      </c>
      <c r="M42" s="43">
        <f t="shared" si="56"/>
        <v>862.93</v>
      </c>
      <c r="N42" s="43">
        <f t="shared" si="56"/>
        <v>862.93</v>
      </c>
      <c r="O42" s="43">
        <f t="shared" si="56"/>
        <v>972.88</v>
      </c>
      <c r="P42" s="43">
        <f t="shared" si="56"/>
        <v>1093.6199999999999</v>
      </c>
      <c r="Q42" s="43">
        <f t="shared" si="56"/>
        <v>1244.57</v>
      </c>
      <c r="R42" s="43">
        <f t="shared" si="56"/>
        <v>1358.32</v>
      </c>
      <c r="S42" s="43">
        <f t="shared" si="56"/>
        <v>1546.01</v>
      </c>
      <c r="T42" s="43">
        <f t="shared" si="56"/>
        <v>1696.46</v>
      </c>
      <c r="U42" s="43">
        <f t="shared" si="56"/>
        <v>1696.46</v>
      </c>
      <c r="V42" s="43">
        <f t="shared" si="56"/>
        <v>1943.78</v>
      </c>
      <c r="W42" s="43">
        <f t="shared" si="56"/>
        <v>2118.9899999999998</v>
      </c>
      <c r="X42" s="43">
        <f t="shared" si="56"/>
        <v>2276.8399999999997</v>
      </c>
      <c r="Y42" s="43">
        <f t="shared" si="56"/>
        <v>2466.2699999999995</v>
      </c>
      <c r="Z42" s="43">
        <f t="shared" si="56"/>
        <v>2663.8899999999994</v>
      </c>
      <c r="AA42" s="43">
        <f t="shared" si="56"/>
        <v>2835.3199999999993</v>
      </c>
      <c r="AB42" s="43">
        <f t="shared" si="56"/>
        <v>2835.3199999999993</v>
      </c>
      <c r="AC42" s="43">
        <f t="shared" si="56"/>
        <v>3014.329999999999</v>
      </c>
      <c r="AD42" s="43">
        <f t="shared" si="56"/>
        <v>3230.9999999999991</v>
      </c>
      <c r="AE42" s="43">
        <f t="shared" si="56"/>
        <v>3392.6899999999991</v>
      </c>
      <c r="AF42" s="43">
        <f t="shared" si="56"/>
        <v>3569.7999999999993</v>
      </c>
      <c r="AG42" s="43">
        <f t="shared" si="56"/>
        <v>3699.5799999999995</v>
      </c>
      <c r="AH42" s="43">
        <f t="shared" si="56"/>
        <v>3841.9599999999996</v>
      </c>
      <c r="AI42" s="194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2:53" s="21" customFormat="1" hidden="1" outlineLevel="1" x14ac:dyDescent="0.45">
      <c r="B43" s="128"/>
      <c r="C43" s="15" t="s">
        <v>56</v>
      </c>
      <c r="D43" s="38">
        <f>SUM($D39:D39)</f>
        <v>0</v>
      </c>
      <c r="E43" s="38">
        <f>SUM($D39:E39)</f>
        <v>62.36</v>
      </c>
      <c r="F43" s="38">
        <f>SUM($D39:F39)</f>
        <v>140.19999999999999</v>
      </c>
      <c r="G43" s="38">
        <f>SUM($D39:G39)</f>
        <v>140.19999999999999</v>
      </c>
      <c r="H43" s="38">
        <f>SUM($D39:H39)</f>
        <v>243.79999999999998</v>
      </c>
      <c r="I43" s="38">
        <f>SUM($D39:I39)</f>
        <v>390.76</v>
      </c>
      <c r="J43" s="38">
        <f>SUM($D39:J39)</f>
        <v>531.66</v>
      </c>
      <c r="K43" s="38">
        <f>SUM($D39:K39)</f>
        <v>659.43999999999994</v>
      </c>
      <c r="L43" s="38">
        <f>SUM($D39:L39)</f>
        <v>778.77</v>
      </c>
      <c r="M43" s="38">
        <f>SUM($D39:M39)</f>
        <v>862.93</v>
      </c>
      <c r="N43" s="38">
        <f>SUM($D39:N39)</f>
        <v>862.93</v>
      </c>
      <c r="O43" s="38">
        <f>SUM($D39:O39)</f>
        <v>972.88</v>
      </c>
      <c r="P43" s="38">
        <f>SUM($D39:P39)</f>
        <v>1093.6199999999999</v>
      </c>
      <c r="Q43" s="38">
        <f>SUM($D39:Q39)</f>
        <v>1244.57</v>
      </c>
      <c r="R43" s="38">
        <f>SUM($D39:R39)</f>
        <v>1358.32</v>
      </c>
      <c r="S43" s="38">
        <f>SUM($D39:S39)</f>
        <v>1546.01</v>
      </c>
      <c r="T43" s="38">
        <f>SUM($D39:T39)</f>
        <v>1696.46</v>
      </c>
      <c r="U43" s="38">
        <f>SUM($D39:U39)</f>
        <v>1696.46</v>
      </c>
      <c r="V43" s="38">
        <f>SUM($D39:V39)</f>
        <v>1943.78</v>
      </c>
      <c r="W43" s="38">
        <f>SUM($D39:W39)</f>
        <v>2118.9899999999998</v>
      </c>
      <c r="X43" s="38">
        <f>SUM($D39:X39)</f>
        <v>2276.8399999999997</v>
      </c>
      <c r="Y43" s="38">
        <f>SUM($D39:Y39)</f>
        <v>2466.2699999999995</v>
      </c>
      <c r="Z43" s="38">
        <f>SUM($D39:Z39)</f>
        <v>2663.8899999999994</v>
      </c>
      <c r="AA43" s="38">
        <f>SUM($D39:AA39)</f>
        <v>2835.3199999999993</v>
      </c>
      <c r="AB43" s="38">
        <f>SUM($D39:AB39)</f>
        <v>2835.3199999999993</v>
      </c>
      <c r="AC43" s="38">
        <f>SUM($D39:AC39)</f>
        <v>3014.329999999999</v>
      </c>
      <c r="AD43" s="38">
        <f>SUM($D39:AD39)</f>
        <v>3230.9999999999991</v>
      </c>
      <c r="AE43" s="38">
        <f>SUM($D39:AE39)</f>
        <v>3392.6899999999991</v>
      </c>
      <c r="AF43" s="38">
        <f>SUM($D39:AF39)</f>
        <v>3569.7999999999993</v>
      </c>
      <c r="AG43" s="38">
        <f>SUM($D39:AG39)</f>
        <v>3699.5799999999995</v>
      </c>
      <c r="AH43" s="38">
        <f>SUM($D39:AH39)</f>
        <v>3841.9599999999996</v>
      </c>
      <c r="AI43" s="194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2:53" s="27" customFormat="1" ht="12.5" customHeight="1" x14ac:dyDescent="0.45">
      <c r="B44" s="112"/>
      <c r="C44" s="113" t="s">
        <v>51</v>
      </c>
      <c r="D44" s="107">
        <f t="shared" ref="D44:AH44" si="57">$AJ$5</f>
        <v>3429.9861290322588</v>
      </c>
      <c r="E44" s="107">
        <f t="shared" si="57"/>
        <v>3429.9861290322588</v>
      </c>
      <c r="F44" s="107">
        <f t="shared" si="57"/>
        <v>3429.9861290322588</v>
      </c>
      <c r="G44" s="107">
        <f t="shared" si="57"/>
        <v>3429.9861290322588</v>
      </c>
      <c r="H44" s="107">
        <f t="shared" si="57"/>
        <v>3429.9861290322588</v>
      </c>
      <c r="I44" s="107">
        <f t="shared" si="57"/>
        <v>3429.9861290322588</v>
      </c>
      <c r="J44" s="107">
        <f t="shared" si="57"/>
        <v>3429.9861290322588</v>
      </c>
      <c r="K44" s="107">
        <f t="shared" si="57"/>
        <v>3429.9861290322588</v>
      </c>
      <c r="L44" s="107">
        <f t="shared" si="57"/>
        <v>3429.9861290322588</v>
      </c>
      <c r="M44" s="107">
        <f t="shared" si="57"/>
        <v>3429.9861290322588</v>
      </c>
      <c r="N44" s="107">
        <f t="shared" si="57"/>
        <v>3429.9861290322588</v>
      </c>
      <c r="O44" s="107">
        <f t="shared" si="57"/>
        <v>3429.9861290322588</v>
      </c>
      <c r="P44" s="107">
        <f t="shared" si="57"/>
        <v>3429.9861290322588</v>
      </c>
      <c r="Q44" s="107">
        <f t="shared" si="57"/>
        <v>3429.9861290322588</v>
      </c>
      <c r="R44" s="107">
        <f t="shared" si="57"/>
        <v>3429.9861290322588</v>
      </c>
      <c r="S44" s="107">
        <f t="shared" si="57"/>
        <v>3429.9861290322588</v>
      </c>
      <c r="T44" s="107">
        <f t="shared" si="57"/>
        <v>3429.9861290322588</v>
      </c>
      <c r="U44" s="107">
        <f t="shared" si="57"/>
        <v>3429.9861290322588</v>
      </c>
      <c r="V44" s="107">
        <f t="shared" si="57"/>
        <v>3429.9861290322588</v>
      </c>
      <c r="W44" s="107">
        <f t="shared" si="57"/>
        <v>3429.9861290322588</v>
      </c>
      <c r="X44" s="107">
        <f t="shared" si="57"/>
        <v>3429.9861290322588</v>
      </c>
      <c r="Y44" s="107">
        <f t="shared" si="57"/>
        <v>3429.9861290322588</v>
      </c>
      <c r="Z44" s="107">
        <f t="shared" si="57"/>
        <v>3429.9861290322588</v>
      </c>
      <c r="AA44" s="107">
        <f t="shared" si="57"/>
        <v>3429.9861290322588</v>
      </c>
      <c r="AB44" s="107">
        <f t="shared" si="57"/>
        <v>3429.9861290322588</v>
      </c>
      <c r="AC44" s="107">
        <f t="shared" si="57"/>
        <v>3429.9861290322588</v>
      </c>
      <c r="AD44" s="107">
        <f t="shared" si="57"/>
        <v>3429.9861290322588</v>
      </c>
      <c r="AE44" s="107">
        <f t="shared" si="57"/>
        <v>3429.9861290322588</v>
      </c>
      <c r="AF44" s="107">
        <f t="shared" si="57"/>
        <v>3429.9861290322588</v>
      </c>
      <c r="AG44" s="107">
        <f t="shared" si="57"/>
        <v>3429.9861290322588</v>
      </c>
      <c r="AH44" s="107">
        <f t="shared" si="57"/>
        <v>3429.9861290322588</v>
      </c>
      <c r="AI44" s="22"/>
    </row>
    <row r="45" spans="2:53" s="27" customFormat="1" ht="12.5" customHeight="1" x14ac:dyDescent="0.45">
      <c r="B45" s="32"/>
      <c r="C45" s="27" t="str">
        <f>IF(B1="EN","AVG Sales Volume_Plan","BQ sản lượng kế hoạch")</f>
        <v>BQ sản lượng kế hoạch</v>
      </c>
      <c r="D45" s="22">
        <f t="shared" ref="D45:AH45" si="58">$AL$5</f>
        <v>143.94076442253794</v>
      </c>
      <c r="E45" s="22">
        <f t="shared" si="58"/>
        <v>143.94076442253794</v>
      </c>
      <c r="F45" s="22">
        <f t="shared" si="58"/>
        <v>143.94076442253794</v>
      </c>
      <c r="G45" s="22">
        <f t="shared" si="58"/>
        <v>143.94076442253794</v>
      </c>
      <c r="H45" s="22">
        <f t="shared" si="58"/>
        <v>143.94076442253794</v>
      </c>
      <c r="I45" s="22">
        <f t="shared" si="58"/>
        <v>143.94076442253794</v>
      </c>
      <c r="J45" s="22">
        <f t="shared" si="58"/>
        <v>143.94076442253794</v>
      </c>
      <c r="K45" s="22">
        <f t="shared" si="58"/>
        <v>143.94076442253794</v>
      </c>
      <c r="L45" s="22">
        <f t="shared" si="58"/>
        <v>143.94076442253794</v>
      </c>
      <c r="M45" s="22">
        <f t="shared" si="58"/>
        <v>143.94076442253794</v>
      </c>
      <c r="N45" s="22">
        <f t="shared" si="58"/>
        <v>143.94076442253794</v>
      </c>
      <c r="O45" s="22">
        <f t="shared" si="58"/>
        <v>143.94076442253794</v>
      </c>
      <c r="P45" s="22">
        <f t="shared" si="58"/>
        <v>143.94076442253794</v>
      </c>
      <c r="Q45" s="22">
        <f t="shared" si="58"/>
        <v>143.94076442253794</v>
      </c>
      <c r="R45" s="22">
        <f t="shared" si="58"/>
        <v>143.94076442253794</v>
      </c>
      <c r="S45" s="22">
        <f t="shared" si="58"/>
        <v>143.94076442253794</v>
      </c>
      <c r="T45" s="22">
        <f t="shared" si="58"/>
        <v>143.94076442253794</v>
      </c>
      <c r="U45" s="22">
        <f t="shared" si="58"/>
        <v>143.94076442253794</v>
      </c>
      <c r="V45" s="22">
        <f t="shared" si="58"/>
        <v>143.94076442253794</v>
      </c>
      <c r="W45" s="22">
        <f t="shared" si="58"/>
        <v>143.94076442253794</v>
      </c>
      <c r="X45" s="22">
        <f t="shared" si="58"/>
        <v>143.94076442253794</v>
      </c>
      <c r="Y45" s="22">
        <f t="shared" si="58"/>
        <v>143.94076442253794</v>
      </c>
      <c r="Z45" s="22">
        <f t="shared" si="58"/>
        <v>143.94076442253794</v>
      </c>
      <c r="AA45" s="22">
        <f t="shared" si="58"/>
        <v>143.94076442253794</v>
      </c>
      <c r="AB45" s="22">
        <f t="shared" si="58"/>
        <v>143.94076442253794</v>
      </c>
      <c r="AC45" s="22">
        <f t="shared" si="58"/>
        <v>143.94076442253794</v>
      </c>
      <c r="AD45" s="22">
        <f t="shared" si="58"/>
        <v>143.94076442253794</v>
      </c>
      <c r="AE45" s="22">
        <f t="shared" si="58"/>
        <v>143.94076442253794</v>
      </c>
      <c r="AF45" s="22">
        <f t="shared" si="58"/>
        <v>143.94076442253794</v>
      </c>
      <c r="AG45" s="22">
        <f t="shared" si="58"/>
        <v>143.94076442253794</v>
      </c>
      <c r="AH45" s="22">
        <f t="shared" si="58"/>
        <v>143.94076442253794</v>
      </c>
      <c r="AI45" s="22"/>
    </row>
    <row r="46" spans="2:53" s="27" customFormat="1" ht="12.75" customHeight="1" x14ac:dyDescent="0.45">
      <c r="B46" s="32"/>
      <c r="C46" s="27" t="str">
        <f>IF(B1="EN","AVG Sales Volume_Actual","BQ sản lượng thực tế")</f>
        <v>BQ sản lượng thực tế</v>
      </c>
      <c r="D46" s="22">
        <f t="shared" ref="D46:AH46" si="59">$AI$20</f>
        <v>113.32193548387096</v>
      </c>
      <c r="E46" s="22">
        <f t="shared" si="59"/>
        <v>113.32193548387096</v>
      </c>
      <c r="F46" s="22">
        <f t="shared" si="59"/>
        <v>113.32193548387096</v>
      </c>
      <c r="G46" s="22">
        <f t="shared" si="59"/>
        <v>113.32193548387096</v>
      </c>
      <c r="H46" s="22">
        <f t="shared" si="59"/>
        <v>113.32193548387096</v>
      </c>
      <c r="I46" s="22">
        <f t="shared" si="59"/>
        <v>113.32193548387096</v>
      </c>
      <c r="J46" s="22">
        <f t="shared" si="59"/>
        <v>113.32193548387096</v>
      </c>
      <c r="K46" s="22">
        <f t="shared" si="59"/>
        <v>113.32193548387096</v>
      </c>
      <c r="L46" s="22">
        <f t="shared" si="59"/>
        <v>113.32193548387096</v>
      </c>
      <c r="M46" s="22">
        <f t="shared" si="59"/>
        <v>113.32193548387096</v>
      </c>
      <c r="N46" s="22">
        <f t="shared" si="59"/>
        <v>113.32193548387096</v>
      </c>
      <c r="O46" s="22">
        <f t="shared" si="59"/>
        <v>113.32193548387096</v>
      </c>
      <c r="P46" s="22">
        <f t="shared" si="59"/>
        <v>113.32193548387096</v>
      </c>
      <c r="Q46" s="22">
        <f t="shared" si="59"/>
        <v>113.32193548387096</v>
      </c>
      <c r="R46" s="22">
        <f t="shared" si="59"/>
        <v>113.32193548387096</v>
      </c>
      <c r="S46" s="22">
        <f t="shared" si="59"/>
        <v>113.32193548387096</v>
      </c>
      <c r="T46" s="22">
        <f t="shared" si="59"/>
        <v>113.32193548387096</v>
      </c>
      <c r="U46" s="22">
        <f t="shared" si="59"/>
        <v>113.32193548387096</v>
      </c>
      <c r="V46" s="22">
        <f t="shared" si="59"/>
        <v>113.32193548387096</v>
      </c>
      <c r="W46" s="22">
        <f t="shared" si="59"/>
        <v>113.32193548387096</v>
      </c>
      <c r="X46" s="22">
        <f t="shared" si="59"/>
        <v>113.32193548387096</v>
      </c>
      <c r="Y46" s="22">
        <f t="shared" si="59"/>
        <v>113.32193548387096</v>
      </c>
      <c r="Z46" s="22">
        <f t="shared" si="59"/>
        <v>113.32193548387096</v>
      </c>
      <c r="AA46" s="22">
        <f t="shared" si="59"/>
        <v>113.32193548387096</v>
      </c>
      <c r="AB46" s="22">
        <f t="shared" si="59"/>
        <v>113.32193548387096</v>
      </c>
      <c r="AC46" s="22">
        <f t="shared" si="59"/>
        <v>113.32193548387096</v>
      </c>
      <c r="AD46" s="22">
        <f t="shared" si="59"/>
        <v>113.32193548387096</v>
      </c>
      <c r="AE46" s="22">
        <f t="shared" si="59"/>
        <v>113.32193548387096</v>
      </c>
      <c r="AF46" s="22">
        <f t="shared" si="59"/>
        <v>113.32193548387096</v>
      </c>
      <c r="AG46" s="22">
        <f t="shared" si="59"/>
        <v>113.32193548387096</v>
      </c>
      <c r="AH46" s="22">
        <f t="shared" si="59"/>
        <v>113.32193548387096</v>
      </c>
      <c r="AI46" s="22"/>
    </row>
    <row r="47" spans="2:53" s="27" customFormat="1" ht="15.75" customHeight="1" x14ac:dyDescent="0.45">
      <c r="B47" s="32"/>
      <c r="C47" s="27" t="str">
        <f>IF(B1="EN","Estimated","Dự kiến cả tháng")</f>
        <v>Dự kiến cả tháng</v>
      </c>
    </row>
    <row r="48" spans="2:53" s="27" customFormat="1" ht="14.25" customHeight="1" x14ac:dyDescent="0.45">
      <c r="B48" s="32"/>
      <c r="C48" s="27" t="str">
        <f>IF(B1="EN","MTD Net Sales","Luỹ kế doanh thu từ đầu tháng")</f>
        <v>Luỹ kế doanh thu từ đầu tháng</v>
      </c>
    </row>
    <row r="49" spans="2:36" s="27" customFormat="1" x14ac:dyDescent="0.45">
      <c r="B49" s="80" t="str">
        <f>IF(B1="EN","MTD Net Sales - B2B"," Doanh thu luỹ kế từ đầu tháng - B2B")</f>
        <v xml:space="preserve"> Doanh thu luỹ kế từ đầu tháng - B2B</v>
      </c>
      <c r="D49" s="22">
        <f t="shared" ref="D49:AI49" si="60">D11</f>
        <v>0</v>
      </c>
      <c r="E49" s="22">
        <f t="shared" si="60"/>
        <v>0</v>
      </c>
      <c r="F49" s="22">
        <f t="shared" si="60"/>
        <v>0</v>
      </c>
      <c r="G49" s="22">
        <f t="shared" si="60"/>
        <v>0</v>
      </c>
      <c r="H49" s="22">
        <f t="shared" si="60"/>
        <v>1503.8230000000001</v>
      </c>
      <c r="I49" s="22">
        <f t="shared" si="60"/>
        <v>1609.0330000000001</v>
      </c>
      <c r="J49" s="22">
        <f t="shared" si="60"/>
        <v>2434.2350000000001</v>
      </c>
      <c r="K49" s="22">
        <f t="shared" si="60"/>
        <v>3211.8560000000002</v>
      </c>
      <c r="L49" s="22">
        <f t="shared" si="60"/>
        <v>4816.0560000000005</v>
      </c>
      <c r="M49" s="22">
        <f t="shared" si="60"/>
        <v>6665.2960000000003</v>
      </c>
      <c r="N49" s="22">
        <f t="shared" si="60"/>
        <v>6665.2960000000003</v>
      </c>
      <c r="O49" s="22">
        <f t="shared" si="60"/>
        <v>9760.2570000000014</v>
      </c>
      <c r="P49" s="22">
        <f t="shared" si="60"/>
        <v>13540.208000000002</v>
      </c>
      <c r="Q49" s="22">
        <f t="shared" si="60"/>
        <v>14460.475000000002</v>
      </c>
      <c r="R49" s="22">
        <f t="shared" si="60"/>
        <v>15417.691000000003</v>
      </c>
      <c r="S49" s="22">
        <f t="shared" si="60"/>
        <v>16311.173000000003</v>
      </c>
      <c r="T49" s="22">
        <f t="shared" si="60"/>
        <v>19013.193000000003</v>
      </c>
      <c r="U49" s="22">
        <f t="shared" si="60"/>
        <v>19013.193000000003</v>
      </c>
      <c r="V49" s="22">
        <f t="shared" si="60"/>
        <v>21357.783000000003</v>
      </c>
      <c r="W49" s="22">
        <f t="shared" si="60"/>
        <v>23260.059000000001</v>
      </c>
      <c r="X49" s="22">
        <f t="shared" si="60"/>
        <v>26326.353000000003</v>
      </c>
      <c r="Y49" s="22">
        <f t="shared" si="60"/>
        <v>27931.853000000003</v>
      </c>
      <c r="Z49" s="22">
        <f t="shared" si="60"/>
        <v>29548.263000000003</v>
      </c>
      <c r="AA49" s="22">
        <f t="shared" si="60"/>
        <v>30777.263000000003</v>
      </c>
      <c r="AB49" s="22">
        <f t="shared" si="60"/>
        <v>30777.263000000003</v>
      </c>
      <c r="AC49" s="22">
        <f t="shared" si="60"/>
        <v>33233.563000000002</v>
      </c>
      <c r="AD49" s="22">
        <f t="shared" si="60"/>
        <v>33615.17</v>
      </c>
      <c r="AE49" s="22">
        <f t="shared" si="60"/>
        <v>34693.574999999997</v>
      </c>
      <c r="AF49" s="22">
        <f t="shared" si="60"/>
        <v>34790.800999999999</v>
      </c>
      <c r="AG49" s="22">
        <f t="shared" si="60"/>
        <v>36791.599999999999</v>
      </c>
      <c r="AH49" s="22">
        <f t="shared" si="60"/>
        <v>38113.06</v>
      </c>
      <c r="AI49" s="22">
        <f t="shared" si="60"/>
        <v>60334.1510259477</v>
      </c>
      <c r="AJ49" s="22"/>
    </row>
    <row r="50" spans="2:36" s="27" customFormat="1" x14ac:dyDescent="0.45">
      <c r="B50" s="80" t="str">
        <f>IF(B1="EN","MTD Net Sales - Export"," Doanh thu luỹ kế từ đầu tháng - Xuất khẩu")</f>
        <v xml:space="preserve"> Doanh thu luỹ kế từ đầu tháng - Xuất khẩu</v>
      </c>
      <c r="D50" s="22">
        <f t="shared" ref="D50:AH50" si="61">D12</f>
        <v>0</v>
      </c>
      <c r="E50" s="22">
        <f t="shared" si="61"/>
        <v>0</v>
      </c>
      <c r="F50" s="22">
        <f t="shared" si="61"/>
        <v>0</v>
      </c>
      <c r="G50" s="22">
        <f t="shared" si="61"/>
        <v>0</v>
      </c>
      <c r="H50" s="22">
        <f t="shared" si="61"/>
        <v>0</v>
      </c>
      <c r="I50" s="22">
        <f t="shared" si="61"/>
        <v>0</v>
      </c>
      <c r="J50" s="22">
        <f t="shared" si="61"/>
        <v>9784.52</v>
      </c>
      <c r="K50" s="22">
        <f t="shared" si="61"/>
        <v>19483.190000000002</v>
      </c>
      <c r="L50" s="22">
        <f t="shared" si="61"/>
        <v>19483.190000000002</v>
      </c>
      <c r="M50" s="22">
        <f t="shared" si="61"/>
        <v>19483.190000000002</v>
      </c>
      <c r="N50" s="22">
        <f t="shared" si="61"/>
        <v>19483.190000000002</v>
      </c>
      <c r="O50" s="22">
        <f t="shared" si="61"/>
        <v>25717.58</v>
      </c>
      <c r="P50" s="22">
        <f t="shared" si="61"/>
        <v>25717.58</v>
      </c>
      <c r="Q50" s="22">
        <f t="shared" si="61"/>
        <v>25717.58</v>
      </c>
      <c r="R50" s="22">
        <f t="shared" si="61"/>
        <v>32242.340000000004</v>
      </c>
      <c r="S50" s="22">
        <f t="shared" si="61"/>
        <v>32242.340000000004</v>
      </c>
      <c r="T50" s="22">
        <f t="shared" si="61"/>
        <v>38476.730000000003</v>
      </c>
      <c r="U50" s="22">
        <f t="shared" si="61"/>
        <v>38476.730000000003</v>
      </c>
      <c r="V50" s="22">
        <f t="shared" si="61"/>
        <v>38476.730000000003</v>
      </c>
      <c r="W50" s="22">
        <f t="shared" si="61"/>
        <v>38476.730000000003</v>
      </c>
      <c r="X50" s="22">
        <f t="shared" si="61"/>
        <v>38476.730000000003</v>
      </c>
      <c r="Y50" s="22">
        <f t="shared" si="61"/>
        <v>43671.26</v>
      </c>
      <c r="Z50" s="22">
        <f t="shared" si="61"/>
        <v>44089.990000000005</v>
      </c>
      <c r="AA50" s="22">
        <f t="shared" si="61"/>
        <v>51570.400000000009</v>
      </c>
      <c r="AB50" s="22">
        <f t="shared" si="61"/>
        <v>51570.400000000009</v>
      </c>
      <c r="AC50" s="22">
        <f t="shared" si="61"/>
        <v>52284.69000000001</v>
      </c>
      <c r="AD50" s="22">
        <f t="shared" si="61"/>
        <v>52284.69000000001</v>
      </c>
      <c r="AE50" s="22">
        <f t="shared" si="61"/>
        <v>52284.69000000001</v>
      </c>
      <c r="AF50" s="22">
        <f t="shared" si="61"/>
        <v>52284.69000000001</v>
      </c>
      <c r="AG50" s="22">
        <f t="shared" si="61"/>
        <v>52958.87000000001</v>
      </c>
      <c r="AH50" s="22">
        <f t="shared" si="61"/>
        <v>53472.090000000011</v>
      </c>
      <c r="AI50" s="22">
        <f>AI12</f>
        <v>70989.019090909074</v>
      </c>
    </row>
    <row r="51" spans="2:36" s="53" customFormat="1" ht="14" x14ac:dyDescent="0.4">
      <c r="B51" s="52"/>
      <c r="C51" s="53" t="s">
        <v>10</v>
      </c>
      <c r="D51" s="54">
        <f>$AI$11/$AI$1</f>
        <v>2011.1383675315899</v>
      </c>
      <c r="E51" s="54">
        <f t="shared" ref="E51:AH51" si="62">$AI$11/$AI$1+D51</f>
        <v>4022.2767350631798</v>
      </c>
      <c r="F51" s="54">
        <f t="shared" si="62"/>
        <v>6033.4151025947695</v>
      </c>
      <c r="G51" s="54">
        <f t="shared" si="62"/>
        <v>8044.5534701263596</v>
      </c>
      <c r="H51" s="54">
        <f t="shared" si="62"/>
        <v>10055.691837657949</v>
      </c>
      <c r="I51" s="54">
        <f t="shared" si="62"/>
        <v>12066.830205189539</v>
      </c>
      <c r="J51" s="54">
        <f t="shared" si="62"/>
        <v>14077.968572721129</v>
      </c>
      <c r="K51" s="54">
        <f t="shared" si="62"/>
        <v>16089.106940252719</v>
      </c>
      <c r="L51" s="54">
        <f t="shared" si="62"/>
        <v>18100.245307784309</v>
      </c>
      <c r="M51" s="54">
        <f t="shared" si="62"/>
        <v>20111.383675315898</v>
      </c>
      <c r="N51" s="54">
        <f t="shared" si="62"/>
        <v>22122.522042847486</v>
      </c>
      <c r="O51" s="54">
        <f t="shared" si="62"/>
        <v>24133.660410379074</v>
      </c>
      <c r="P51" s="54">
        <f t="shared" si="62"/>
        <v>26144.798777910662</v>
      </c>
      <c r="Q51" s="54">
        <f t="shared" si="62"/>
        <v>28155.937145442251</v>
      </c>
      <c r="R51" s="54">
        <f t="shared" si="62"/>
        <v>30167.075512973839</v>
      </c>
      <c r="S51" s="54">
        <f t="shared" si="62"/>
        <v>32178.213880505427</v>
      </c>
      <c r="T51" s="54">
        <f t="shared" si="62"/>
        <v>34189.352248037016</v>
      </c>
      <c r="U51" s="54">
        <f t="shared" si="62"/>
        <v>36200.490615568604</v>
      </c>
      <c r="V51" s="54">
        <f t="shared" si="62"/>
        <v>38211.628983100192</v>
      </c>
      <c r="W51" s="54">
        <f t="shared" si="62"/>
        <v>40222.767350631781</v>
      </c>
      <c r="X51" s="54">
        <f t="shared" si="62"/>
        <v>42233.905718163369</v>
      </c>
      <c r="Y51" s="54">
        <f t="shared" si="62"/>
        <v>44245.044085694957</v>
      </c>
      <c r="Z51" s="54">
        <f t="shared" si="62"/>
        <v>46256.182453226545</v>
      </c>
      <c r="AA51" s="54">
        <f t="shared" si="62"/>
        <v>48267.320820758134</v>
      </c>
      <c r="AB51" s="54">
        <f t="shared" si="62"/>
        <v>50278.459188289722</v>
      </c>
      <c r="AC51" s="54">
        <f t="shared" si="62"/>
        <v>52289.59755582131</v>
      </c>
      <c r="AD51" s="54">
        <f t="shared" si="62"/>
        <v>54300.735923352899</v>
      </c>
      <c r="AE51" s="54">
        <f t="shared" si="62"/>
        <v>56311.874290884487</v>
      </c>
      <c r="AF51" s="54">
        <f t="shared" si="62"/>
        <v>58323.012658416075</v>
      </c>
      <c r="AG51" s="54">
        <f t="shared" si="62"/>
        <v>60334.151025947664</v>
      </c>
      <c r="AH51" s="54">
        <f t="shared" si="62"/>
        <v>62345.289393479252</v>
      </c>
      <c r="AI51" s="54"/>
    </row>
    <row r="52" spans="2:36" s="53" customFormat="1" ht="14" x14ac:dyDescent="0.4">
      <c r="B52" s="52"/>
      <c r="C52" s="53" t="s">
        <v>11</v>
      </c>
      <c r="D52" s="54">
        <f>$AI$12/$AI$1</f>
        <v>2366.3006363636359</v>
      </c>
      <c r="E52" s="54">
        <f t="shared" ref="E52:AH52" si="63">D52+$AI$12/$AI$1</f>
        <v>4732.6012727272719</v>
      </c>
      <c r="F52" s="54">
        <f t="shared" si="63"/>
        <v>7098.9019090909078</v>
      </c>
      <c r="G52" s="54">
        <f t="shared" si="63"/>
        <v>9465.2025454545437</v>
      </c>
      <c r="H52" s="54">
        <f t="shared" si="63"/>
        <v>11831.50318181818</v>
      </c>
      <c r="I52" s="54">
        <f t="shared" si="63"/>
        <v>14197.803818181816</v>
      </c>
      <c r="J52" s="54">
        <f t="shared" si="63"/>
        <v>16564.10445454545</v>
      </c>
      <c r="K52" s="54">
        <f t="shared" si="63"/>
        <v>18930.405090909087</v>
      </c>
      <c r="L52" s="54">
        <f t="shared" si="63"/>
        <v>21296.705727272725</v>
      </c>
      <c r="M52" s="54">
        <f t="shared" si="63"/>
        <v>23663.006363636363</v>
      </c>
      <c r="N52" s="54">
        <f t="shared" si="63"/>
        <v>26029.307000000001</v>
      </c>
      <c r="O52" s="54">
        <f t="shared" si="63"/>
        <v>28395.607636363638</v>
      </c>
      <c r="P52" s="54">
        <f t="shared" si="63"/>
        <v>30761.908272727276</v>
      </c>
      <c r="Q52" s="54">
        <f t="shared" si="63"/>
        <v>33128.208909090914</v>
      </c>
      <c r="R52" s="54">
        <f t="shared" si="63"/>
        <v>35494.509545454552</v>
      </c>
      <c r="S52" s="54">
        <f t="shared" si="63"/>
        <v>37860.810181818189</v>
      </c>
      <c r="T52" s="54">
        <f t="shared" si="63"/>
        <v>40227.110818181827</v>
      </c>
      <c r="U52" s="54">
        <f t="shared" si="63"/>
        <v>42593.411454545465</v>
      </c>
      <c r="V52" s="54">
        <f t="shared" si="63"/>
        <v>44959.712090909103</v>
      </c>
      <c r="W52" s="54">
        <f t="shared" si="63"/>
        <v>47326.01272727274</v>
      </c>
      <c r="X52" s="54">
        <f t="shared" si="63"/>
        <v>49692.313363636378</v>
      </c>
      <c r="Y52" s="54">
        <f t="shared" si="63"/>
        <v>52058.614000000016</v>
      </c>
      <c r="Z52" s="54">
        <f t="shared" si="63"/>
        <v>54424.914636363654</v>
      </c>
      <c r="AA52" s="54">
        <f t="shared" si="63"/>
        <v>56791.215272727291</v>
      </c>
      <c r="AB52" s="54">
        <f t="shared" si="63"/>
        <v>59157.515909090929</v>
      </c>
      <c r="AC52" s="54">
        <f t="shared" si="63"/>
        <v>61523.816545454567</v>
      </c>
      <c r="AD52" s="54">
        <f t="shared" si="63"/>
        <v>63890.117181818205</v>
      </c>
      <c r="AE52" s="54">
        <f t="shared" si="63"/>
        <v>66256.417818181842</v>
      </c>
      <c r="AF52" s="54">
        <f t="shared" si="63"/>
        <v>68622.71845454548</v>
      </c>
      <c r="AG52" s="54">
        <f t="shared" si="63"/>
        <v>70989.019090909118</v>
      </c>
      <c r="AH52" s="54">
        <f t="shared" si="63"/>
        <v>73355.319727272756</v>
      </c>
      <c r="AI52" s="54"/>
    </row>
    <row r="53" spans="2:36" s="27" customFormat="1" x14ac:dyDescent="0.45">
      <c r="B53" s="32"/>
    </row>
    <row r="54" spans="2:36" s="27" customFormat="1" x14ac:dyDescent="0.45">
      <c r="B54" s="32"/>
    </row>
    <row r="55" spans="2:36" s="27" customFormat="1" x14ac:dyDescent="0.45">
      <c r="B55" s="32"/>
    </row>
    <row r="56" spans="2:36" s="27" customFormat="1" x14ac:dyDescent="0.45">
      <c r="B56" s="3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2:36" s="27" customFormat="1" x14ac:dyDescent="0.45">
      <c r="B57" s="3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2:36" s="27" customFormat="1" x14ac:dyDescent="0.45">
      <c r="B58" s="3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2:36" s="27" customFormat="1" x14ac:dyDescent="0.45">
      <c r="B59" s="3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2:36" s="27" customFormat="1" x14ac:dyDescent="0.45">
      <c r="B60" s="3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2:36" s="27" customFormat="1" x14ac:dyDescent="0.45">
      <c r="B61" s="3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2:36" s="27" customFormat="1" x14ac:dyDescent="0.45">
      <c r="B62" s="3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2:36" s="27" customFormat="1" x14ac:dyDescent="0.45">
      <c r="B63" s="3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2:36" s="27" customFormat="1" x14ac:dyDescent="0.45">
      <c r="B64" s="32"/>
      <c r="Q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2:53" s="27" customFormat="1" x14ac:dyDescent="0.45">
      <c r="B65" s="3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2:53" s="50" customFormat="1" x14ac:dyDescent="0.45">
      <c r="B66" s="51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spans="2:53" s="50" customFormat="1" x14ac:dyDescent="0.45">
      <c r="B67" s="5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</sheetData>
  <dataValidations count="1">
    <dataValidation type="list" allowBlank="1" showInputMessage="1" showErrorMessage="1" sqref="B1" xr:uid="{61C2DFA1-CEDF-49B6-96BD-681A5FBB9AE0}">
      <formula1>"EN,VN"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7D34-E1C8-4C16-9D99-9F09203097FC}">
  <dimension ref="A1:CD28"/>
  <sheetViews>
    <sheetView showGridLines="0" zoomScale="90" zoomScaleNormal="90" workbookViewId="0">
      <pane xSplit="2" ySplit="4" topLeftCell="BQ5" activePane="bottomRight" state="frozen"/>
      <selection pane="topRight" activeCell="C1" sqref="C1"/>
      <selection pane="bottomLeft" activeCell="A5" sqref="A5"/>
      <selection pane="bottomRight" activeCell="BX9" sqref="BX9"/>
    </sheetView>
  </sheetViews>
  <sheetFormatPr defaultColWidth="8.90625" defaultRowHeight="15.5" outlineLevelRow="1" outlineLevelCol="1" x14ac:dyDescent="0.35"/>
  <cols>
    <col min="1" max="1" width="5.54296875" style="157" customWidth="1"/>
    <col min="2" max="2" width="41.1796875" style="146" customWidth="1"/>
    <col min="3" max="8" width="10.08984375" style="146" hidden="1" customWidth="1" outlineLevel="1"/>
    <col min="9" max="9" width="11.26953125" style="146" hidden="1" customWidth="1" outlineLevel="1"/>
    <col min="10" max="13" width="10.08984375" style="146" hidden="1" customWidth="1" outlineLevel="1"/>
    <col min="14" max="14" width="11.26953125" style="146" hidden="1" customWidth="1" outlineLevel="1"/>
    <col min="15" max="23" width="10.08984375" style="146" hidden="1" customWidth="1" outlineLevel="1"/>
    <col min="24" max="24" width="11.26953125" style="146" hidden="1" customWidth="1" outlineLevel="1"/>
    <col min="25" max="28" width="10.08984375" style="146" hidden="1" customWidth="1" outlineLevel="1"/>
    <col min="29" max="29" width="11.26953125" style="146" hidden="1" customWidth="1" outlineLevel="1"/>
    <col min="30" max="33" width="10.08984375" style="146" hidden="1" customWidth="1" outlineLevel="1"/>
    <col min="34" max="34" width="11.26953125" style="146" hidden="1" customWidth="1" outlineLevel="1"/>
    <col min="35" max="38" width="10.08984375" style="146" hidden="1" customWidth="1" outlineLevel="1"/>
    <col min="39" max="39" width="11.26953125" style="146" hidden="1" customWidth="1" outlineLevel="1"/>
    <col min="40" max="43" width="10.08984375" style="146" hidden="1" customWidth="1" outlineLevel="1"/>
    <col min="44" max="44" width="11.26953125" style="146" hidden="1" customWidth="1" outlineLevel="1"/>
    <col min="45" max="52" width="10.08984375" style="146" hidden="1" customWidth="1" outlineLevel="1"/>
    <col min="53" max="53" width="9.6328125" style="146" hidden="1" customWidth="1" outlineLevel="1"/>
    <col min="54" max="54" width="11.26953125" style="146" hidden="1" customWidth="1" outlineLevel="1"/>
    <col min="55" max="58" width="9.6328125" style="146" hidden="1" customWidth="1" outlineLevel="1"/>
    <col min="59" max="59" width="11.26953125" style="146" hidden="1" customWidth="1" outlineLevel="1"/>
    <col min="60" max="62" width="9.6328125" style="146" hidden="1" customWidth="1" outlineLevel="1"/>
    <col min="63" max="63" width="9.6328125" style="146" customWidth="1" outlineLevel="1"/>
    <col min="64" max="64" width="11.26953125" style="146" bestFit="1" customWidth="1" outlineLevel="1"/>
    <col min="65" max="68" width="9.6328125" style="146" customWidth="1" outlineLevel="1"/>
    <col min="69" max="69" width="11.26953125" style="146" bestFit="1" customWidth="1" outlineLevel="1"/>
    <col min="70" max="73" width="9.6328125" style="146" customWidth="1" outlineLevel="1"/>
    <col min="74" max="74" width="11.26953125" style="146" bestFit="1" customWidth="1" outlineLevel="1"/>
    <col min="75" max="77" width="9.6328125" style="146" customWidth="1" outlineLevel="1"/>
    <col min="78" max="78" width="12.6328125" style="146" customWidth="1"/>
    <col min="79" max="79" width="12.453125" style="148" bestFit="1" customWidth="1"/>
    <col min="80" max="80" width="10.54296875" style="146" customWidth="1"/>
    <col min="81" max="81" width="10.1796875" style="146" customWidth="1"/>
    <col min="82" max="82" width="9.36328125" style="146" customWidth="1"/>
    <col min="83" max="16384" width="8.90625" style="146"/>
  </cols>
  <sheetData>
    <row r="1" spans="1:82" x14ac:dyDescent="0.35">
      <c r="B1" s="146" t="s">
        <v>65</v>
      </c>
      <c r="C1" s="154"/>
      <c r="D1" s="154">
        <v>25210</v>
      </c>
      <c r="E1" s="154"/>
      <c r="F1" s="154"/>
      <c r="G1" s="154"/>
      <c r="H1" s="154"/>
      <c r="I1" s="154">
        <v>25210</v>
      </c>
      <c r="J1" s="154"/>
      <c r="K1" s="154"/>
      <c r="L1" s="154"/>
      <c r="M1" s="154"/>
      <c r="N1" s="154">
        <v>25110</v>
      </c>
      <c r="O1" s="154"/>
      <c r="P1" s="154"/>
      <c r="Q1" s="154"/>
      <c r="R1" s="154"/>
      <c r="S1" s="154">
        <v>24910</v>
      </c>
      <c r="T1" s="154"/>
      <c r="U1" s="154"/>
      <c r="V1" s="154"/>
      <c r="W1" s="154"/>
      <c r="X1" s="154">
        <v>25200</v>
      </c>
      <c r="Y1" s="154"/>
      <c r="Z1" s="154"/>
      <c r="AA1" s="154"/>
      <c r="AB1" s="154"/>
      <c r="AC1" s="154">
        <v>25290</v>
      </c>
      <c r="AD1" s="154"/>
      <c r="AE1" s="154"/>
      <c r="AF1" s="154"/>
      <c r="AG1" s="154"/>
      <c r="AH1" s="154">
        <v>25320</v>
      </c>
      <c r="AI1" s="154"/>
      <c r="AJ1" s="154"/>
      <c r="AK1" s="154"/>
      <c r="AL1" s="154"/>
      <c r="AM1" s="154">
        <v>25430</v>
      </c>
      <c r="AN1" s="154"/>
      <c r="AO1" s="154"/>
      <c r="AP1" s="154"/>
      <c r="AQ1" s="154"/>
      <c r="AR1" s="154">
        <v>25350</v>
      </c>
      <c r="AS1" s="154"/>
      <c r="AT1" s="154"/>
      <c r="AU1" s="154"/>
      <c r="AV1" s="154"/>
      <c r="AW1" s="154">
        <v>25360</v>
      </c>
      <c r="AX1" s="154"/>
      <c r="AY1" s="154"/>
      <c r="AZ1" s="154"/>
      <c r="BA1" s="154"/>
      <c r="BB1" s="154">
        <v>25460</v>
      </c>
      <c r="BC1" s="154"/>
      <c r="BD1" s="154"/>
      <c r="BE1" s="154"/>
      <c r="BF1" s="154"/>
      <c r="BG1" s="154">
        <v>25380</v>
      </c>
      <c r="BH1" s="154"/>
      <c r="BI1" s="154"/>
      <c r="BJ1" s="154"/>
      <c r="BK1" s="154"/>
      <c r="BL1" s="154">
        <v>25610</v>
      </c>
      <c r="BM1" s="154"/>
      <c r="BN1" s="154"/>
      <c r="BO1" s="154"/>
      <c r="BP1" s="154"/>
      <c r="BQ1" s="154">
        <v>25650</v>
      </c>
      <c r="BR1" s="154"/>
      <c r="BS1" s="154"/>
      <c r="BT1" s="154"/>
      <c r="BU1" s="154"/>
      <c r="BV1" s="154">
        <v>25710</v>
      </c>
      <c r="BW1" s="154"/>
      <c r="BX1" s="154"/>
      <c r="BY1" s="154"/>
    </row>
    <row r="2" spans="1:82" ht="13.75" customHeight="1" x14ac:dyDescent="0.35">
      <c r="A2" s="218" t="s">
        <v>57</v>
      </c>
      <c r="B2" s="215" t="s">
        <v>75</v>
      </c>
      <c r="C2" s="209" t="s">
        <v>60</v>
      </c>
      <c r="D2" s="210"/>
      <c r="E2" s="210"/>
      <c r="F2" s="210"/>
      <c r="G2" s="211"/>
      <c r="H2" s="209" t="s">
        <v>80</v>
      </c>
      <c r="I2" s="210"/>
      <c r="J2" s="210"/>
      <c r="K2" s="210"/>
      <c r="L2" s="211"/>
      <c r="M2" s="209" t="s">
        <v>81</v>
      </c>
      <c r="N2" s="210"/>
      <c r="O2" s="210"/>
      <c r="P2" s="210"/>
      <c r="Q2" s="211"/>
      <c r="R2" s="209" t="s">
        <v>82</v>
      </c>
      <c r="S2" s="210"/>
      <c r="T2" s="210"/>
      <c r="U2" s="210"/>
      <c r="V2" s="211"/>
      <c r="W2" s="209" t="s">
        <v>83</v>
      </c>
      <c r="X2" s="210"/>
      <c r="Y2" s="210"/>
      <c r="Z2" s="210"/>
      <c r="AA2" s="211"/>
      <c r="AB2" s="209" t="s">
        <v>84</v>
      </c>
      <c r="AC2" s="210"/>
      <c r="AD2" s="210"/>
      <c r="AE2" s="210"/>
      <c r="AF2" s="211"/>
      <c r="AG2" s="209" t="s">
        <v>85</v>
      </c>
      <c r="AH2" s="210"/>
      <c r="AI2" s="210"/>
      <c r="AJ2" s="210"/>
      <c r="AK2" s="211"/>
      <c r="AL2" s="209" t="s">
        <v>86</v>
      </c>
      <c r="AM2" s="210"/>
      <c r="AN2" s="210"/>
      <c r="AO2" s="210"/>
      <c r="AP2" s="211"/>
      <c r="AQ2" s="209" t="s">
        <v>87</v>
      </c>
      <c r="AR2" s="210"/>
      <c r="AS2" s="210"/>
      <c r="AT2" s="210"/>
      <c r="AU2" s="211"/>
      <c r="AV2" s="209" t="s">
        <v>88</v>
      </c>
      <c r="AW2" s="210"/>
      <c r="AX2" s="210"/>
      <c r="AY2" s="210"/>
      <c r="AZ2" s="211"/>
      <c r="BA2" s="209" t="s">
        <v>89</v>
      </c>
      <c r="BB2" s="210"/>
      <c r="BC2" s="210"/>
      <c r="BD2" s="210"/>
      <c r="BE2" s="211"/>
      <c r="BF2" s="209" t="s">
        <v>90</v>
      </c>
      <c r="BG2" s="210"/>
      <c r="BH2" s="210"/>
      <c r="BI2" s="210"/>
      <c r="BJ2" s="211"/>
      <c r="BK2" s="209" t="s">
        <v>91</v>
      </c>
      <c r="BL2" s="210"/>
      <c r="BM2" s="210"/>
      <c r="BN2" s="210"/>
      <c r="BO2" s="211"/>
      <c r="BP2" s="209" t="s">
        <v>92</v>
      </c>
      <c r="BQ2" s="210"/>
      <c r="BR2" s="210"/>
      <c r="BS2" s="210"/>
      <c r="BT2" s="211"/>
      <c r="BU2" s="209" t="s">
        <v>93</v>
      </c>
      <c r="BV2" s="210"/>
      <c r="BW2" s="210"/>
      <c r="BX2" s="210"/>
      <c r="BY2" s="211"/>
      <c r="BZ2" s="213" t="s">
        <v>61</v>
      </c>
      <c r="CA2" s="214"/>
      <c r="CB2" s="214"/>
      <c r="CC2" s="214"/>
      <c r="CD2" s="214"/>
    </row>
    <row r="3" spans="1:82" ht="45" x14ac:dyDescent="0.35">
      <c r="A3" s="219"/>
      <c r="B3" s="216"/>
      <c r="C3" s="209" t="s">
        <v>62</v>
      </c>
      <c r="D3" s="210"/>
      <c r="E3" s="166" t="s">
        <v>73</v>
      </c>
      <c r="F3" s="209" t="s">
        <v>72</v>
      </c>
      <c r="G3" s="211"/>
      <c r="H3" s="209" t="s">
        <v>62</v>
      </c>
      <c r="I3" s="210"/>
      <c r="J3" s="166" t="s">
        <v>73</v>
      </c>
      <c r="K3" s="209" t="s">
        <v>72</v>
      </c>
      <c r="L3" s="211"/>
      <c r="M3" s="209" t="s">
        <v>62</v>
      </c>
      <c r="N3" s="210"/>
      <c r="O3" s="166" t="s">
        <v>73</v>
      </c>
      <c r="P3" s="209" t="s">
        <v>72</v>
      </c>
      <c r="Q3" s="211"/>
      <c r="R3" s="209" t="s">
        <v>62</v>
      </c>
      <c r="S3" s="210"/>
      <c r="T3" s="166" t="s">
        <v>73</v>
      </c>
      <c r="U3" s="209" t="s">
        <v>72</v>
      </c>
      <c r="V3" s="211"/>
      <c r="W3" s="209" t="s">
        <v>62</v>
      </c>
      <c r="X3" s="210"/>
      <c r="Y3" s="166" t="s">
        <v>73</v>
      </c>
      <c r="Z3" s="209" t="s">
        <v>72</v>
      </c>
      <c r="AA3" s="211"/>
      <c r="AB3" s="209" t="s">
        <v>62</v>
      </c>
      <c r="AC3" s="210"/>
      <c r="AD3" s="166" t="s">
        <v>73</v>
      </c>
      <c r="AE3" s="209" t="s">
        <v>72</v>
      </c>
      <c r="AF3" s="211"/>
      <c r="AG3" s="209" t="s">
        <v>62</v>
      </c>
      <c r="AH3" s="210"/>
      <c r="AI3" s="166" t="s">
        <v>73</v>
      </c>
      <c r="AJ3" s="209" t="s">
        <v>72</v>
      </c>
      <c r="AK3" s="211"/>
      <c r="AL3" s="209" t="s">
        <v>62</v>
      </c>
      <c r="AM3" s="210"/>
      <c r="AN3" s="166" t="s">
        <v>73</v>
      </c>
      <c r="AO3" s="209" t="s">
        <v>72</v>
      </c>
      <c r="AP3" s="211"/>
      <c r="AQ3" s="209" t="s">
        <v>62</v>
      </c>
      <c r="AR3" s="210"/>
      <c r="AS3" s="166" t="s">
        <v>73</v>
      </c>
      <c r="AT3" s="209" t="s">
        <v>72</v>
      </c>
      <c r="AU3" s="211"/>
      <c r="AV3" s="209" t="s">
        <v>62</v>
      </c>
      <c r="AW3" s="210"/>
      <c r="AX3" s="166" t="s">
        <v>73</v>
      </c>
      <c r="AY3" s="209" t="s">
        <v>72</v>
      </c>
      <c r="AZ3" s="211"/>
      <c r="BA3" s="209" t="s">
        <v>62</v>
      </c>
      <c r="BB3" s="210"/>
      <c r="BC3" s="166" t="s">
        <v>73</v>
      </c>
      <c r="BD3" s="209" t="s">
        <v>72</v>
      </c>
      <c r="BE3" s="211"/>
      <c r="BF3" s="209" t="s">
        <v>62</v>
      </c>
      <c r="BG3" s="210"/>
      <c r="BH3" s="166" t="s">
        <v>73</v>
      </c>
      <c r="BI3" s="209" t="s">
        <v>72</v>
      </c>
      <c r="BJ3" s="211"/>
      <c r="BK3" s="209" t="s">
        <v>62</v>
      </c>
      <c r="BL3" s="210"/>
      <c r="BM3" s="166" t="s">
        <v>73</v>
      </c>
      <c r="BN3" s="209" t="s">
        <v>72</v>
      </c>
      <c r="BO3" s="211"/>
      <c r="BP3" s="209" t="s">
        <v>62</v>
      </c>
      <c r="BQ3" s="210"/>
      <c r="BR3" s="166" t="s">
        <v>73</v>
      </c>
      <c r="BS3" s="209" t="s">
        <v>72</v>
      </c>
      <c r="BT3" s="211"/>
      <c r="BU3" s="209" t="s">
        <v>62</v>
      </c>
      <c r="BV3" s="210"/>
      <c r="BW3" s="166" t="s">
        <v>73</v>
      </c>
      <c r="BX3" s="209" t="s">
        <v>72</v>
      </c>
      <c r="BY3" s="211"/>
      <c r="BZ3" s="212" t="s">
        <v>62</v>
      </c>
      <c r="CA3" s="210"/>
      <c r="CB3" s="166" t="s">
        <v>73</v>
      </c>
      <c r="CC3" s="209" t="s">
        <v>72</v>
      </c>
      <c r="CD3" s="211"/>
    </row>
    <row r="4" spans="1:82" ht="30" x14ac:dyDescent="0.35">
      <c r="A4" s="220"/>
      <c r="B4" s="217"/>
      <c r="C4" s="167" t="s">
        <v>58</v>
      </c>
      <c r="D4" s="166" t="s">
        <v>59</v>
      </c>
      <c r="E4" s="166" t="s">
        <v>74</v>
      </c>
      <c r="F4" s="167" t="s">
        <v>58</v>
      </c>
      <c r="G4" s="166" t="s">
        <v>59</v>
      </c>
      <c r="H4" s="167" t="s">
        <v>58</v>
      </c>
      <c r="I4" s="166" t="s">
        <v>59</v>
      </c>
      <c r="J4" s="166" t="s">
        <v>74</v>
      </c>
      <c r="K4" s="167" t="s">
        <v>58</v>
      </c>
      <c r="L4" s="166" t="s">
        <v>59</v>
      </c>
      <c r="M4" s="167" t="s">
        <v>58</v>
      </c>
      <c r="N4" s="166" t="s">
        <v>59</v>
      </c>
      <c r="O4" s="166" t="s">
        <v>74</v>
      </c>
      <c r="P4" s="167" t="s">
        <v>58</v>
      </c>
      <c r="Q4" s="166" t="s">
        <v>59</v>
      </c>
      <c r="R4" s="167" t="s">
        <v>58</v>
      </c>
      <c r="S4" s="166" t="s">
        <v>59</v>
      </c>
      <c r="T4" s="166" t="s">
        <v>74</v>
      </c>
      <c r="U4" s="167" t="s">
        <v>58</v>
      </c>
      <c r="V4" s="166" t="s">
        <v>59</v>
      </c>
      <c r="W4" s="167" t="s">
        <v>58</v>
      </c>
      <c r="X4" s="166" t="s">
        <v>59</v>
      </c>
      <c r="Y4" s="166" t="s">
        <v>74</v>
      </c>
      <c r="Z4" s="167" t="s">
        <v>58</v>
      </c>
      <c r="AA4" s="166" t="s">
        <v>59</v>
      </c>
      <c r="AB4" s="167" t="s">
        <v>58</v>
      </c>
      <c r="AC4" s="166" t="s">
        <v>59</v>
      </c>
      <c r="AD4" s="166" t="s">
        <v>74</v>
      </c>
      <c r="AE4" s="167" t="s">
        <v>58</v>
      </c>
      <c r="AF4" s="166" t="s">
        <v>59</v>
      </c>
      <c r="AG4" s="167" t="s">
        <v>58</v>
      </c>
      <c r="AH4" s="166" t="s">
        <v>59</v>
      </c>
      <c r="AI4" s="166" t="s">
        <v>74</v>
      </c>
      <c r="AJ4" s="167" t="s">
        <v>58</v>
      </c>
      <c r="AK4" s="166" t="s">
        <v>59</v>
      </c>
      <c r="AL4" s="167" t="s">
        <v>58</v>
      </c>
      <c r="AM4" s="166" t="s">
        <v>59</v>
      </c>
      <c r="AN4" s="166" t="s">
        <v>74</v>
      </c>
      <c r="AO4" s="167" t="s">
        <v>58</v>
      </c>
      <c r="AP4" s="166" t="s">
        <v>59</v>
      </c>
      <c r="AQ4" s="167" t="s">
        <v>58</v>
      </c>
      <c r="AR4" s="166" t="s">
        <v>59</v>
      </c>
      <c r="AS4" s="166" t="s">
        <v>74</v>
      </c>
      <c r="AT4" s="167" t="s">
        <v>58</v>
      </c>
      <c r="AU4" s="166" t="s">
        <v>59</v>
      </c>
      <c r="AV4" s="167" t="s">
        <v>58</v>
      </c>
      <c r="AW4" s="166" t="s">
        <v>59</v>
      </c>
      <c r="AX4" s="166" t="s">
        <v>74</v>
      </c>
      <c r="AY4" s="167" t="s">
        <v>58</v>
      </c>
      <c r="AZ4" s="166" t="s">
        <v>59</v>
      </c>
      <c r="BA4" s="167" t="s">
        <v>58</v>
      </c>
      <c r="BB4" s="166" t="s">
        <v>59</v>
      </c>
      <c r="BC4" s="166" t="s">
        <v>74</v>
      </c>
      <c r="BD4" s="167" t="s">
        <v>58</v>
      </c>
      <c r="BE4" s="166" t="s">
        <v>59</v>
      </c>
      <c r="BF4" s="167" t="s">
        <v>58</v>
      </c>
      <c r="BG4" s="166" t="s">
        <v>59</v>
      </c>
      <c r="BH4" s="166" t="s">
        <v>74</v>
      </c>
      <c r="BI4" s="167" t="s">
        <v>58</v>
      </c>
      <c r="BJ4" s="166" t="s">
        <v>59</v>
      </c>
      <c r="BK4" s="167" t="s">
        <v>58</v>
      </c>
      <c r="BL4" s="166" t="s">
        <v>59</v>
      </c>
      <c r="BM4" s="166" t="s">
        <v>74</v>
      </c>
      <c r="BN4" s="167" t="s">
        <v>58</v>
      </c>
      <c r="BO4" s="166" t="s">
        <v>59</v>
      </c>
      <c r="BP4" s="167" t="s">
        <v>58</v>
      </c>
      <c r="BQ4" s="166" t="s">
        <v>59</v>
      </c>
      <c r="BR4" s="166" t="s">
        <v>74</v>
      </c>
      <c r="BS4" s="167" t="s">
        <v>58</v>
      </c>
      <c r="BT4" s="166" t="s">
        <v>59</v>
      </c>
      <c r="BU4" s="167" t="s">
        <v>58</v>
      </c>
      <c r="BV4" s="166" t="s">
        <v>59</v>
      </c>
      <c r="BW4" s="166" t="s">
        <v>74</v>
      </c>
      <c r="BX4" s="167" t="s">
        <v>58</v>
      </c>
      <c r="BY4" s="166" t="s">
        <v>59</v>
      </c>
      <c r="BZ4" s="177" t="s">
        <v>58</v>
      </c>
      <c r="CA4" s="168" t="s">
        <v>59</v>
      </c>
      <c r="CB4" s="166" t="s">
        <v>74</v>
      </c>
      <c r="CC4" s="167" t="s">
        <v>76</v>
      </c>
      <c r="CD4" s="166" t="s">
        <v>77</v>
      </c>
    </row>
    <row r="5" spans="1:82" outlineLevel="1" x14ac:dyDescent="0.35">
      <c r="A5" s="166">
        <v>1</v>
      </c>
      <c r="B5" s="161" t="s">
        <v>66</v>
      </c>
      <c r="C5" s="169">
        <f>10531.950414-10.164-3.388-86.98-6.16-74</f>
        <v>10351.258414</v>
      </c>
      <c r="D5" s="151">
        <f>IFERROR(C5/D$1,0)*10^6</f>
        <v>410601.2857596192</v>
      </c>
      <c r="E5" s="171">
        <v>301.39999999999998</v>
      </c>
      <c r="F5" s="151">
        <f>IFERROR(C5/E5,0)</f>
        <v>34.343923072329133</v>
      </c>
      <c r="G5" s="151">
        <f>IFERROR(D5/E5," ")</f>
        <v>1362.3134895806875</v>
      </c>
      <c r="H5" s="169">
        <f>30032.36324-30-64.4-68.5-68.5-47.6-13.5-12.32-12</f>
        <v>29715.543239999999</v>
      </c>
      <c r="I5" s="151">
        <f>IFERROR(H5/I$1,0)*10^6</f>
        <v>1178720.4775882585</v>
      </c>
      <c r="J5" s="171">
        <f>893.2+22</f>
        <v>915.2</v>
      </c>
      <c r="K5" s="151">
        <f>IFERROR(H5/J5,0)</f>
        <v>32.468906512237758</v>
      </c>
      <c r="L5" s="151">
        <f>IFERROR(I5/J5," ")</f>
        <v>1287.9375847773802</v>
      </c>
      <c r="M5" s="169">
        <f>54923.0063906-2.9-9.7-152.9-356.3-211.356-47.6-97.8-93.6-93.6-52.5-47.6-64.3-4</f>
        <v>53688.850390599997</v>
      </c>
      <c r="N5" s="151">
        <f>IFERROR(M5/N$1,0)*10^6</f>
        <v>2138146.172465153</v>
      </c>
      <c r="O5" s="171">
        <v>1804.5492999999999</v>
      </c>
      <c r="P5" s="151">
        <f>IFERROR(M5/O5,0)</f>
        <v>29.751944372259601</v>
      </c>
      <c r="Q5" s="151">
        <f>IFERROR(N5/O5," ")</f>
        <v>1184.8643716551014</v>
      </c>
      <c r="R5" s="169">
        <f>5394.80885-6.16-6.616-66-26</f>
        <v>5290.0328500000005</v>
      </c>
      <c r="S5" s="151">
        <f>IFERROR(R5/S$1,0)*10^6</f>
        <v>212365.83099156967</v>
      </c>
      <c r="T5" s="171">
        <f>286-11</f>
        <v>275</v>
      </c>
      <c r="U5" s="151">
        <f>IFERROR(R5/T5,0)</f>
        <v>19.236483090909093</v>
      </c>
      <c r="V5" s="151">
        <f>IFERROR(S5/T5," ")</f>
        <v>772.23938542388976</v>
      </c>
      <c r="W5" s="169">
        <f>25525.87796-104.412-91-71.8-130.68-16.94-108</f>
        <v>25003.045960000003</v>
      </c>
      <c r="X5" s="151">
        <f>IFERROR(W5/X$1,0)*10^6</f>
        <v>992184.3634920636</v>
      </c>
      <c r="Y5" s="171">
        <v>761.2</v>
      </c>
      <c r="Z5" s="151">
        <f>IFERROR(W5/Y5,0)</f>
        <v>32.846881187598534</v>
      </c>
      <c r="AA5" s="151">
        <f>IFERROR(X5/Y5," ")</f>
        <v>1303.4476661745448</v>
      </c>
      <c r="AB5" s="169">
        <f>63591.182204-236.836-59.873-161.539-25.638-22.2-22.2-116-15.4-72</f>
        <v>62859.496204000003</v>
      </c>
      <c r="AC5" s="151">
        <f>IFERROR(AB5/AC$1,0)*10^6</f>
        <v>2485547.4971925663</v>
      </c>
      <c r="AD5" s="171">
        <v>1951.4</v>
      </c>
      <c r="AE5" s="151">
        <f>IFERROR(AB5/AD5,0)</f>
        <v>32.212512147176383</v>
      </c>
      <c r="AF5" s="151">
        <f>IFERROR(AC5/AD5," ")</f>
        <v>1273.7252727234631</v>
      </c>
      <c r="AG5" s="169">
        <f>51732.099628-15.4-92.4-435.9-258-258-123.758-13.6-15.9-370-107.369-69.8-44.4-60</f>
        <v>49867.572627999994</v>
      </c>
      <c r="AH5" s="151">
        <f>IFERROR(AG5/AH$1,0)*10^6</f>
        <v>1969493.3897314372</v>
      </c>
      <c r="AI5" s="171">
        <v>1574.1</v>
      </c>
      <c r="AJ5" s="151">
        <f>IFERROR(AG5/AI5,0)</f>
        <v>31.680053762785082</v>
      </c>
      <c r="AK5" s="151">
        <f>IFERROR(AH5/AI5," ")</f>
        <v>1251.1869574559669</v>
      </c>
      <c r="AL5" s="169">
        <f>29380.1992506+4917.961466-84-9.24-107.36-867-82.8-122.3-13-1.078-57.9-137.493441459-53-108</f>
        <v>32654.989275140986</v>
      </c>
      <c r="AM5" s="151">
        <f>IFERROR(AL5/AM$1,0)*10^6</f>
        <v>1284112.8303240654</v>
      </c>
      <c r="AN5" s="171">
        <f>861.3+150.7</f>
        <v>1012</v>
      </c>
      <c r="AO5" s="151">
        <f>IFERROR(AL5/AN5,0)</f>
        <v>32.267775963578046</v>
      </c>
      <c r="AP5" s="151">
        <f>IFERROR(AM5/AN5," ")</f>
        <v>1268.8861959723965</v>
      </c>
      <c r="AQ5" s="169">
        <f>36385.4682114-9.24-39.468-253-187.797-222.185590671-36</f>
        <v>35637.777620729008</v>
      </c>
      <c r="AR5" s="151">
        <f>IFERROR(AQ5/AR$1,0)*10^6</f>
        <v>1405829.4919419726</v>
      </c>
      <c r="AS5" s="171">
        <v>1127.5</v>
      </c>
      <c r="AT5" s="151">
        <f>IFERROR(AQ5/AS5,0)</f>
        <v>31.607785029471405</v>
      </c>
      <c r="AU5" s="151">
        <f>IFERROR(AR5/AS5," ")</f>
        <v>1246.8554252256963</v>
      </c>
      <c r="AV5" s="169">
        <f>15614.4428-30.3-6.16-45.54-35.36-3.08-11.649-10.56-34.947-89.26</f>
        <v>15347.586800000001</v>
      </c>
      <c r="AW5" s="151">
        <f>IFERROR(AV5/AW$1,0)*10^6</f>
        <v>605188.75394321769</v>
      </c>
      <c r="AX5" s="171">
        <v>473</v>
      </c>
      <c r="AY5" s="151">
        <f>IFERROR(AV5/AX5,0)</f>
        <v>32.447329386892179</v>
      </c>
      <c r="AZ5" s="151">
        <f>IFERROR(AW5/AX5," ")</f>
        <v>1279.4688244042657</v>
      </c>
      <c r="BA5" s="169">
        <f>35774.9662072-(65.649+72.5)-253-11.7-(3.5+11.649)-(14+11.788)-88.9</f>
        <v>35242.280207200005</v>
      </c>
      <c r="BB5" s="151">
        <f>IFERROR(BA5/BB$1,0)*10^6</f>
        <v>1384221.5320974078</v>
      </c>
      <c r="BC5" s="171">
        <v>1123.0999999999999</v>
      </c>
      <c r="BD5" s="151">
        <f>IFERROR(BA5/BC5,0)</f>
        <v>31.379467729676794</v>
      </c>
      <c r="BE5" s="151">
        <f>IFERROR(BB5/BC5," ")</f>
        <v>1232.500696373794</v>
      </c>
      <c r="BF5" s="169">
        <f>26952.2650408-157.58-(83.4+93.5)-(59.7+29.3)-6.5-13.2-89.9-6.16-42.2</f>
        <v>26370.825040799995</v>
      </c>
      <c r="BG5" s="151">
        <f>IFERROR(BF5/BG$1,0)*10^6</f>
        <v>1039039.5997163118</v>
      </c>
      <c r="BH5" s="171">
        <v>850.3</v>
      </c>
      <c r="BI5" s="151">
        <f>IFERROR(BF5/BH5,0)</f>
        <v>31.013554087733738</v>
      </c>
      <c r="BJ5" s="151">
        <f>IFERROR(BG5/BH5," ")</f>
        <v>1221.9682461676018</v>
      </c>
      <c r="BK5" s="169">
        <f>9646.606568+23004.175304-3.836-(63.7+72.2)-21.7-252.339-11.798-(216.081+259)-6.16-(3.08+11.75)-(30.668+23.576)</f>
        <v>31674.893872000001</v>
      </c>
      <c r="BL5" s="151">
        <f>IFERROR(BK5/BL$1,0)*10^6</f>
        <v>1236817.4100741898</v>
      </c>
      <c r="BM5" s="171">
        <f>294.7+720.5</f>
        <v>1015.2</v>
      </c>
      <c r="BN5" s="151">
        <f>IFERROR(BK5/BM5,0)</f>
        <v>31.200644081954295</v>
      </c>
      <c r="BO5" s="151">
        <f>IFERROR(BL5/BM5," ")</f>
        <v>1218.2992613023932</v>
      </c>
      <c r="BP5" s="169">
        <f>26654.9547-47.66-146.16-46-(76.67+58.94)-32.4</f>
        <v>26247.124699999997</v>
      </c>
      <c r="BQ5" s="151">
        <f>IFERROR(BP5/BQ$1,0)*10^6</f>
        <v>1023279.71539961</v>
      </c>
      <c r="BR5" s="171">
        <v>805.2</v>
      </c>
      <c r="BS5" s="151">
        <f>IFERROR(BP5/BR5,0)</f>
        <v>32.597025211127665</v>
      </c>
      <c r="BT5" s="151">
        <f>IFERROR(BQ5/BR5," ")</f>
        <v>1270.8391895176478</v>
      </c>
      <c r="BU5" s="169">
        <v>30408.9604984</v>
      </c>
      <c r="BV5" s="151">
        <f>IFERROR(BU5/BV$1,0)*10^6</f>
        <v>1182767.8140178919</v>
      </c>
      <c r="BW5" s="171">
        <v>939.4</v>
      </c>
      <c r="BX5" s="151">
        <f>IFERROR(BU5/BW5,0)</f>
        <v>32.370620074941449</v>
      </c>
      <c r="BY5" s="151">
        <f>IFERROR(BV5/BW5," ")</f>
        <v>1259.0672919074855</v>
      </c>
      <c r="BZ5" s="196">
        <f>C5+H5+M5+R5+W5+AB5+AG5+AL5+AQ5+AV5+BA5+BF5+BK5+BP5+BU5</f>
        <v>470360.23770086991</v>
      </c>
      <c r="CA5" s="170">
        <f>D5+I5+N5+S5+X5+AC5+AH5+AM5+AR5+AW5+BB5+BG5+BL5+BQ5+BV5</f>
        <v>18548316.164735332</v>
      </c>
      <c r="CB5" s="170">
        <f>E5+J5+O5+T5+Y5+AD5+AI5+AN5+AS5+AX5+BC5+BH5+BM5+BR5+BW5</f>
        <v>14928.549300000001</v>
      </c>
      <c r="CC5" s="149">
        <f>IFERROR(BZ5/CB5," ")</f>
        <v>31.507431046958455</v>
      </c>
      <c r="CD5" s="150">
        <f>IFERROR(CA5/CB5," ")</f>
        <v>1242.4727809778094</v>
      </c>
    </row>
    <row r="6" spans="1:82" ht="14.4" customHeight="1" x14ac:dyDescent="0.35">
      <c r="C6" s="173"/>
      <c r="D6" s="172"/>
      <c r="E6" s="172"/>
      <c r="F6" s="172"/>
      <c r="G6" s="172"/>
      <c r="H6" s="173"/>
      <c r="I6" s="172"/>
      <c r="J6" s="172"/>
      <c r="K6" s="172"/>
      <c r="L6" s="172"/>
      <c r="M6" s="173"/>
      <c r="N6" s="172"/>
      <c r="O6" s="172"/>
      <c r="P6" s="172"/>
      <c r="Q6" s="172"/>
      <c r="R6" s="173"/>
      <c r="S6" s="172"/>
      <c r="T6" s="172"/>
      <c r="U6" s="172"/>
      <c r="V6" s="172"/>
      <c r="W6" s="173"/>
      <c r="X6" s="172"/>
      <c r="Y6" s="172"/>
      <c r="Z6" s="172"/>
      <c r="AA6" s="172"/>
      <c r="AB6" s="173"/>
      <c r="AC6" s="172"/>
      <c r="AD6" s="172"/>
      <c r="AE6" s="172"/>
      <c r="AF6" s="172"/>
      <c r="AG6" s="173"/>
      <c r="AH6" s="172"/>
      <c r="AI6" s="172"/>
      <c r="AJ6" s="172"/>
      <c r="AK6" s="172"/>
      <c r="AL6" s="173"/>
      <c r="AM6" s="172"/>
      <c r="AN6" s="172"/>
      <c r="AO6" s="172"/>
      <c r="AP6" s="172"/>
      <c r="AQ6" s="173"/>
      <c r="AR6" s="172"/>
      <c r="AS6" s="172"/>
      <c r="AT6" s="172"/>
      <c r="AU6" s="172"/>
      <c r="AV6" s="173"/>
      <c r="AW6" s="172"/>
      <c r="AX6" s="172"/>
      <c r="AY6" s="172"/>
      <c r="AZ6" s="172"/>
      <c r="BA6" s="173"/>
      <c r="BB6" s="172"/>
      <c r="BC6" s="172"/>
      <c r="BD6" s="172"/>
      <c r="BE6" s="172"/>
      <c r="BF6" s="173"/>
      <c r="BG6" s="172"/>
      <c r="BH6" s="172"/>
      <c r="BI6" s="172"/>
      <c r="BJ6" s="172"/>
      <c r="BK6" s="173"/>
      <c r="BL6" s="172"/>
      <c r="BM6" s="172"/>
      <c r="BN6" s="172"/>
      <c r="BO6" s="172"/>
      <c r="BP6" s="173"/>
      <c r="BQ6" s="172"/>
      <c r="BR6" s="172"/>
      <c r="BS6" s="172"/>
      <c r="BT6" s="172"/>
      <c r="BU6" s="173"/>
      <c r="BV6" s="172"/>
      <c r="BW6" s="172"/>
      <c r="BX6" s="172"/>
      <c r="BY6" s="172"/>
      <c r="BZ6" s="197"/>
      <c r="CA6" s="174"/>
      <c r="CB6" s="148"/>
      <c r="CD6" s="189"/>
    </row>
    <row r="7" spans="1:82" outlineLevel="1" x14ac:dyDescent="0.35">
      <c r="A7" s="166">
        <v>2</v>
      </c>
      <c r="B7" s="161" t="s">
        <v>67</v>
      </c>
      <c r="C7" s="169">
        <f>1467.6255-18.981-193.017</f>
        <v>1255.6275000000001</v>
      </c>
      <c r="D7" s="151">
        <f>IFERROR(C7/D$1,0)*10^6</f>
        <v>49806.723522411739</v>
      </c>
      <c r="E7" s="169">
        <f>41.25-5.5</f>
        <v>35.75</v>
      </c>
      <c r="F7" s="151">
        <f>IFERROR(C7/E7,0)</f>
        <v>35.122447552447554</v>
      </c>
      <c r="G7" s="153">
        <f>IFERROR(D7/E7," ")</f>
        <v>1393.1950635639648</v>
      </c>
      <c r="H7" s="169">
        <v>1905.6179999999999</v>
      </c>
      <c r="I7" s="151">
        <f>IFERROR(H7/I$1,0)*10^6</f>
        <v>75589.76596588656</v>
      </c>
      <c r="J7" s="169">
        <v>55</v>
      </c>
      <c r="K7" s="151">
        <f>IFERROR(H7/J7,0)</f>
        <v>34.647599999999997</v>
      </c>
      <c r="L7" s="153">
        <f>IFERROR(I7/J7," ")</f>
        <v>1374.3593811979374</v>
      </c>
      <c r="M7" s="169">
        <v>958.60599999999999</v>
      </c>
      <c r="N7" s="151">
        <f>IFERROR(M7/N$1,0)*10^6</f>
        <v>38176.264436479491</v>
      </c>
      <c r="O7" s="169">
        <v>27.5</v>
      </c>
      <c r="P7" s="151">
        <f>IFERROR(M7/O7,0)</f>
        <v>34.858400000000003</v>
      </c>
      <c r="Q7" s="153">
        <f>IFERROR(N7/O7," ")</f>
        <v>1388.2277976901632</v>
      </c>
      <c r="R7" s="169">
        <f>1648.8994-18.981481</f>
        <v>1629.917919</v>
      </c>
      <c r="S7" s="151">
        <f>IFERROR(R7/S$1,0)*10^6</f>
        <v>65432.272942593336</v>
      </c>
      <c r="T7" s="169">
        <v>46.6</v>
      </c>
      <c r="U7" s="151">
        <f>IFERROR(R7/T7,0)</f>
        <v>34.976779377682405</v>
      </c>
      <c r="V7" s="153">
        <f>IFERROR(S7/T7," ")</f>
        <v>1404.1260288110157</v>
      </c>
      <c r="W7" s="169">
        <v>475.55200000000002</v>
      </c>
      <c r="X7" s="151">
        <f>IFERROR(W7/X$1,0)*10^6</f>
        <v>18871.111111111113</v>
      </c>
      <c r="Y7" s="169">
        <v>13.75</v>
      </c>
      <c r="Z7" s="151">
        <f>IFERROR(W7/Y7,0)</f>
        <v>34.585599999999999</v>
      </c>
      <c r="AA7" s="153">
        <f>IFERROR(X7/Y7," ")</f>
        <v>1372.4444444444446</v>
      </c>
      <c r="AB7" s="169">
        <v>1183.4649999999999</v>
      </c>
      <c r="AC7" s="151">
        <f>IFERROR(AB7/AC$1,0)*10^6</f>
        <v>46795.769078687226</v>
      </c>
      <c r="AD7" s="169">
        <v>34</v>
      </c>
      <c r="AE7" s="151">
        <f>IFERROR(AB7/AD7,0)</f>
        <v>34.807794117647056</v>
      </c>
      <c r="AF7" s="153">
        <f>IFERROR(AC7/AD7," ")</f>
        <v>1376.3461493731538</v>
      </c>
      <c r="AG7" s="169">
        <f>3247.703-19.981</f>
        <v>3227.7219999999998</v>
      </c>
      <c r="AH7" s="151">
        <f>IFERROR(AG7/AH$1,0)*10^6</f>
        <v>127477.17219589255</v>
      </c>
      <c r="AI7" s="169">
        <v>91.75</v>
      </c>
      <c r="AJ7" s="151">
        <f>IFERROR(AG7/AI7,0)</f>
        <v>35.179531335149861</v>
      </c>
      <c r="AK7" s="153">
        <f>IFERROR(AH7/AI7," ")</f>
        <v>1389.3969721623166</v>
      </c>
      <c r="AL7" s="169">
        <v>2326.7750000000001</v>
      </c>
      <c r="AM7" s="151">
        <f>IFERROR(AL7/AM$1,0)*10^6</f>
        <v>91497.247345654745</v>
      </c>
      <c r="AN7" s="169">
        <v>71.5</v>
      </c>
      <c r="AO7" s="151">
        <f>IFERROR(AL7/AN7,0)</f>
        <v>32.542307692307695</v>
      </c>
      <c r="AP7" s="153">
        <f>IFERROR(AM7/AN7," ")</f>
        <v>1279.6817810581083</v>
      </c>
      <c r="AQ7" s="169">
        <v>1536.915</v>
      </c>
      <c r="AR7" s="151">
        <f>IFERROR(AQ7/AR$1,0)*10^6</f>
        <v>60627.810650887572</v>
      </c>
      <c r="AS7" s="169">
        <v>44.1</v>
      </c>
      <c r="AT7" s="151">
        <f>IFERROR(AQ7/AS7,0)</f>
        <v>34.850680272108839</v>
      </c>
      <c r="AU7" s="153">
        <f>IFERROR(AR7/AS7," ")</f>
        <v>1374.7802868681988</v>
      </c>
      <c r="AV7" s="169">
        <v>2286.3921</v>
      </c>
      <c r="AW7" s="151">
        <f>IFERROR(AV7/AW$1,0)*10^6</f>
        <v>90157.417192429028</v>
      </c>
      <c r="AX7" s="169">
        <v>70.424999999999997</v>
      </c>
      <c r="AY7" s="151">
        <f>IFERROR(AV7/AX7,0)</f>
        <v>32.4656315228967</v>
      </c>
      <c r="AZ7" s="153">
        <f>IFERROR(AW7/AX7," ")</f>
        <v>1280.1905174643809</v>
      </c>
      <c r="BA7" s="169">
        <v>3080.0439999999999</v>
      </c>
      <c r="BB7" s="151">
        <f>IFERROR(BA7/BB$1,0)*10^6</f>
        <v>120975.80518460329</v>
      </c>
      <c r="BC7" s="169">
        <v>88</v>
      </c>
      <c r="BD7" s="151">
        <f>IFERROR(BA7/BC7,0)</f>
        <v>35.000499999999995</v>
      </c>
      <c r="BE7" s="153">
        <f>IFERROR(BB7/BC7," ")</f>
        <v>1374.7250589159464</v>
      </c>
      <c r="BF7" s="169">
        <f>5809.3915-241.5-19.444</f>
        <v>5548.4474999999993</v>
      </c>
      <c r="BG7" s="151">
        <f>IFERROR(BF7/BG$1,0)*10^6</f>
        <v>218614.9527186761</v>
      </c>
      <c r="BH7" s="169">
        <v>157.25</v>
      </c>
      <c r="BI7" s="151">
        <f>IFERROR(BF7/BH7,0)</f>
        <v>35.284244833068357</v>
      </c>
      <c r="BJ7" s="153">
        <f>IFERROR(BG7/BH7," ")</f>
        <v>1390.2381730917398</v>
      </c>
      <c r="BK7" s="169">
        <f>1440.901-19.4</f>
        <v>1421.501</v>
      </c>
      <c r="BL7" s="151">
        <f>IFERROR(BK7/BL$1,0)*10^6</f>
        <v>55505.700898086689</v>
      </c>
      <c r="BM7" s="169">
        <v>46.75</v>
      </c>
      <c r="BN7" s="151">
        <f>IFERROR(BK7/BM7,0)</f>
        <v>30.406438502673797</v>
      </c>
      <c r="BO7" s="153">
        <f>IFERROR(BL7/BM7," ")</f>
        <v>1187.2877197451699</v>
      </c>
      <c r="BP7" s="169">
        <v>747.70299999999997</v>
      </c>
      <c r="BQ7" s="151">
        <f>IFERROR(BP7/BQ$1,0)*10^6</f>
        <v>29150.214424951268</v>
      </c>
      <c r="BR7" s="169">
        <v>22</v>
      </c>
      <c r="BS7" s="151">
        <f>IFERROR(BP7/BR7,0)</f>
        <v>33.986499999999999</v>
      </c>
      <c r="BT7" s="153">
        <f>IFERROR(BQ7/BR7," ")</f>
        <v>1325.009746588694</v>
      </c>
      <c r="BU7" s="169">
        <v>1109.1985</v>
      </c>
      <c r="BV7" s="151">
        <f>IFERROR(BU7/BV$1,0)*10^6</f>
        <v>43142.687670167245</v>
      </c>
      <c r="BW7" s="169">
        <v>34.5</v>
      </c>
      <c r="BX7" s="151">
        <f>IFERROR(BU7/BW7,0)</f>
        <v>32.150681159420287</v>
      </c>
      <c r="BY7" s="153">
        <f>IFERROR(BV7/BW7," ")</f>
        <v>1250.5126860918042</v>
      </c>
      <c r="BZ7" s="196">
        <f>C7+H7+M7+R7+W7+AB7+AG7+AL7+AQ7+AV7+BA7+BF7+BK7+BP7+BU7</f>
        <v>28693.484518999998</v>
      </c>
      <c r="CA7" s="170">
        <f>D7+I7+N7+S7+X7+AC7+AH7+AM7+AR7+AW7+BB7+BG7+BL7+BQ7+BV7</f>
        <v>1131820.9153385181</v>
      </c>
      <c r="CB7" s="170">
        <f>E7+J7+O7+T7+Y7+AD7+AI7+AN7+AS7+AX7+BC7+BH7+BM7+BR7+BW7</f>
        <v>838.875</v>
      </c>
      <c r="CC7" s="149">
        <f>IFERROR(BZ7/CB7," ")</f>
        <v>34.204720034570109</v>
      </c>
      <c r="CD7" s="153">
        <f>IFERROR(CA7/CB7," ")</f>
        <v>1349.2128330663306</v>
      </c>
    </row>
    <row r="8" spans="1:82" x14ac:dyDescent="0.35">
      <c r="C8" s="175"/>
      <c r="D8" s="179"/>
      <c r="E8" s="179"/>
      <c r="F8" s="179"/>
      <c r="G8" s="179"/>
      <c r="H8" s="175"/>
      <c r="I8" s="179"/>
      <c r="J8" s="179"/>
      <c r="K8" s="179"/>
      <c r="L8" s="179"/>
      <c r="M8" s="175"/>
      <c r="N8" s="179"/>
      <c r="O8" s="179"/>
      <c r="P8" s="179"/>
      <c r="Q8" s="179"/>
      <c r="R8" s="175"/>
      <c r="S8" s="179"/>
      <c r="T8" s="179"/>
      <c r="U8" s="179"/>
      <c r="V8" s="179"/>
      <c r="W8" s="175"/>
      <c r="X8" s="179"/>
      <c r="Y8" s="179"/>
      <c r="Z8" s="179"/>
      <c r="AA8" s="179"/>
      <c r="AB8" s="175"/>
      <c r="AC8" s="179"/>
      <c r="AD8" s="179"/>
      <c r="AE8" s="179"/>
      <c r="AF8" s="179"/>
      <c r="AG8" s="175"/>
      <c r="AH8" s="179"/>
      <c r="AI8" s="179"/>
      <c r="AJ8" s="179"/>
      <c r="AK8" s="179"/>
      <c r="AL8" s="175"/>
      <c r="AM8" s="179"/>
      <c r="AN8" s="179"/>
      <c r="AO8" s="179"/>
      <c r="AP8" s="179"/>
      <c r="AQ8" s="175"/>
      <c r="AR8" s="179"/>
      <c r="AS8" s="179"/>
      <c r="AT8" s="179"/>
      <c r="AU8" s="179"/>
      <c r="AV8" s="175"/>
      <c r="AW8" s="179"/>
      <c r="AX8" s="179"/>
      <c r="AY8" s="179"/>
      <c r="AZ8" s="179"/>
      <c r="BA8" s="175"/>
      <c r="BB8" s="179"/>
      <c r="BC8" s="179"/>
      <c r="BD8" s="179"/>
      <c r="BE8" s="179"/>
      <c r="BF8" s="175"/>
      <c r="BG8" s="179"/>
      <c r="BH8" s="179"/>
      <c r="BI8" s="179"/>
      <c r="BJ8" s="179"/>
      <c r="BK8" s="175"/>
      <c r="BL8" s="179"/>
      <c r="BM8" s="179"/>
      <c r="BN8" s="179"/>
      <c r="BO8" s="179"/>
      <c r="BP8" s="175"/>
      <c r="BQ8" s="179"/>
      <c r="BR8" s="179"/>
      <c r="BS8" s="179"/>
      <c r="BT8" s="179"/>
      <c r="BU8" s="175"/>
      <c r="BV8" s="179"/>
      <c r="BW8" s="179"/>
      <c r="BX8" s="179"/>
      <c r="BY8" s="179"/>
      <c r="BZ8" s="198"/>
      <c r="CA8" s="175"/>
      <c r="CB8" s="148"/>
      <c r="CC8" s="147"/>
      <c r="CD8" s="189"/>
    </row>
    <row r="9" spans="1:82" outlineLevel="1" x14ac:dyDescent="0.35">
      <c r="A9" s="166">
        <v>3</v>
      </c>
      <c r="B9" s="161" t="s">
        <v>68</v>
      </c>
      <c r="C9" s="169">
        <v>80.444999999999993</v>
      </c>
      <c r="D9" s="151">
        <f>IFERROR(C9/D$1,0)*10^6</f>
        <v>3190.9956366521219</v>
      </c>
      <c r="E9" s="151">
        <v>3</v>
      </c>
      <c r="F9" s="151">
        <f>IFERROR(C9/E9,0)</f>
        <v>26.814999999999998</v>
      </c>
      <c r="G9" s="151">
        <f>IFERROR(D9/E9," ")</f>
        <v>1063.6652122173739</v>
      </c>
      <c r="H9" s="169">
        <v>122.474</v>
      </c>
      <c r="I9" s="151">
        <f>IFERROR(H9/I$1,0)*10^6</f>
        <v>4858.1515271717572</v>
      </c>
      <c r="J9" s="151">
        <v>5.5</v>
      </c>
      <c r="K9" s="151">
        <f>IFERROR(H9/J9,0)</f>
        <v>22.268000000000001</v>
      </c>
      <c r="L9" s="151">
        <f>IFERROR(I9/J9," ")</f>
        <v>883.30027766759224</v>
      </c>
      <c r="M9" s="169"/>
      <c r="N9" s="151">
        <f>IFERROR(M9/N$1,0)*10^6</f>
        <v>0</v>
      </c>
      <c r="O9" s="151"/>
      <c r="P9" s="151">
        <f>IFERROR(M9/O9,0)</f>
        <v>0</v>
      </c>
      <c r="Q9" s="151" t="str">
        <f>IFERROR(N9/O9," ")</f>
        <v xml:space="preserve"> </v>
      </c>
      <c r="R9" s="169"/>
      <c r="S9" s="151">
        <f>IFERROR(R9/S$1,0)*10^6</f>
        <v>0</v>
      </c>
      <c r="T9" s="151"/>
      <c r="U9" s="151">
        <f>IFERROR(R9/T9,0)</f>
        <v>0</v>
      </c>
      <c r="V9" s="151" t="str">
        <f>IFERROR(S9/T9," ")</f>
        <v xml:space="preserve"> </v>
      </c>
      <c r="W9" s="169"/>
      <c r="X9" s="151">
        <f>IFERROR(W9/X$1,0)*10^6</f>
        <v>0</v>
      </c>
      <c r="Y9" s="151"/>
      <c r="Z9" s="151">
        <f>IFERROR(W9/Y9,0)</f>
        <v>0</v>
      </c>
      <c r="AA9" s="151" t="str">
        <f>IFERROR(X9/Y9," ")</f>
        <v xml:space="preserve"> </v>
      </c>
      <c r="AB9" s="169">
        <v>131.39750000000001</v>
      </c>
      <c r="AC9" s="151">
        <f>IFERROR(AB9/AC$1,0)*10^6</f>
        <v>5195.6306840648476</v>
      </c>
      <c r="AD9" s="151">
        <v>6.5</v>
      </c>
      <c r="AE9" s="151">
        <f>IFERROR(AB9/AD9,0)</f>
        <v>20.215</v>
      </c>
      <c r="AF9" s="151">
        <f>IFERROR(AC9/AD9," ")</f>
        <v>799.32779754843807</v>
      </c>
      <c r="AG9" s="169">
        <v>1362.5625</v>
      </c>
      <c r="AH9" s="151">
        <f>IFERROR(AG9/AH$1,0)*10^6</f>
        <v>53813.684834123225</v>
      </c>
      <c r="AI9" s="151">
        <v>50</v>
      </c>
      <c r="AJ9" s="151">
        <f>IFERROR(AG9/AI9,0)</f>
        <v>27.251249999999999</v>
      </c>
      <c r="AK9" s="151">
        <f>IFERROR(AH9/AI9," ")</f>
        <v>1076.2736966824646</v>
      </c>
      <c r="AL9" s="169">
        <v>555.91250000000002</v>
      </c>
      <c r="AM9" s="151">
        <f>IFERROR(AL9/AM$1,0)*10^6</f>
        <v>21860.499410145498</v>
      </c>
      <c r="AN9" s="151">
        <v>27.5</v>
      </c>
      <c r="AO9" s="151">
        <f>IFERROR(AL9/AN9,0)</f>
        <v>20.215</v>
      </c>
      <c r="AP9" s="151">
        <f>IFERROR(AM9/AN9," ")</f>
        <v>794.92725127801805</v>
      </c>
      <c r="AQ9" s="169"/>
      <c r="AR9" s="151">
        <f>IFERROR(AQ9/AR$1,0)*10^6</f>
        <v>0</v>
      </c>
      <c r="AS9" s="151"/>
      <c r="AT9" s="151">
        <f>IFERROR(AQ9/AS9,0)</f>
        <v>0</v>
      </c>
      <c r="AU9" s="151" t="str">
        <f>IFERROR(AR9/AS9," ")</f>
        <v xml:space="preserve"> </v>
      </c>
      <c r="AV9" s="169">
        <v>134.875</v>
      </c>
      <c r="AW9" s="151">
        <f>IFERROR(AV9/AW$1,0)*10^6</f>
        <v>5318.4148264984233</v>
      </c>
      <c r="AX9" s="151">
        <v>5</v>
      </c>
      <c r="AY9" s="151">
        <f>IFERROR(AV9/AX9,0)</f>
        <v>26.975000000000001</v>
      </c>
      <c r="AZ9" s="151">
        <f>IFERROR(AW9/AX9," ")</f>
        <v>1063.6829652996846</v>
      </c>
      <c r="BA9" s="169"/>
      <c r="BB9" s="151">
        <f>IFERROR(BA9/BB$1,0)*10^6</f>
        <v>0</v>
      </c>
      <c r="BC9" s="151"/>
      <c r="BD9" s="151">
        <f>IFERROR(BA9/BC9,0)</f>
        <v>0</v>
      </c>
      <c r="BE9" s="151" t="str">
        <f>IFERROR(BB9/BC9," ")</f>
        <v xml:space="preserve"> </v>
      </c>
      <c r="BF9" s="169">
        <v>569.60749999999996</v>
      </c>
      <c r="BG9" s="151">
        <f>IFERROR(BF9/BG$1,0)*10^6</f>
        <v>22443.163908589439</v>
      </c>
      <c r="BH9" s="151">
        <v>27.5</v>
      </c>
      <c r="BI9" s="151">
        <f>IFERROR(BF9/BH9,0)</f>
        <v>20.712999999999997</v>
      </c>
      <c r="BJ9" s="151">
        <f>IFERROR(BG9/BH9," ")</f>
        <v>816.1150512214341</v>
      </c>
      <c r="BK9" s="169"/>
      <c r="BL9" s="151">
        <f>IFERROR(BK9/BL$1,0)*10^6</f>
        <v>0</v>
      </c>
      <c r="BM9" s="151"/>
      <c r="BN9" s="151">
        <f>IFERROR(BK9/BM9,0)</f>
        <v>0</v>
      </c>
      <c r="BO9" s="151" t="str">
        <f>IFERROR(BL9/BM9," ")</f>
        <v xml:space="preserve"> </v>
      </c>
      <c r="BP9" s="169">
        <f>104.808-5.5</f>
        <v>99.308000000000007</v>
      </c>
      <c r="BQ9" s="151">
        <f>IFERROR(BP9/BQ$1,0)*10^6</f>
        <v>3871.6569200779727</v>
      </c>
      <c r="BR9" s="151">
        <v>5.5</v>
      </c>
      <c r="BS9" s="151">
        <f>IFERROR(BP9/BR9,0)</f>
        <v>18.056000000000001</v>
      </c>
      <c r="BT9" s="151">
        <f>IFERROR(BQ9/BR9," ")</f>
        <v>703.93762183235867</v>
      </c>
      <c r="BU9" s="169">
        <v>606.31200000000001</v>
      </c>
      <c r="BV9" s="151">
        <f>IFERROR(BU9/BV$1,0)*10^6</f>
        <v>23582.730455075845</v>
      </c>
      <c r="BW9" s="151">
        <v>31</v>
      </c>
      <c r="BX9" s="151">
        <f>IFERROR(BU9/BW9,0)</f>
        <v>19.558451612903227</v>
      </c>
      <c r="BY9" s="151">
        <f>IFERROR(BV9/BW9," ")</f>
        <v>760.73324048631764</v>
      </c>
      <c r="BZ9" s="196">
        <f>C9+H9+M9+R9+W9+AB9+AG9+AL9+AQ9+AV9+BA9+BF9+BK9+BP9+BU9</f>
        <v>3662.8939999999998</v>
      </c>
      <c r="CA9" s="170">
        <f>D9+I9+N9+S9+X9+AC9+AH9+AM9+AR9+AW9+BB9+BG9+BL9+BQ9+BV9</f>
        <v>144134.92820239914</v>
      </c>
      <c r="CB9" s="170">
        <f>E9+J9+O9+T9+Y9+AD9+AI9+AN9+AS9+AX9+BC9+BH9+BM9+BR9+BW9</f>
        <v>161.5</v>
      </c>
      <c r="CC9" s="149">
        <f>IFERROR(BZ9/CB9," ")</f>
        <v>22.680458204334364</v>
      </c>
      <c r="CD9" s="153">
        <f>IFERROR(CA9/CB9," ")</f>
        <v>892.47633561857049</v>
      </c>
    </row>
    <row r="10" spans="1:82" x14ac:dyDescent="0.35">
      <c r="C10" s="173"/>
      <c r="D10" s="172"/>
      <c r="E10" s="172"/>
      <c r="F10" s="172"/>
      <c r="G10" s="172"/>
      <c r="H10" s="173"/>
      <c r="I10" s="172"/>
      <c r="J10" s="172"/>
      <c r="K10" s="172"/>
      <c r="L10" s="172"/>
      <c r="M10" s="173"/>
      <c r="N10" s="172"/>
      <c r="O10" s="172"/>
      <c r="P10" s="172"/>
      <c r="Q10" s="172"/>
      <c r="R10" s="173"/>
      <c r="S10" s="172"/>
      <c r="T10" s="172"/>
      <c r="U10" s="172"/>
      <c r="V10" s="172"/>
      <c r="W10" s="173"/>
      <c r="X10" s="172"/>
      <c r="Y10" s="172"/>
      <c r="Z10" s="172"/>
      <c r="AA10" s="172"/>
      <c r="AB10" s="173"/>
      <c r="AC10" s="172"/>
      <c r="AD10" s="172"/>
      <c r="AE10" s="172"/>
      <c r="AF10" s="172"/>
      <c r="AG10" s="173"/>
      <c r="AH10" s="172"/>
      <c r="AI10" s="172"/>
      <c r="AJ10" s="172"/>
      <c r="AK10" s="172"/>
      <c r="AL10" s="173"/>
      <c r="AM10" s="172"/>
      <c r="AN10" s="172"/>
      <c r="AO10" s="172"/>
      <c r="AP10" s="172"/>
      <c r="AQ10" s="173"/>
      <c r="AR10" s="172"/>
      <c r="AS10" s="172"/>
      <c r="AT10" s="172"/>
      <c r="AU10" s="172"/>
      <c r="AV10" s="173"/>
      <c r="AW10" s="172"/>
      <c r="AX10" s="172"/>
      <c r="AY10" s="172"/>
      <c r="AZ10" s="172"/>
      <c r="BA10" s="173"/>
      <c r="BB10" s="172"/>
      <c r="BC10" s="172"/>
      <c r="BD10" s="172"/>
      <c r="BE10" s="172"/>
      <c r="BF10" s="173"/>
      <c r="BG10" s="172"/>
      <c r="BH10" s="172"/>
      <c r="BI10" s="172"/>
      <c r="BJ10" s="172"/>
      <c r="BK10" s="173"/>
      <c r="BL10" s="172"/>
      <c r="BM10" s="172"/>
      <c r="BN10" s="172"/>
      <c r="BO10" s="172"/>
      <c r="BP10" s="173"/>
      <c r="BQ10" s="172"/>
      <c r="BR10" s="172"/>
      <c r="BS10" s="172"/>
      <c r="BT10" s="172"/>
      <c r="BU10" s="173"/>
      <c r="BV10" s="172"/>
      <c r="BW10" s="172"/>
      <c r="BX10" s="172"/>
      <c r="BY10" s="172"/>
      <c r="BZ10" s="197"/>
      <c r="CA10" s="173"/>
      <c r="CB10" s="148"/>
      <c r="CC10" s="147"/>
      <c r="CD10" s="189"/>
    </row>
    <row r="11" spans="1:82" outlineLevel="1" x14ac:dyDescent="0.35">
      <c r="A11" s="166">
        <v>4</v>
      </c>
      <c r="B11" s="161" t="s">
        <v>69</v>
      </c>
      <c r="C11" s="169"/>
      <c r="D11" s="151">
        <f>IFERROR(C11/D$1,0)*10^6</f>
        <v>0</v>
      </c>
      <c r="E11" s="151"/>
      <c r="F11" s="151">
        <f>IFERROR(C11/E11,0)</f>
        <v>0</v>
      </c>
      <c r="G11" s="151" t="str">
        <f>IFERROR(D11/E11," ")</f>
        <v xml:space="preserve"> </v>
      </c>
      <c r="H11" s="169"/>
      <c r="I11" s="151">
        <f>IFERROR(H11/I$1,0)*10^6</f>
        <v>0</v>
      </c>
      <c r="J11" s="151"/>
      <c r="K11" s="151">
        <f>IFERROR(H11/J11,0)</f>
        <v>0</v>
      </c>
      <c r="L11" s="151" t="str">
        <f>IFERROR(I11/J11," ")</f>
        <v xml:space="preserve"> </v>
      </c>
      <c r="M11" s="169"/>
      <c r="N11" s="151">
        <f>IFERROR(M11/N$1,0)*10^6</f>
        <v>0</v>
      </c>
      <c r="O11" s="151"/>
      <c r="P11" s="151">
        <f>IFERROR(M11/O11,0)</f>
        <v>0</v>
      </c>
      <c r="Q11" s="151" t="str">
        <f>IFERROR(N11/O11," ")</f>
        <v xml:space="preserve"> </v>
      </c>
      <c r="R11" s="169"/>
      <c r="S11" s="151">
        <f>IFERROR(R11/S$1,0)*10^6</f>
        <v>0</v>
      </c>
      <c r="T11" s="151"/>
      <c r="U11" s="151">
        <f>IFERROR(R11/T11,0)</f>
        <v>0</v>
      </c>
      <c r="V11" s="151" t="str">
        <f>IFERROR(S11/T11," ")</f>
        <v xml:space="preserve"> </v>
      </c>
      <c r="W11" s="169"/>
      <c r="X11" s="151">
        <f>IFERROR(W11/X$1,0)*10^6</f>
        <v>0</v>
      </c>
      <c r="Y11" s="151"/>
      <c r="Z11" s="151">
        <f>IFERROR(W11/Y11,0)</f>
        <v>0</v>
      </c>
      <c r="AA11" s="151" t="str">
        <f>IFERROR(X11/Y11," ")</f>
        <v xml:space="preserve"> </v>
      </c>
      <c r="AB11" s="169"/>
      <c r="AC11" s="151">
        <f>IFERROR(AB11/AC$1,0)*10^6</f>
        <v>0</v>
      </c>
      <c r="AD11" s="151"/>
      <c r="AE11" s="151">
        <f>IFERROR(AB11/AD11,0)</f>
        <v>0</v>
      </c>
      <c r="AF11" s="151" t="str">
        <f>IFERROR(AC11/AD11," ")</f>
        <v xml:space="preserve"> </v>
      </c>
      <c r="AG11" s="169">
        <v>14.6015</v>
      </c>
      <c r="AH11" s="151">
        <f>IFERROR(AG11/AH$1,0)*10^6</f>
        <v>576.67851500789891</v>
      </c>
      <c r="AI11" s="151">
        <v>0.5</v>
      </c>
      <c r="AJ11" s="151">
        <f>IFERROR(AG11/AI11,0)</f>
        <v>29.202999999999999</v>
      </c>
      <c r="AK11" s="151">
        <f>IFERROR(AH11/AI11," ")</f>
        <v>1153.3570300157978</v>
      </c>
      <c r="AL11" s="169">
        <v>3.8119499999999999</v>
      </c>
      <c r="AM11" s="151">
        <f>IFERROR(AL11/AM$1,0)*10^6</f>
        <v>149.89972473456547</v>
      </c>
      <c r="AN11" s="151">
        <v>0.17499999999999999</v>
      </c>
      <c r="AO11" s="151">
        <f>IFERROR(AL11/AN11,0)</f>
        <v>21.78257142857143</v>
      </c>
      <c r="AP11" s="151">
        <f>IFERROR(AM11/AN11," ")</f>
        <v>856.56985562608838</v>
      </c>
      <c r="AQ11" s="169"/>
      <c r="AR11" s="151">
        <f>IFERROR(AQ11/AR$1,0)*10^6</f>
        <v>0</v>
      </c>
      <c r="AS11" s="151"/>
      <c r="AT11" s="151">
        <f>IFERROR(AQ11/AS11,0)</f>
        <v>0</v>
      </c>
      <c r="AU11" s="151" t="str">
        <f>IFERROR(AR11/AS11," ")</f>
        <v xml:space="preserve"> </v>
      </c>
      <c r="AV11" s="169"/>
      <c r="AW11" s="151">
        <f>IFERROR(AV11/AW$1,0)*10^6</f>
        <v>0</v>
      </c>
      <c r="AX11" s="151"/>
      <c r="AY11" s="151">
        <f>IFERROR(AV11/AX11,0)</f>
        <v>0</v>
      </c>
      <c r="AZ11" s="151" t="str">
        <f>IFERROR(AW11/AX11," ")</f>
        <v xml:space="preserve"> </v>
      </c>
      <c r="BA11" s="169">
        <f>871.7336-15</f>
        <v>856.73360000000002</v>
      </c>
      <c r="BB11" s="151">
        <f>IFERROR(BA11/BB$1,0)*10^6</f>
        <v>33650.180675569522</v>
      </c>
      <c r="BC11" s="151">
        <v>35</v>
      </c>
      <c r="BD11" s="151">
        <f>IFERROR(BA11/BC11,0)</f>
        <v>24.478102857142858</v>
      </c>
      <c r="BE11" s="151">
        <f>IFERROR(BB11/BC11," ")</f>
        <v>961.43373358770066</v>
      </c>
      <c r="BF11" s="169">
        <v>130.18917999999999</v>
      </c>
      <c r="BG11" s="151">
        <f>IFERROR(BF11/BG$1,0)*10^6</f>
        <v>5129.5973207249799</v>
      </c>
      <c r="BH11" s="151">
        <v>6.6749999999999998</v>
      </c>
      <c r="BI11" s="151">
        <f>IFERROR(BF11/BH11,0)</f>
        <v>19.503997003745319</v>
      </c>
      <c r="BJ11" s="151">
        <f>IFERROR(BG11/BH11," ")</f>
        <v>768.47899935954763</v>
      </c>
      <c r="BK11" s="169">
        <f>116.664+1.9062</f>
        <v>118.5702</v>
      </c>
      <c r="BL11" s="151">
        <f>IFERROR(BK11/BL$1,0)*10^6</f>
        <v>4629.8399062866065</v>
      </c>
      <c r="BM11" s="151">
        <f>6+0.1</f>
        <v>6.1</v>
      </c>
      <c r="BN11" s="151">
        <f>IFERROR(BK11/BM11,0)</f>
        <v>19.437737704918035</v>
      </c>
      <c r="BO11" s="151">
        <f>IFERROR(BL11/BM11," ")</f>
        <v>758.99014857157488</v>
      </c>
      <c r="BP11" s="169"/>
      <c r="BQ11" s="151">
        <f>IFERROR(BP11/BQ$1,0)*10^6</f>
        <v>0</v>
      </c>
      <c r="BR11" s="151"/>
      <c r="BS11" s="151">
        <f>IFERROR(BP11/BR11,0)</f>
        <v>0</v>
      </c>
      <c r="BT11" s="151" t="str">
        <f>IFERROR(BQ11/BR11," ")</f>
        <v xml:space="preserve"> </v>
      </c>
      <c r="BU11" s="169">
        <v>123.9555</v>
      </c>
      <c r="BV11" s="151">
        <f>IFERROR(BU11/BV$1,0)*10^6</f>
        <v>4821.2952158693115</v>
      </c>
      <c r="BW11" s="151">
        <v>6.375</v>
      </c>
      <c r="BX11" s="151">
        <f>IFERROR(BU11/BW11,0)</f>
        <v>19.443999999999999</v>
      </c>
      <c r="BY11" s="151">
        <f>IFERROR(BV11/BW11," ")</f>
        <v>756.28160248930374</v>
      </c>
      <c r="BZ11" s="196">
        <f>C11+H11+M11+R11+W11+AB11+AG11+AL11+AQ11+AV11+BA11+BF11+BK11+BP11+BU11</f>
        <v>1247.86193</v>
      </c>
      <c r="CA11" s="170">
        <f>D11+I11+N11+S11+X11+AC11+AH11+AM11+AR11+AW11+BB11+BG11+BL11+BQ11+BV11</f>
        <v>48957.491358192885</v>
      </c>
      <c r="CB11" s="170">
        <f>E11+J11+O11+T11+Y11+AD11+AI11+AN11+AS11+AX11+BC11+BH11+BM11+BR11+BW11</f>
        <v>54.824999999999996</v>
      </c>
      <c r="CC11" s="149">
        <f>IFERROR(BZ11/CB11," ")</f>
        <v>22.76081951664387</v>
      </c>
      <c r="CD11" s="153">
        <f>IFERROR(CA11/CB11," ")</f>
        <v>892.97749855344989</v>
      </c>
    </row>
    <row r="12" spans="1:82" x14ac:dyDescent="0.35">
      <c r="A12" s="146"/>
      <c r="C12" s="173"/>
      <c r="D12" s="172"/>
      <c r="E12" s="172"/>
      <c r="F12" s="172"/>
      <c r="G12" s="172"/>
      <c r="H12" s="173"/>
      <c r="I12" s="172"/>
      <c r="J12" s="172"/>
      <c r="K12" s="172"/>
      <c r="L12" s="172"/>
      <c r="M12" s="173"/>
      <c r="N12" s="172"/>
      <c r="O12" s="172"/>
      <c r="P12" s="172"/>
      <c r="Q12" s="172"/>
      <c r="R12" s="173"/>
      <c r="S12" s="172"/>
      <c r="T12" s="172"/>
      <c r="U12" s="172"/>
      <c r="V12" s="172"/>
      <c r="W12" s="173"/>
      <c r="X12" s="172"/>
      <c r="Y12" s="172"/>
      <c r="Z12" s="172"/>
      <c r="AA12" s="172"/>
      <c r="AB12" s="173"/>
      <c r="AC12" s="172"/>
      <c r="AD12" s="172"/>
      <c r="AE12" s="172"/>
      <c r="AF12" s="172"/>
      <c r="AG12" s="173"/>
      <c r="AH12" s="172"/>
      <c r="AI12" s="172"/>
      <c r="AJ12" s="172"/>
      <c r="AK12" s="172"/>
      <c r="AL12" s="173"/>
      <c r="AM12" s="172"/>
      <c r="AN12" s="172"/>
      <c r="AO12" s="172"/>
      <c r="AP12" s="172"/>
      <c r="AQ12" s="173"/>
      <c r="AR12" s="172"/>
      <c r="AS12" s="172"/>
      <c r="AT12" s="172"/>
      <c r="AU12" s="172"/>
      <c r="AV12" s="173"/>
      <c r="AW12" s="172"/>
      <c r="AX12" s="172"/>
      <c r="AY12" s="172"/>
      <c r="AZ12" s="172"/>
      <c r="BA12" s="173"/>
      <c r="BB12" s="172"/>
      <c r="BC12" s="172"/>
      <c r="BD12" s="172"/>
      <c r="BE12" s="172"/>
      <c r="BF12" s="173"/>
      <c r="BG12" s="172"/>
      <c r="BH12" s="172"/>
      <c r="BI12" s="172"/>
      <c r="BJ12" s="172"/>
      <c r="BK12" s="173"/>
      <c r="BL12" s="172"/>
      <c r="BM12" s="172"/>
      <c r="BN12" s="172"/>
      <c r="BO12" s="172"/>
      <c r="BP12" s="173"/>
      <c r="BQ12" s="172"/>
      <c r="BR12" s="172"/>
      <c r="BS12" s="172"/>
      <c r="BT12" s="172"/>
      <c r="BU12" s="173"/>
      <c r="BV12" s="172"/>
      <c r="BW12" s="172"/>
      <c r="BX12" s="172"/>
      <c r="BY12" s="172"/>
      <c r="BZ12" s="197"/>
      <c r="CA12" s="173"/>
      <c r="CB12" s="148"/>
      <c r="CC12" s="147"/>
      <c r="CD12" s="189"/>
    </row>
    <row r="13" spans="1:82" ht="14.4" customHeight="1" outlineLevel="1" x14ac:dyDescent="0.35">
      <c r="A13" s="166">
        <v>5</v>
      </c>
      <c r="B13" s="161" t="s">
        <v>63</v>
      </c>
      <c r="C13" s="169"/>
      <c r="D13" s="151">
        <f>IFERROR(C13/D$1,0)*10^6</f>
        <v>0</v>
      </c>
      <c r="E13" s="151"/>
      <c r="F13" s="151">
        <f>IFERROR(C13/E13,0)</f>
        <v>0</v>
      </c>
      <c r="G13" s="151" t="str">
        <f>IFERROR(D13/E13," ")</f>
        <v xml:space="preserve"> </v>
      </c>
      <c r="H13" s="169"/>
      <c r="I13" s="151">
        <f>IFERROR(H13/I$1,0)*10^6</f>
        <v>0</v>
      </c>
      <c r="J13" s="151"/>
      <c r="K13" s="151">
        <f>IFERROR(H13/J13,0)</f>
        <v>0</v>
      </c>
      <c r="L13" s="151" t="str">
        <f>IFERROR(I13/J13," ")</f>
        <v xml:space="preserve"> </v>
      </c>
      <c r="M13" s="169">
        <v>11.80575</v>
      </c>
      <c r="N13" s="151">
        <f>IFERROR(M13/N$1,0)*10^6</f>
        <v>470.16129032258061</v>
      </c>
      <c r="O13" s="151">
        <v>0.75</v>
      </c>
      <c r="P13" s="151">
        <f>IFERROR(M13/O13,0)</f>
        <v>15.741</v>
      </c>
      <c r="Q13" s="151">
        <f>IFERROR(N13/O13," ")</f>
        <v>626.88172043010752</v>
      </c>
      <c r="R13" s="169">
        <v>106.25175</v>
      </c>
      <c r="S13" s="151">
        <f>IFERROR(R13/S$1,0)*10^6</f>
        <v>4265.4255319148942</v>
      </c>
      <c r="T13" s="151">
        <v>6.75</v>
      </c>
      <c r="U13" s="151">
        <f>IFERROR(R13/T13,0)</f>
        <v>15.741</v>
      </c>
      <c r="V13" s="151">
        <f>IFERROR(S13/T13," ")</f>
        <v>631.91489361702133</v>
      </c>
      <c r="W13" s="169"/>
      <c r="X13" s="151">
        <f>IFERROR(W13/X$1,0)*10^6</f>
        <v>0</v>
      </c>
      <c r="Y13" s="151"/>
      <c r="Z13" s="151">
        <f>IFERROR(W13/Y13,0)</f>
        <v>0</v>
      </c>
      <c r="AA13" s="151" t="str">
        <f>IFERROR(X13/Y13," ")</f>
        <v xml:space="preserve"> </v>
      </c>
      <c r="AB13" s="169">
        <v>47.222999999999999</v>
      </c>
      <c r="AC13" s="151">
        <f>IFERROR(AB13/AC$1,0)*10^6</f>
        <v>1867.2597864768682</v>
      </c>
      <c r="AD13" s="151">
        <v>3</v>
      </c>
      <c r="AE13" s="151">
        <f>IFERROR(AB13/AD13,0)</f>
        <v>15.741</v>
      </c>
      <c r="AF13" s="151">
        <f>IFERROR(AC13/AD13," ")</f>
        <v>622.41992882562272</v>
      </c>
      <c r="AG13" s="169">
        <v>123.26625</v>
      </c>
      <c r="AH13" s="151">
        <f>IFERROR(AG13/AH$1,0)*10^6</f>
        <v>4868.3353080568722</v>
      </c>
      <c r="AI13" s="151">
        <v>7.5</v>
      </c>
      <c r="AJ13" s="151">
        <f>IFERROR(AG13/AI13,0)</f>
        <v>16.435500000000001</v>
      </c>
      <c r="AK13" s="151">
        <f>IFERROR(AH13/AI13," ")</f>
        <v>649.11137440758296</v>
      </c>
      <c r="AL13" s="169">
        <f>175.419+35.417</f>
        <v>210.83600000000001</v>
      </c>
      <c r="AM13" s="151">
        <f>IFERROR(AL13/AM$1,0)*10^6</f>
        <v>8290.8375933936295</v>
      </c>
      <c r="AN13" s="151">
        <f>11.25+2.25</f>
        <v>13.5</v>
      </c>
      <c r="AO13" s="151">
        <f>IFERROR(AL13/AN13,0)</f>
        <v>15.617481481481482</v>
      </c>
      <c r="AP13" s="151">
        <f>IFERROR(AM13/AN13," ")</f>
        <v>614.13611802915773</v>
      </c>
      <c r="AQ13" s="169">
        <v>539.86500000000001</v>
      </c>
      <c r="AR13" s="151">
        <f>IFERROR(AQ13/AR$1,0)*10^6</f>
        <v>21296.449704142011</v>
      </c>
      <c r="AS13" s="151">
        <v>34.5</v>
      </c>
      <c r="AT13" s="151">
        <f>IFERROR(AQ13/AS13,0)</f>
        <v>15.648260869565217</v>
      </c>
      <c r="AU13" s="151">
        <f>IFERROR(AR13/AS13," ")</f>
        <v>617.28839722150758</v>
      </c>
      <c r="AV13" s="169">
        <v>82.640249999999995</v>
      </c>
      <c r="AW13" s="151">
        <f>IFERROR(AV13/AW$1,0)*10^6</f>
        <v>3258.6849369085171</v>
      </c>
      <c r="AX13" s="151">
        <v>5.25</v>
      </c>
      <c r="AY13" s="151">
        <f>IFERROR(AV13/AX13,0)</f>
        <v>15.741</v>
      </c>
      <c r="AZ13" s="151">
        <f>IFERROR(AW13/AX13," ")</f>
        <v>620.70189274447944</v>
      </c>
      <c r="BA13" s="169">
        <v>77.337850000000003</v>
      </c>
      <c r="BB13" s="151">
        <f>IFERROR(BA13/BB$1,0)*10^6</f>
        <v>3037.621759622938</v>
      </c>
      <c r="BC13" s="151">
        <v>6.3</v>
      </c>
      <c r="BD13" s="151">
        <f>IFERROR(BA13/BC13,0)</f>
        <v>12.275849206349207</v>
      </c>
      <c r="BE13" s="151">
        <f>IFERROR(BB13/BC13," ")</f>
        <v>482.16218406713301</v>
      </c>
      <c r="BF13" s="169">
        <v>292</v>
      </c>
      <c r="BG13" s="151">
        <f>IFERROR(BF13/BG$1,0)*10^6</f>
        <v>11505.122143420014</v>
      </c>
      <c r="BH13" s="151">
        <v>20</v>
      </c>
      <c r="BI13" s="151">
        <f>IFERROR(BF13/BH13,0)</f>
        <v>14.6</v>
      </c>
      <c r="BJ13" s="151">
        <f>IFERROR(BG13/BH13," ")</f>
        <v>575.25610717100074</v>
      </c>
      <c r="BK13" s="169">
        <f>321.534+97.071</f>
        <v>418.60500000000002</v>
      </c>
      <c r="BL13" s="151">
        <f>IFERROR(BK13/BL$1,0)*10^6</f>
        <v>16345.372901210465</v>
      </c>
      <c r="BM13" s="151">
        <f>19.5+6.175</f>
        <v>25.675000000000001</v>
      </c>
      <c r="BN13" s="151">
        <f>IFERROR(BK13/BM13,0)</f>
        <v>16.303992210321326</v>
      </c>
      <c r="BO13" s="151">
        <f>IFERROR(BL13/BM13," ")</f>
        <v>636.62601367908337</v>
      </c>
      <c r="BP13" s="169">
        <v>151.24199999999999</v>
      </c>
      <c r="BQ13" s="151">
        <f>IFERROR(BP13/BQ$1,0)*10^6</f>
        <v>5896.3742690058471</v>
      </c>
      <c r="BR13" s="151">
        <v>9.0500000000000007</v>
      </c>
      <c r="BS13" s="151">
        <f>IFERROR(BP13/BR13,0)</f>
        <v>16.711823204419886</v>
      </c>
      <c r="BT13" s="151">
        <f>IFERROR(BQ13/BR13," ")</f>
        <v>651.53306839843606</v>
      </c>
      <c r="BU13" s="169">
        <v>104.598</v>
      </c>
      <c r="BV13" s="151">
        <f>IFERROR(BU13/BV$1,0)*10^6</f>
        <v>4068.3780630105016</v>
      </c>
      <c r="BW13" s="151">
        <v>6.75</v>
      </c>
      <c r="BX13" s="151">
        <f>IFERROR(BU13/BW13,0)</f>
        <v>15.496</v>
      </c>
      <c r="BY13" s="151">
        <f>IFERROR(BV13/BW13," ")</f>
        <v>602.72267600155578</v>
      </c>
      <c r="BZ13" s="196">
        <f>C13+H13+M13+R13+W13+AB13+AG13+AL13+AQ13+AV13+BA13+BF13+BK13+BP13+BU13</f>
        <v>2165.67085</v>
      </c>
      <c r="CA13" s="170">
        <f>D13+I13+N13+S13+X13+AC13+AH13+AM13+AR13+AW13+BB13+BG13+BL13+BQ13+BV13</f>
        <v>85170.023287485135</v>
      </c>
      <c r="CB13" s="170">
        <f>E13+J13+O13+T13+Y13+AD13+AI13+AN13+AS13+AX13+BC13+BH13+BM13+BR13+BW13</f>
        <v>139.02500000000001</v>
      </c>
      <c r="CC13" s="149">
        <f>IFERROR(BZ13/CB13," ")</f>
        <v>15.577564107174968</v>
      </c>
      <c r="CD13" s="153">
        <f>IFERROR(CA13/CB13," ")</f>
        <v>612.62379634947047</v>
      </c>
    </row>
    <row r="14" spans="1:82" outlineLevel="1" x14ac:dyDescent="0.35">
      <c r="A14" s="180"/>
      <c r="B14" s="181"/>
      <c r="C14" s="176"/>
      <c r="D14" s="182"/>
      <c r="E14" s="182"/>
      <c r="F14" s="182"/>
      <c r="G14" s="182"/>
      <c r="H14" s="176"/>
      <c r="I14" s="182"/>
      <c r="J14" s="182"/>
      <c r="K14" s="182"/>
      <c r="L14" s="182"/>
      <c r="M14" s="176"/>
      <c r="N14" s="182"/>
      <c r="O14" s="182"/>
      <c r="P14" s="182"/>
      <c r="Q14" s="182"/>
      <c r="R14" s="176"/>
      <c r="S14" s="182"/>
      <c r="T14" s="182"/>
      <c r="U14" s="182"/>
      <c r="V14" s="182"/>
      <c r="W14" s="176"/>
      <c r="X14" s="182"/>
      <c r="Y14" s="182"/>
      <c r="Z14" s="182"/>
      <c r="AA14" s="182"/>
      <c r="AB14" s="176"/>
      <c r="AC14" s="182"/>
      <c r="AD14" s="182"/>
      <c r="AE14" s="182"/>
      <c r="AF14" s="182"/>
      <c r="AG14" s="176"/>
      <c r="AH14" s="182"/>
      <c r="AI14" s="182"/>
      <c r="AJ14" s="182"/>
      <c r="AK14" s="182"/>
      <c r="AL14" s="176"/>
      <c r="AM14" s="182"/>
      <c r="AN14" s="182"/>
      <c r="AO14" s="182"/>
      <c r="AP14" s="182"/>
      <c r="AQ14" s="176"/>
      <c r="AR14" s="182"/>
      <c r="AS14" s="182"/>
      <c r="AT14" s="182"/>
      <c r="AU14" s="182"/>
      <c r="AV14" s="176"/>
      <c r="AW14" s="182"/>
      <c r="AX14" s="182"/>
      <c r="AY14" s="182"/>
      <c r="AZ14" s="182"/>
      <c r="BA14" s="176"/>
      <c r="BB14" s="182"/>
      <c r="BC14" s="182"/>
      <c r="BD14" s="182"/>
      <c r="BE14" s="182"/>
      <c r="BF14" s="176"/>
      <c r="BG14" s="182"/>
      <c r="BH14" s="182"/>
      <c r="BI14" s="182"/>
      <c r="BJ14" s="182"/>
      <c r="BK14" s="176"/>
      <c r="BL14" s="182"/>
      <c r="BM14" s="182"/>
      <c r="BN14" s="182"/>
      <c r="BO14" s="182"/>
      <c r="BP14" s="176"/>
      <c r="BQ14" s="182"/>
      <c r="BR14" s="182"/>
      <c r="BS14" s="182"/>
      <c r="BT14" s="182"/>
      <c r="BU14" s="176"/>
      <c r="BV14" s="182"/>
      <c r="BW14" s="182"/>
      <c r="BX14" s="182"/>
      <c r="BY14" s="182"/>
      <c r="BZ14" s="199"/>
      <c r="CA14" s="200"/>
      <c r="CB14" s="148"/>
      <c r="CC14" s="147"/>
      <c r="CD14" s="189"/>
    </row>
    <row r="15" spans="1:82" outlineLevel="1" x14ac:dyDescent="0.35">
      <c r="A15" s="166">
        <v>6</v>
      </c>
      <c r="B15" s="161" t="s">
        <v>64</v>
      </c>
      <c r="C15" s="169"/>
      <c r="D15" s="151">
        <f>IFERROR(C15/D$1,0)*10^6</f>
        <v>0</v>
      </c>
      <c r="E15" s="151"/>
      <c r="F15" s="151">
        <f>IFERROR(C15/E15,0)</f>
        <v>0</v>
      </c>
      <c r="G15" s="151" t="str">
        <f>IFERROR(D15/E15," ")</f>
        <v xml:space="preserve"> </v>
      </c>
      <c r="H15" s="169"/>
      <c r="I15" s="151">
        <f>IFERROR(H15/I$1,0)*10^6</f>
        <v>0</v>
      </c>
      <c r="J15" s="151"/>
      <c r="K15" s="151">
        <f>IFERROR(H15/J15,0)</f>
        <v>0</v>
      </c>
      <c r="L15" s="151" t="str">
        <f>IFERROR(I15/J15," ")</f>
        <v xml:space="preserve"> </v>
      </c>
      <c r="M15" s="169"/>
      <c r="N15" s="151">
        <f>IFERROR(M15/N$1,0)*10^6</f>
        <v>0</v>
      </c>
      <c r="O15" s="151"/>
      <c r="P15" s="151">
        <f>IFERROR(M15/O15,0)</f>
        <v>0</v>
      </c>
      <c r="Q15" s="151" t="str">
        <f>IFERROR(N15/O15," ")</f>
        <v xml:space="preserve"> </v>
      </c>
      <c r="R15" s="169"/>
      <c r="S15" s="151">
        <f>IFERROR(R15/S$1,0)*10^6</f>
        <v>0</v>
      </c>
      <c r="T15" s="151"/>
      <c r="U15" s="151">
        <f>IFERROR(R15/T15,0)</f>
        <v>0</v>
      </c>
      <c r="V15" s="151" t="str">
        <f>IFERROR(S15/T15," ")</f>
        <v xml:space="preserve"> </v>
      </c>
      <c r="W15" s="169"/>
      <c r="X15" s="151">
        <f>IFERROR(W15/X$1,0)*10^6</f>
        <v>0</v>
      </c>
      <c r="Y15" s="151"/>
      <c r="Z15" s="151">
        <f>IFERROR(W15/Y15,0)</f>
        <v>0</v>
      </c>
      <c r="AA15" s="151" t="str">
        <f>IFERROR(X15/Y15," ")</f>
        <v xml:space="preserve"> </v>
      </c>
      <c r="AB15" s="169"/>
      <c r="AC15" s="151">
        <f>IFERROR(AB15/AC$1,0)*10^6</f>
        <v>0</v>
      </c>
      <c r="AD15" s="151"/>
      <c r="AE15" s="151">
        <f>IFERROR(AB15/AD15,0)</f>
        <v>0</v>
      </c>
      <c r="AF15" s="151" t="str">
        <f>IFERROR(AC15/AD15," ")</f>
        <v xml:space="preserve"> </v>
      </c>
      <c r="AG15" s="169"/>
      <c r="AH15" s="151">
        <f>IFERROR(AG15/AH$1,0)*10^6</f>
        <v>0</v>
      </c>
      <c r="AI15" s="151"/>
      <c r="AJ15" s="151">
        <f>IFERROR(AG15/AI15,0)</f>
        <v>0</v>
      </c>
      <c r="AK15" s="151" t="str">
        <f>IFERROR(AH15/AI15," ")</f>
        <v xml:space="preserve"> </v>
      </c>
      <c r="AL15" s="169"/>
      <c r="AM15" s="151">
        <f>IFERROR(AL15/AM$1,0)*10^6</f>
        <v>0</v>
      </c>
      <c r="AN15" s="151"/>
      <c r="AO15" s="151">
        <f>IFERROR(AL15/AN15,0)</f>
        <v>0</v>
      </c>
      <c r="AP15" s="151" t="str">
        <f>IFERROR(AM15/AN15," ")</f>
        <v xml:space="preserve"> </v>
      </c>
      <c r="AQ15" s="169"/>
      <c r="AR15" s="151">
        <f>IFERROR(AQ15/AR$1,0)*10^6</f>
        <v>0</v>
      </c>
      <c r="AS15" s="151"/>
      <c r="AT15" s="151">
        <f>IFERROR(AQ15/AS15,0)</f>
        <v>0</v>
      </c>
      <c r="AU15" s="151" t="str">
        <f>IFERROR(AR15/AS15," ")</f>
        <v xml:space="preserve"> </v>
      </c>
      <c r="AV15" s="169"/>
      <c r="AW15" s="151">
        <f>IFERROR(AV15/AW$1,0)*10^6</f>
        <v>0</v>
      </c>
      <c r="AX15" s="151"/>
      <c r="AY15" s="151">
        <f>IFERROR(AV15/AX15,0)</f>
        <v>0</v>
      </c>
      <c r="AZ15" s="151" t="str">
        <f>IFERROR(AW15/AX15," ")</f>
        <v xml:space="preserve"> </v>
      </c>
      <c r="BA15" s="169"/>
      <c r="BB15" s="151">
        <f>IFERROR(BA15/BB$1,0)*10^6</f>
        <v>0</v>
      </c>
      <c r="BC15" s="151"/>
      <c r="BD15" s="151">
        <f>IFERROR(BA15/BC15,0)</f>
        <v>0</v>
      </c>
      <c r="BE15" s="151" t="str">
        <f>IFERROR(BB15/BC15," ")</f>
        <v xml:space="preserve"> </v>
      </c>
      <c r="BF15" s="169"/>
      <c r="BG15" s="151">
        <f>IFERROR(BF15/BG$1,0)*10^6</f>
        <v>0</v>
      </c>
      <c r="BH15" s="151"/>
      <c r="BI15" s="151">
        <f>IFERROR(BF15/BH15,0)</f>
        <v>0</v>
      </c>
      <c r="BJ15" s="151" t="str">
        <f>IFERROR(BG15/BH15," ")</f>
        <v xml:space="preserve"> </v>
      </c>
      <c r="BK15" s="169"/>
      <c r="BL15" s="151">
        <f>IFERROR(BK15/BL$1,0)*10^6</f>
        <v>0</v>
      </c>
      <c r="BM15" s="151"/>
      <c r="BN15" s="151">
        <f>IFERROR(BK15/BM15,0)</f>
        <v>0</v>
      </c>
      <c r="BO15" s="151" t="str">
        <f>IFERROR(BL15/BM15," ")</f>
        <v xml:space="preserve"> </v>
      </c>
      <c r="BP15" s="169"/>
      <c r="BQ15" s="151">
        <f>IFERROR(BP15/BQ$1,0)*10^6</f>
        <v>0</v>
      </c>
      <c r="BR15" s="151"/>
      <c r="BS15" s="151">
        <f>IFERROR(BP15/BR15,0)</f>
        <v>0</v>
      </c>
      <c r="BT15" s="151" t="str">
        <f>IFERROR(BQ15/BR15," ")</f>
        <v xml:space="preserve"> </v>
      </c>
      <c r="BU15" s="169"/>
      <c r="BV15" s="151">
        <f>IFERROR(BU15/BV$1,0)*10^6</f>
        <v>0</v>
      </c>
      <c r="BW15" s="151"/>
      <c r="BX15" s="151">
        <f>IFERROR(BU15/BW15,0)</f>
        <v>0</v>
      </c>
      <c r="BY15" s="151" t="str">
        <f>IFERROR(BV15/BW15," ")</f>
        <v xml:space="preserve"> </v>
      </c>
      <c r="BZ15" s="196">
        <f>C15+H15+M15+R15+W15+AB15+AG15+AL15+AQ15+AV15+BA15+BF15+BK15+BP15+BU15</f>
        <v>0</v>
      </c>
      <c r="CA15" s="170">
        <f>D15+I15+N15+S15+X15+AC15+AH15+AM15+AR15+AW15+BB15+BG15+BL15+BQ15+BV15</f>
        <v>0</v>
      </c>
      <c r="CB15" s="170">
        <f>E15+J15+O15+T15+Y15+AD15+AI15+AN15+AS15+AX15+BC15+BH15+BM15+BR15+BW15</f>
        <v>0</v>
      </c>
      <c r="CC15" s="149" t="str">
        <f>IFERROR(BZ15/CB15," ")</f>
        <v xml:space="preserve"> </v>
      </c>
      <c r="CD15" s="153" t="str">
        <f>IFERROR(CA15/CB15," ")</f>
        <v xml:space="preserve"> </v>
      </c>
    </row>
    <row r="16" spans="1:82" x14ac:dyDescent="0.35">
      <c r="A16" s="146"/>
      <c r="C16" s="156"/>
      <c r="D16" s="183"/>
      <c r="E16" s="183"/>
      <c r="F16" s="183"/>
      <c r="G16" s="183"/>
      <c r="H16" s="156"/>
      <c r="I16" s="183"/>
      <c r="J16" s="183"/>
      <c r="K16" s="183"/>
      <c r="L16" s="183"/>
      <c r="M16" s="156"/>
      <c r="N16" s="183"/>
      <c r="O16" s="183"/>
      <c r="P16" s="183"/>
      <c r="Q16" s="183"/>
      <c r="R16" s="156"/>
      <c r="S16" s="183"/>
      <c r="T16" s="183"/>
      <c r="U16" s="183"/>
      <c r="V16" s="183"/>
      <c r="W16" s="156"/>
      <c r="X16" s="183"/>
      <c r="Y16" s="183"/>
      <c r="Z16" s="183"/>
      <c r="AA16" s="183"/>
      <c r="AB16" s="156"/>
      <c r="AC16" s="183"/>
      <c r="AD16" s="183"/>
      <c r="AE16" s="183"/>
      <c r="AF16" s="183"/>
      <c r="AG16" s="156"/>
      <c r="AH16" s="183"/>
      <c r="AI16" s="183"/>
      <c r="AJ16" s="183"/>
      <c r="AK16" s="183"/>
      <c r="AL16" s="156"/>
      <c r="AM16" s="183"/>
      <c r="AN16" s="183"/>
      <c r="AO16" s="183"/>
      <c r="AP16" s="183"/>
      <c r="AQ16" s="156"/>
      <c r="AR16" s="183"/>
      <c r="AS16" s="183"/>
      <c r="AT16" s="183"/>
      <c r="AU16" s="183"/>
      <c r="AV16" s="156"/>
      <c r="AW16" s="183"/>
      <c r="AX16" s="183"/>
      <c r="AY16" s="183"/>
      <c r="AZ16" s="183"/>
      <c r="BA16" s="156"/>
      <c r="BB16" s="183"/>
      <c r="BC16" s="183"/>
      <c r="BD16" s="183"/>
      <c r="BE16" s="183"/>
      <c r="BF16" s="156"/>
      <c r="BG16" s="183"/>
      <c r="BH16" s="183"/>
      <c r="BI16" s="183"/>
      <c r="BJ16" s="183"/>
      <c r="BK16" s="156"/>
      <c r="BL16" s="183"/>
      <c r="BM16" s="183"/>
      <c r="BN16" s="183"/>
      <c r="BO16" s="183"/>
      <c r="BP16" s="156"/>
      <c r="BQ16" s="183"/>
      <c r="BR16" s="183"/>
      <c r="BS16" s="183"/>
      <c r="BT16" s="183"/>
      <c r="BU16" s="156"/>
      <c r="BV16" s="183"/>
      <c r="BW16" s="183"/>
      <c r="BX16" s="183"/>
      <c r="BY16" s="183"/>
      <c r="BZ16" s="201"/>
      <c r="CA16" s="156"/>
      <c r="CB16" s="148"/>
      <c r="CD16" s="189"/>
    </row>
    <row r="17" spans="1:82" ht="16" customHeight="1" outlineLevel="1" x14ac:dyDescent="0.35">
      <c r="A17" s="184">
        <v>7</v>
      </c>
      <c r="B17" s="161" t="s">
        <v>70</v>
      </c>
      <c r="C17" s="152"/>
      <c r="D17" s="151">
        <f>IFERROR(C17/D$1,0)*10^6</f>
        <v>0</v>
      </c>
      <c r="E17" s="185"/>
      <c r="F17" s="151">
        <f>IFERROR(C17/E17,0)</f>
        <v>0</v>
      </c>
      <c r="G17" s="153" t="str">
        <f>IFERROR(D17/E17," ")</f>
        <v xml:space="preserve"> </v>
      </c>
      <c r="H17" s="152"/>
      <c r="I17" s="151">
        <f>IFERROR(H17/I$1,0)*10^6</f>
        <v>0</v>
      </c>
      <c r="J17" s="185"/>
      <c r="K17" s="151">
        <f>IFERROR(H17/J17,0)</f>
        <v>0</v>
      </c>
      <c r="L17" s="153" t="str">
        <f>IFERROR(I17/J17," ")</f>
        <v xml:space="preserve"> </v>
      </c>
      <c r="M17" s="152">
        <v>209</v>
      </c>
      <c r="N17" s="151">
        <f>IFERROR(M17/N$1,0)*10^6</f>
        <v>8323.3771405814423</v>
      </c>
      <c r="O17" s="152">
        <v>11</v>
      </c>
      <c r="P17" s="151">
        <f>IFERROR(M17/O17,0)</f>
        <v>19</v>
      </c>
      <c r="Q17" s="153">
        <f>IFERROR(N17/O17," ")</f>
        <v>756.67064914376749</v>
      </c>
      <c r="R17" s="152"/>
      <c r="S17" s="151">
        <f>IFERROR(R17/S$1,0)*10^6</f>
        <v>0</v>
      </c>
      <c r="T17" s="152"/>
      <c r="U17" s="151">
        <f>IFERROR(R17/T17,0)</f>
        <v>0</v>
      </c>
      <c r="V17" s="153" t="str">
        <f>IFERROR(S17/T17," ")</f>
        <v xml:space="preserve"> </v>
      </c>
      <c r="W17" s="152">
        <v>105.05</v>
      </c>
      <c r="X17" s="151">
        <f>IFERROR(W17/X$1,0)*10^6</f>
        <v>4168.6507936507942</v>
      </c>
      <c r="Y17" s="152">
        <v>5.5</v>
      </c>
      <c r="Z17" s="151">
        <f>IFERROR(W17/Y17,0)</f>
        <v>19.099999999999998</v>
      </c>
      <c r="AA17" s="153">
        <f>IFERROR(X17/Y17," ")</f>
        <v>757.93650793650806</v>
      </c>
      <c r="AB17" s="152">
        <v>209</v>
      </c>
      <c r="AC17" s="151">
        <f>IFERROR(AB17/AC$1,0)*10^6</f>
        <v>8264.1360221431405</v>
      </c>
      <c r="AD17" s="152">
        <v>11</v>
      </c>
      <c r="AE17" s="151">
        <f>IFERROR(AB17/AD17,0)</f>
        <v>19</v>
      </c>
      <c r="AF17" s="153">
        <f>IFERROR(AC17/AD17," ")</f>
        <v>751.28509292210367</v>
      </c>
      <c r="AG17" s="152"/>
      <c r="AH17" s="151">
        <f>IFERROR(AG17/AH$1,0)*10^6</f>
        <v>0</v>
      </c>
      <c r="AI17" s="152"/>
      <c r="AJ17" s="151">
        <f>IFERROR(AG17/AI17,0)</f>
        <v>0</v>
      </c>
      <c r="AK17" s="153" t="str">
        <f>IFERROR(AH17/AI17," ")</f>
        <v xml:space="preserve"> </v>
      </c>
      <c r="AL17" s="152">
        <f>209-82.64025</f>
        <v>126.35975000000001</v>
      </c>
      <c r="AM17" s="151">
        <f>IFERROR(AL17/AM$1,0)*10^6</f>
        <v>4968.9244986236736</v>
      </c>
      <c r="AN17" s="152">
        <f>11-5.25</f>
        <v>5.75</v>
      </c>
      <c r="AO17" s="151">
        <f>IFERROR(AL17/AN17,0)</f>
        <v>21.975608695652173</v>
      </c>
      <c r="AP17" s="153">
        <f>IFERROR(AM17/AN17," ")</f>
        <v>864.16078236933458</v>
      </c>
      <c r="AQ17" s="152"/>
      <c r="AR17" s="151">
        <f>IFERROR(AQ17/AR$1,0)*10^6</f>
        <v>0</v>
      </c>
      <c r="AS17" s="152"/>
      <c r="AT17" s="151">
        <f>IFERROR(AQ17/AS17,0)</f>
        <v>0</v>
      </c>
      <c r="AU17" s="153" t="str">
        <f>IFERROR(AR17/AS17," ")</f>
        <v xml:space="preserve"> </v>
      </c>
      <c r="AV17" s="152">
        <v>209</v>
      </c>
      <c r="AW17" s="151">
        <f>IFERROR(AV17/AW$1,0)*10^6</f>
        <v>8241.3249211356469</v>
      </c>
      <c r="AX17" s="152">
        <v>11</v>
      </c>
      <c r="AY17" s="151">
        <f>IFERROR(AV17/AX17,0)</f>
        <v>19</v>
      </c>
      <c r="AZ17" s="153">
        <f>IFERROR(AW17/AX17," ")</f>
        <v>749.21135646687696</v>
      </c>
      <c r="BA17" s="152"/>
      <c r="BB17" s="151">
        <f>IFERROR(BA17/BB$1,0)*10^6</f>
        <v>0</v>
      </c>
      <c r="BC17" s="152"/>
      <c r="BD17" s="151">
        <f>IFERROR(BA17/BC17,0)</f>
        <v>0</v>
      </c>
      <c r="BE17" s="153" t="str">
        <f>IFERROR(BB17/BC17," ")</f>
        <v xml:space="preserve"> </v>
      </c>
      <c r="BF17" s="152"/>
      <c r="BG17" s="151">
        <f>IFERROR(BF17/BG$1,0)*10^6</f>
        <v>0</v>
      </c>
      <c r="BH17" s="152"/>
      <c r="BI17" s="151">
        <f>IFERROR(BF17/BH17,0)</f>
        <v>0</v>
      </c>
      <c r="BJ17" s="153" t="str">
        <f>IFERROR(BG17/BH17," ")</f>
        <v xml:space="preserve"> </v>
      </c>
      <c r="BK17" s="152">
        <v>209</v>
      </c>
      <c r="BL17" s="151">
        <f>IFERROR(BK17/BL$1,0)*10^6</f>
        <v>8160.8746583365864</v>
      </c>
      <c r="BM17" s="152">
        <v>11</v>
      </c>
      <c r="BN17" s="151">
        <f>IFERROR(BK17/BM17,0)</f>
        <v>19</v>
      </c>
      <c r="BO17" s="153">
        <f>IFERROR(BL17/BM17," ")</f>
        <v>741.89769621241692</v>
      </c>
      <c r="BP17" s="152"/>
      <c r="BQ17" s="151">
        <f>IFERROR(BP17/BQ$1,0)*10^6</f>
        <v>0</v>
      </c>
      <c r="BR17" s="152"/>
      <c r="BS17" s="151">
        <f>IFERROR(BP17/BR17,0)</f>
        <v>0</v>
      </c>
      <c r="BT17" s="153" t="str">
        <f>IFERROR(BQ17/BR17," ")</f>
        <v xml:space="preserve"> </v>
      </c>
      <c r="BU17" s="152"/>
      <c r="BV17" s="151">
        <f>IFERROR(BU17/BV$1,0)*10^6</f>
        <v>0</v>
      </c>
      <c r="BW17" s="152"/>
      <c r="BX17" s="151">
        <f>IFERROR(BU17/BW17,0)</f>
        <v>0</v>
      </c>
      <c r="BY17" s="153" t="str">
        <f>IFERROR(BV17/BW17," ")</f>
        <v xml:space="preserve"> </v>
      </c>
      <c r="BZ17" s="196">
        <f>C17+H17+M17+R17+W17+AB17+AG17+AL17+AQ17+AV17+BA17+BF17+BK17+BP17+BU17</f>
        <v>1067.4097499999998</v>
      </c>
      <c r="CA17" s="170">
        <f>D17+I17+N17+S17+X17+AC17+AH17+AM17+AR17+AW17+BB17+BG17+BL17+BQ17+BV17</f>
        <v>42127.288034471283</v>
      </c>
      <c r="CB17" s="170">
        <f>E17+J17+O17+T17+Y17+AD17+AI17+AN17+AS17+AX17+BC17+BH17+BM17+BR17+BW17</f>
        <v>55.25</v>
      </c>
      <c r="CC17" s="149">
        <f>IFERROR(BZ17/CB17," ")</f>
        <v>19.319633484162893</v>
      </c>
      <c r="CD17" s="153">
        <f>IFERROR(CA17/CB17," ")</f>
        <v>762.48485130264771</v>
      </c>
    </row>
    <row r="18" spans="1:82" ht="13.25" customHeight="1" outlineLevel="1" x14ac:dyDescent="0.35">
      <c r="A18" s="183"/>
      <c r="B18" s="186"/>
      <c r="C18" s="159"/>
      <c r="D18" s="158"/>
      <c r="E18" s="187"/>
      <c r="F18" s="160"/>
      <c r="G18" s="160"/>
      <c r="H18" s="159"/>
      <c r="I18" s="158"/>
      <c r="J18" s="187"/>
      <c r="K18" s="160"/>
      <c r="L18" s="160"/>
      <c r="M18" s="159"/>
      <c r="N18" s="158"/>
      <c r="O18" s="187"/>
      <c r="P18" s="160"/>
      <c r="Q18" s="160"/>
      <c r="R18" s="159"/>
      <c r="S18" s="158"/>
      <c r="T18" s="187"/>
      <c r="U18" s="160"/>
      <c r="V18" s="160"/>
      <c r="W18" s="159"/>
      <c r="X18" s="158"/>
      <c r="Y18" s="187"/>
      <c r="Z18" s="160"/>
      <c r="AA18" s="160"/>
      <c r="AB18" s="159"/>
      <c r="AC18" s="158"/>
      <c r="AD18" s="187"/>
      <c r="AE18" s="160"/>
      <c r="AF18" s="160"/>
      <c r="AG18" s="159"/>
      <c r="AH18" s="158"/>
      <c r="AI18" s="187"/>
      <c r="AJ18" s="160"/>
      <c r="AK18" s="160"/>
      <c r="AL18" s="159"/>
      <c r="AM18" s="158"/>
      <c r="AN18" s="187"/>
      <c r="AO18" s="160"/>
      <c r="AP18" s="160"/>
      <c r="AQ18" s="159"/>
      <c r="AR18" s="158"/>
      <c r="AS18" s="187"/>
      <c r="AT18" s="160"/>
      <c r="AU18" s="160"/>
      <c r="AV18" s="159"/>
      <c r="AW18" s="158"/>
      <c r="AX18" s="187"/>
      <c r="AY18" s="160"/>
      <c r="AZ18" s="160"/>
      <c r="BA18" s="159"/>
      <c r="BB18" s="158"/>
      <c r="BC18" s="187"/>
      <c r="BD18" s="160"/>
      <c r="BE18" s="160"/>
      <c r="BF18" s="159"/>
      <c r="BG18" s="158"/>
      <c r="BH18" s="187"/>
      <c r="BI18" s="160"/>
      <c r="BJ18" s="160"/>
      <c r="BK18" s="159"/>
      <c r="BL18" s="158"/>
      <c r="BM18" s="187"/>
      <c r="BN18" s="160"/>
      <c r="BO18" s="160"/>
      <c r="BP18" s="159"/>
      <c r="BQ18" s="158"/>
      <c r="BR18" s="187"/>
      <c r="BS18" s="160"/>
      <c r="BT18" s="160"/>
      <c r="BU18" s="159"/>
      <c r="BV18" s="158"/>
      <c r="BW18" s="187"/>
      <c r="BX18" s="160"/>
      <c r="BY18" s="160"/>
      <c r="BZ18" s="202"/>
      <c r="CA18" s="203"/>
      <c r="CB18" s="148"/>
      <c r="CC18" s="190"/>
      <c r="CD18" s="191"/>
    </row>
    <row r="19" spans="1:82" ht="17" hidden="1" customHeight="1" outlineLevel="1" x14ac:dyDescent="0.35">
      <c r="A19" s="184">
        <v>8</v>
      </c>
      <c r="B19" s="161" t="s">
        <v>78</v>
      </c>
      <c r="C19" s="152"/>
      <c r="D19" s="151">
        <f>IFERROR(C19/D$1,0)*10^6</f>
        <v>0</v>
      </c>
      <c r="E19" s="185"/>
      <c r="F19" s="151">
        <f>IFERROR(C19/E19,0)</f>
        <v>0</v>
      </c>
      <c r="G19" s="153" t="str">
        <f>IFERROR(D19/E19," ")</f>
        <v xml:space="preserve"> </v>
      </c>
      <c r="H19" s="152"/>
      <c r="I19" s="151">
        <f>IFERROR(H19/I$1,0)*10^6</f>
        <v>0</v>
      </c>
      <c r="J19" s="185"/>
      <c r="K19" s="151">
        <f>IFERROR(H19/J19,0)</f>
        <v>0</v>
      </c>
      <c r="L19" s="153" t="str">
        <f>IFERROR(I19/J19," ")</f>
        <v xml:space="preserve"> </v>
      </c>
      <c r="M19" s="152"/>
      <c r="N19" s="151">
        <f>IFERROR(M19/N$1,0)*10^6</f>
        <v>0</v>
      </c>
      <c r="O19" s="185"/>
      <c r="P19" s="151">
        <f>IFERROR(M19/O19,0)</f>
        <v>0</v>
      </c>
      <c r="Q19" s="153" t="str">
        <f>IFERROR(N19/O19," ")</f>
        <v xml:space="preserve"> </v>
      </c>
      <c r="R19" s="152"/>
      <c r="S19" s="151">
        <f>IFERROR(R19/S$1,0)*10^6</f>
        <v>0</v>
      </c>
      <c r="T19" s="185"/>
      <c r="U19" s="151">
        <f>IFERROR(R19/T19,0)</f>
        <v>0</v>
      </c>
      <c r="V19" s="153" t="str">
        <f>IFERROR(S19/T19," ")</f>
        <v xml:space="preserve"> </v>
      </c>
      <c r="W19" s="152"/>
      <c r="X19" s="151">
        <f>IFERROR(W19/X$1,0)*10^6</f>
        <v>0</v>
      </c>
      <c r="Y19" s="185"/>
      <c r="Z19" s="151">
        <f>IFERROR(W19/Y19,0)</f>
        <v>0</v>
      </c>
      <c r="AA19" s="153" t="str">
        <f>IFERROR(X19/Y19," ")</f>
        <v xml:space="preserve"> </v>
      </c>
      <c r="AB19" s="152"/>
      <c r="AC19" s="151">
        <f>IFERROR(AB19/AC$1,0)*10^6</f>
        <v>0</v>
      </c>
      <c r="AD19" s="185"/>
      <c r="AE19" s="151">
        <f>IFERROR(AB19/AD19,0)</f>
        <v>0</v>
      </c>
      <c r="AF19" s="153" t="str">
        <f>IFERROR(AC19/AD19," ")</f>
        <v xml:space="preserve"> </v>
      </c>
      <c r="AG19" s="152"/>
      <c r="AH19" s="151">
        <f>IFERROR(AG19/AH$1,0)*10^6</f>
        <v>0</v>
      </c>
      <c r="AI19" s="185"/>
      <c r="AJ19" s="151">
        <f>IFERROR(AG19/AI19,0)</f>
        <v>0</v>
      </c>
      <c r="AK19" s="153" t="str">
        <f>IFERROR(AH19/AI19," ")</f>
        <v xml:space="preserve"> </v>
      </c>
      <c r="AL19" s="152"/>
      <c r="AM19" s="151">
        <f>IFERROR(AL19/AM$1,0)*10^6</f>
        <v>0</v>
      </c>
      <c r="AN19" s="185"/>
      <c r="AO19" s="151">
        <f>IFERROR(AL19/AN19,0)</f>
        <v>0</v>
      </c>
      <c r="AP19" s="153" t="str">
        <f>IFERROR(AM19/AN19," ")</f>
        <v xml:space="preserve"> </v>
      </c>
      <c r="AQ19" s="152"/>
      <c r="AR19" s="151">
        <f>IFERROR(AQ19/AR$1,0)*10^6</f>
        <v>0</v>
      </c>
      <c r="AS19" s="185"/>
      <c r="AT19" s="151">
        <f>IFERROR(AQ19/AS19,0)</f>
        <v>0</v>
      </c>
      <c r="AU19" s="153" t="str">
        <f>IFERROR(AR19/AS19," ")</f>
        <v xml:space="preserve"> </v>
      </c>
      <c r="AV19" s="152"/>
      <c r="AW19" s="151">
        <f>IFERROR(AV19/AW$1,0)*10^6</f>
        <v>0</v>
      </c>
      <c r="AX19" s="185"/>
      <c r="AY19" s="151">
        <f>IFERROR(AV19/AX19,0)</f>
        <v>0</v>
      </c>
      <c r="AZ19" s="153" t="str">
        <f>IFERROR(AW19/AX19," ")</f>
        <v xml:space="preserve"> </v>
      </c>
      <c r="BA19" s="152"/>
      <c r="BB19" s="151">
        <f>IFERROR(BA19/BB$1,0)*10^6</f>
        <v>0</v>
      </c>
      <c r="BC19" s="185"/>
      <c r="BD19" s="151">
        <f>IFERROR(BA19/BC19,0)</f>
        <v>0</v>
      </c>
      <c r="BE19" s="153" t="str">
        <f>IFERROR(BB19/BC19," ")</f>
        <v xml:space="preserve"> </v>
      </c>
      <c r="BF19" s="152"/>
      <c r="BG19" s="151">
        <f>IFERROR(BF19/BG$1,0)*10^6</f>
        <v>0</v>
      </c>
      <c r="BH19" s="185"/>
      <c r="BI19" s="151">
        <f>IFERROR(BF19/BH19,0)</f>
        <v>0</v>
      </c>
      <c r="BJ19" s="153" t="str">
        <f>IFERROR(BG19/BH19," ")</f>
        <v xml:space="preserve"> </v>
      </c>
      <c r="BK19" s="152"/>
      <c r="BL19" s="151">
        <f>IFERROR(BK19/BL$1,0)*10^6</f>
        <v>0</v>
      </c>
      <c r="BM19" s="185"/>
      <c r="BN19" s="151">
        <f>IFERROR(BK19/BM19,0)</f>
        <v>0</v>
      </c>
      <c r="BO19" s="153" t="str">
        <f>IFERROR(BL19/BM19," ")</f>
        <v xml:space="preserve"> </v>
      </c>
      <c r="BP19" s="152"/>
      <c r="BQ19" s="151">
        <f>IFERROR(BP19/BQ$1,0)*10^6</f>
        <v>0</v>
      </c>
      <c r="BR19" s="185"/>
      <c r="BS19" s="151">
        <f>IFERROR(BP19/BR19,0)</f>
        <v>0</v>
      </c>
      <c r="BT19" s="153" t="str">
        <f>IFERROR(BQ19/BR19," ")</f>
        <v xml:space="preserve"> </v>
      </c>
      <c r="BU19" s="152"/>
      <c r="BV19" s="151">
        <f>IFERROR(BU19/BV$1,0)*10^6</f>
        <v>0</v>
      </c>
      <c r="BW19" s="185"/>
      <c r="BX19" s="151">
        <f>IFERROR(BU19/BW19,0)</f>
        <v>0</v>
      </c>
      <c r="BY19" s="153" t="str">
        <f>IFERROR(BV19/BW19," ")</f>
        <v xml:space="preserve"> </v>
      </c>
      <c r="BZ19" s="196">
        <f>C19+H19+M19+R19+W19+AB19+AG19+AL19+AQ19</f>
        <v>0</v>
      </c>
      <c r="CA19" s="170">
        <f>D19+I19+N19+S19+X19+AC19+AH19+AM19+AR19</f>
        <v>0</v>
      </c>
      <c r="CB19" s="170">
        <f>E19+J19+O19+T19+Y19+AD19+AI19+AN19+AS19</f>
        <v>0</v>
      </c>
      <c r="CC19" s="149" t="str">
        <f>IFERROR(BZ19/CB19," ")</f>
        <v xml:space="preserve"> </v>
      </c>
      <c r="CD19" s="153" t="str">
        <f>IFERROR(CA19/CB19," ")</f>
        <v xml:space="preserve"> </v>
      </c>
    </row>
    <row r="20" spans="1:82" ht="13.25" hidden="1" customHeight="1" outlineLevel="1" x14ac:dyDescent="0.35">
      <c r="A20" s="183"/>
      <c r="B20" s="186"/>
      <c r="C20" s="159"/>
      <c r="D20" s="158"/>
      <c r="E20" s="187"/>
      <c r="F20" s="160"/>
      <c r="G20" s="160"/>
      <c r="H20" s="159"/>
      <c r="I20" s="158"/>
      <c r="J20" s="187"/>
      <c r="K20" s="160"/>
      <c r="L20" s="160"/>
      <c r="M20" s="159"/>
      <c r="N20" s="158"/>
      <c r="O20" s="187"/>
      <c r="P20" s="160"/>
      <c r="Q20" s="160"/>
      <c r="R20" s="159"/>
      <c r="S20" s="158"/>
      <c r="T20" s="187"/>
      <c r="U20" s="160"/>
      <c r="V20" s="160"/>
      <c r="W20" s="159"/>
      <c r="X20" s="158"/>
      <c r="Y20" s="187"/>
      <c r="Z20" s="160"/>
      <c r="AA20" s="160"/>
      <c r="AB20" s="159"/>
      <c r="AC20" s="158"/>
      <c r="AD20" s="187"/>
      <c r="AE20" s="160"/>
      <c r="AF20" s="160"/>
      <c r="AG20" s="159"/>
      <c r="AH20" s="158"/>
      <c r="AI20" s="187"/>
      <c r="AJ20" s="160"/>
      <c r="AK20" s="160"/>
      <c r="AL20" s="159"/>
      <c r="AM20" s="158"/>
      <c r="AN20" s="187"/>
      <c r="AO20" s="160"/>
      <c r="AP20" s="160"/>
      <c r="AQ20" s="159"/>
      <c r="AR20" s="158"/>
      <c r="AS20" s="187"/>
      <c r="AT20" s="160"/>
      <c r="AU20" s="160"/>
      <c r="AV20" s="159"/>
      <c r="AW20" s="158"/>
      <c r="AX20" s="187"/>
      <c r="AY20" s="160"/>
      <c r="AZ20" s="160"/>
      <c r="BA20" s="159"/>
      <c r="BB20" s="158"/>
      <c r="BC20" s="187"/>
      <c r="BD20" s="160"/>
      <c r="BE20" s="160"/>
      <c r="BF20" s="159"/>
      <c r="BG20" s="158"/>
      <c r="BH20" s="187"/>
      <c r="BI20" s="160"/>
      <c r="BJ20" s="160"/>
      <c r="BK20" s="159"/>
      <c r="BL20" s="158"/>
      <c r="BM20" s="187"/>
      <c r="BN20" s="160"/>
      <c r="BO20" s="160"/>
      <c r="BP20" s="159"/>
      <c r="BQ20" s="158"/>
      <c r="BR20" s="187"/>
      <c r="BS20" s="160"/>
      <c r="BT20" s="160"/>
      <c r="BU20" s="159"/>
      <c r="BV20" s="158"/>
      <c r="BW20" s="187"/>
      <c r="BX20" s="160"/>
      <c r="BY20" s="160"/>
      <c r="BZ20" s="202"/>
      <c r="CA20" s="203"/>
      <c r="CB20" s="148"/>
      <c r="CC20" s="190"/>
      <c r="CD20" s="191"/>
    </row>
    <row r="21" spans="1:82" s="165" customFormat="1" ht="15" x14ac:dyDescent="0.3">
      <c r="A21" s="162"/>
      <c r="B21" s="163" t="s">
        <v>71</v>
      </c>
      <c r="C21" s="164">
        <f>C17+C15+C13+C11+C9+C7+C5+C19</f>
        <v>11687.330914</v>
      </c>
      <c r="D21" s="164">
        <f>D17+D15+D13+D11+D9+D7+D5+D19</f>
        <v>463599.00491868309</v>
      </c>
      <c r="E21" s="164">
        <f>E17+E15+E13+E11+E9+E7+E5+E19</f>
        <v>340.15</v>
      </c>
      <c r="F21" s="164">
        <f>C21/E21</f>
        <v>34.359344154049687</v>
      </c>
      <c r="G21" s="164">
        <f>IFERROR(D21/E21," ")</f>
        <v>1362.9251945279527</v>
      </c>
      <c r="H21" s="164">
        <f>H17+H15+H13+H11+H9+H7+H5+H19</f>
        <v>31743.63524</v>
      </c>
      <c r="I21" s="164">
        <f>I17+I15+I13+I11+I9+I7+I5+I19</f>
        <v>1259168.3950813168</v>
      </c>
      <c r="J21" s="164">
        <f>J17+J15+J13+J11+J9+J7+J5+J19</f>
        <v>975.7</v>
      </c>
      <c r="K21" s="164">
        <f>H21/J21</f>
        <v>32.534216705954698</v>
      </c>
      <c r="L21" s="164">
        <f>IFERROR(I21/J21," ")</f>
        <v>1290.5282310969733</v>
      </c>
      <c r="M21" s="164">
        <f>M17+M15+M13+M11+M9+M7+M5+M19</f>
        <v>54868.262140599996</v>
      </c>
      <c r="N21" s="164">
        <f>N17+N15+N13+N11+N9+N7+N5+N19</f>
        <v>2185115.9753325367</v>
      </c>
      <c r="O21" s="164">
        <f>O17+O15+O13+O11+O9+O7+O5+O19</f>
        <v>1843.7992999999999</v>
      </c>
      <c r="P21" s="164">
        <f>M21/O21</f>
        <v>29.758261726533902</v>
      </c>
      <c r="Q21" s="164">
        <f>IFERROR(N21/O21," ")</f>
        <v>1185.1159588424493</v>
      </c>
      <c r="R21" s="164">
        <f>R17+R15+R13+R11+R9+R7+R5+R19</f>
        <v>7026.2025190000004</v>
      </c>
      <c r="S21" s="164">
        <f>S17+S15+S13+S11+S9+S7+S5+S19</f>
        <v>282063.52946607792</v>
      </c>
      <c r="T21" s="164">
        <f>T17+T15+T13+T11+T9+T7+T5+T19</f>
        <v>328.35</v>
      </c>
      <c r="U21" s="164">
        <f>R21/T21</f>
        <v>21.39851536165677</v>
      </c>
      <c r="V21" s="164">
        <f>IFERROR(S21/T21," ")</f>
        <v>859.0331337477628</v>
      </c>
      <c r="W21" s="164">
        <f>W17+W15+W13+W11+W9+W7+W5+W19</f>
        <v>25583.647960000002</v>
      </c>
      <c r="X21" s="164">
        <f>X17+X15+X13+X11+X9+X7+X5+X19</f>
        <v>1015224.1253968255</v>
      </c>
      <c r="Y21" s="164">
        <f>Y17+Y15+Y13+Y11+Y9+Y7+Y5+Y19</f>
        <v>780.45</v>
      </c>
      <c r="Z21" s="164">
        <f>W21/Y21</f>
        <v>32.780636760843102</v>
      </c>
      <c r="AA21" s="164">
        <f>IFERROR(X21/Y21," ")</f>
        <v>1300.8189190810756</v>
      </c>
      <c r="AB21" s="164">
        <f>AB17+AB15+AB13+AB11+AB9+AB7+AB5+AB19</f>
        <v>64430.581704000004</v>
      </c>
      <c r="AC21" s="164">
        <f>AC17+AC15+AC13+AC11+AC9+AC7+AC5+AC19</f>
        <v>2547670.2927639382</v>
      </c>
      <c r="AD21" s="164">
        <f>AD17+AD15+AD13+AD11+AD9+AD7+AD5+AD19</f>
        <v>2005.9</v>
      </c>
      <c r="AE21" s="164">
        <f>AB21/AD21</f>
        <v>32.120535272944814</v>
      </c>
      <c r="AF21" s="164">
        <f>IFERROR(AC21/AD21," ")</f>
        <v>1270.0883856443184</v>
      </c>
      <c r="AG21" s="164">
        <f>AG17+AG15+AG13+AG11+AG9+AG7+AG5+AG19</f>
        <v>54595.724877999994</v>
      </c>
      <c r="AH21" s="164">
        <f>AH17+AH15+AH13+AH11+AH9+AH7+AH5+AH19</f>
        <v>2156229.2605845178</v>
      </c>
      <c r="AI21" s="164">
        <f>AI17+AI15+AI13+AI11+AI9+AI7+AI5+AI19</f>
        <v>1723.85</v>
      </c>
      <c r="AJ21" s="164">
        <f>AG21/AI21</f>
        <v>31.670809454418887</v>
      </c>
      <c r="AK21" s="164">
        <f>IFERROR(AH21/AI21," ")</f>
        <v>1250.8218583893715</v>
      </c>
      <c r="AL21" s="164">
        <f>AL17+AL15+AL13+AL11+AL9+AL7+AL5+AL19</f>
        <v>35878.684475140988</v>
      </c>
      <c r="AM21" s="164">
        <f>AM17+AM15+AM13+AM11+AM9+AM7+AM5+AM19</f>
        <v>1410880.2388966174</v>
      </c>
      <c r="AN21" s="164">
        <f>AN17+AN15+AN13+AN11+AN9+AN7+AN5+AN19</f>
        <v>1130.425</v>
      </c>
      <c r="AO21" s="164">
        <f>AL21/AN21</f>
        <v>31.73911093185394</v>
      </c>
      <c r="AP21" s="164">
        <f>IFERROR(AM21/AN21," ")</f>
        <v>1248.0971660186367</v>
      </c>
      <c r="AQ21" s="164">
        <f>AQ17+AQ15+AQ13+AQ11+AQ9+AQ7+AQ5+AQ19</f>
        <v>37714.557620729007</v>
      </c>
      <c r="AR21" s="164">
        <f>AR17+AR15+AR13+AR11+AR9+AR7+AR5+AR19</f>
        <v>1487753.7522970021</v>
      </c>
      <c r="AS21" s="164">
        <f>AS17+AS15+AS13+AS11+AS9+AS7+AS5+AS19</f>
        <v>1206.0999999999999</v>
      </c>
      <c r="AT21" s="164">
        <f>AQ21/AS21</f>
        <v>31.26984298211509</v>
      </c>
      <c r="AU21" s="164">
        <f>IFERROR(AR21/AS21," ")</f>
        <v>1233.5243779927057</v>
      </c>
      <c r="AV21" s="164">
        <f>AV17+AV15+AV13+AV11+AV9+AV7+AV5+AV19</f>
        <v>18060.494150000002</v>
      </c>
      <c r="AW21" s="164">
        <f>AW17+AW15+AW13+AW11+AW9+AW7+AW5+AW19</f>
        <v>712164.59582018934</v>
      </c>
      <c r="AX21" s="164">
        <f>AX17+AX15+AX13+AX11+AX9+AX7+AX5+AX19</f>
        <v>564.67499999999995</v>
      </c>
      <c r="AY21" s="164">
        <f>AV21/AX21</f>
        <v>31.983874175410641</v>
      </c>
      <c r="AZ21" s="164">
        <f>IFERROR(AW21/AX21," ")</f>
        <v>1261.1937766329117</v>
      </c>
      <c r="BA21" s="164">
        <f>BA17+BA15+BA13+BA11+BA9+BA7+BA5+BA19</f>
        <v>39256.395657200002</v>
      </c>
      <c r="BB21" s="164">
        <f>BB17+BB15+BB13+BB11+BB9+BB7+BB5+BB19</f>
        <v>1541885.1397172036</v>
      </c>
      <c r="BC21" s="164">
        <f>BC17+BC15+BC13+BC11+BC9+BC7+BC5+BC19</f>
        <v>1252.3999999999999</v>
      </c>
      <c r="BD21" s="164">
        <f>BA21/BC21</f>
        <v>31.344934251996172</v>
      </c>
      <c r="BE21" s="164">
        <f>IFERROR(BB21/BC21," ")</f>
        <v>1231.144314689559</v>
      </c>
      <c r="BF21" s="164">
        <f>BF17+BF15+BF13+BF11+BF9+BF7+BF5+BF19</f>
        <v>32911.069220799996</v>
      </c>
      <c r="BG21" s="164">
        <f>BG17+BG15+BG13+BG11+BG9+BG7+BG5+BG19</f>
        <v>1296732.4358077224</v>
      </c>
      <c r="BH21" s="164">
        <f>BH17+BH15+BH13+BH11+BH9+BH7+BH5+BH19</f>
        <v>1061.7249999999999</v>
      </c>
      <c r="BI21" s="164">
        <f>BF21/BH21</f>
        <v>30.997734084438061</v>
      </c>
      <c r="BJ21" s="164">
        <f>IFERROR(BG21/BH21," ")</f>
        <v>1221.3449205846359</v>
      </c>
      <c r="BK21" s="164">
        <f>BK17+BK15+BK13+BK11+BK9+BK7+BK5+BK19</f>
        <v>33842.570072000002</v>
      </c>
      <c r="BL21" s="164">
        <f>BL17+BL15+BL13+BL11+BL9+BL7+BL5+BL19</f>
        <v>1321459.1984381101</v>
      </c>
      <c r="BM21" s="164">
        <f>BM17+BM15+BM13+BM11+BM9+BM7+BM5+BM19</f>
        <v>1104.7250000000001</v>
      </c>
      <c r="BN21" s="164">
        <f>BK21/BM21</f>
        <v>30.63438418792007</v>
      </c>
      <c r="BO21" s="164">
        <f>IFERROR(BL21/BM21," ")</f>
        <v>1196.1883712581048</v>
      </c>
      <c r="BP21" s="164">
        <f>BP17+BP15+BP13+BP11+BP9+BP7+BP5+BP19</f>
        <v>27245.377699999997</v>
      </c>
      <c r="BQ21" s="164">
        <f>BQ17+BQ15+BQ13+BQ11+BQ9+BQ7+BQ5+BQ19</f>
        <v>1062197.9610136452</v>
      </c>
      <c r="BR21" s="164">
        <f>BR17+BR15+BR13+BR11+BR9+BR7+BR5+BR19</f>
        <v>841.75</v>
      </c>
      <c r="BS21" s="164">
        <f>BP21/BR21</f>
        <v>32.367541075141069</v>
      </c>
      <c r="BT21" s="164">
        <f>IFERROR(BQ21/BR21," ")</f>
        <v>1261.8924395766501</v>
      </c>
      <c r="BU21" s="164">
        <f>BU17+BU15+BU13+BU11+BU9+BU7+BU5+BU19</f>
        <v>32353.024498399998</v>
      </c>
      <c r="BV21" s="164">
        <f>BV17+BV15+BV13+BV11+BV9+BV7+BV5+BV19</f>
        <v>1258382.9054220149</v>
      </c>
      <c r="BW21" s="164">
        <f>BW17+BW15+BW13+BW11+BW9+BW7+BW5+BW19</f>
        <v>1018.025</v>
      </c>
      <c r="BX21" s="164">
        <f>BU21/BW21</f>
        <v>31.780186634316443</v>
      </c>
      <c r="BY21" s="164">
        <f>IFERROR(BV21/BW21," ")</f>
        <v>1236.1021639174037</v>
      </c>
      <c r="BZ21" s="178">
        <f>BZ17+BZ15+BZ13+BZ11+BZ9+BZ7+BZ5+BZ19</f>
        <v>507197.55874986993</v>
      </c>
      <c r="CA21" s="164">
        <f>CA17+CA15+CA13+CA11+CA9+CA7+CA5+CA19</f>
        <v>20000526.8109564</v>
      </c>
      <c r="CB21" s="164">
        <f>CB17+CB15+CB13+CB11+CB9+CB7+CB5+CB19</f>
        <v>16178.024300000001</v>
      </c>
      <c r="CC21" s="164">
        <f>BZ21/CB21</f>
        <v>31.351019713196369</v>
      </c>
      <c r="CD21" s="164">
        <f>CA21/CB21</f>
        <v>1236.2774613310723</v>
      </c>
    </row>
    <row r="22" spans="1:82" ht="16" x14ac:dyDescent="0.35">
      <c r="B22" s="155"/>
      <c r="T22" s="188"/>
      <c r="Y22" s="188"/>
      <c r="AD22" s="188"/>
      <c r="AI22" s="188"/>
      <c r="CB22" s="190"/>
    </row>
    <row r="23" spans="1:82" ht="16" x14ac:dyDescent="0.35">
      <c r="B23" s="155"/>
      <c r="CB23" s="188"/>
    </row>
    <row r="24" spans="1:82" ht="16" x14ac:dyDescent="0.35">
      <c r="B24" s="155"/>
      <c r="R24" s="188"/>
      <c r="W24" s="188"/>
      <c r="AB24" s="188"/>
      <c r="AG24" s="188"/>
    </row>
    <row r="25" spans="1:82" ht="16" x14ac:dyDescent="0.35">
      <c r="B25" s="155"/>
    </row>
    <row r="26" spans="1:82" ht="16" x14ac:dyDescent="0.35">
      <c r="B26" s="155"/>
    </row>
    <row r="27" spans="1:82" ht="16" x14ac:dyDescent="0.35">
      <c r="B27" s="155"/>
    </row>
    <row r="28" spans="1:82" ht="16" x14ac:dyDescent="0.35">
      <c r="B28" s="155"/>
    </row>
  </sheetData>
  <mergeCells count="50">
    <mergeCell ref="BU2:BY2"/>
    <mergeCell ref="BU3:BV3"/>
    <mergeCell ref="BX3:BY3"/>
    <mergeCell ref="BK2:BO2"/>
    <mergeCell ref="BK3:BL3"/>
    <mergeCell ref="BN3:BO3"/>
    <mergeCell ref="BP2:BT2"/>
    <mergeCell ref="BP3:BQ3"/>
    <mergeCell ref="BS3:BT3"/>
    <mergeCell ref="AB2:AF2"/>
    <mergeCell ref="AB3:AC3"/>
    <mergeCell ref="AE3:AF3"/>
    <mergeCell ref="AG2:AK2"/>
    <mergeCell ref="AG3:AH3"/>
    <mergeCell ref="AJ3:AK3"/>
    <mergeCell ref="B2:B4"/>
    <mergeCell ref="A2:A4"/>
    <mergeCell ref="W2:AA2"/>
    <mergeCell ref="W3:X3"/>
    <mergeCell ref="Z3:AA3"/>
    <mergeCell ref="R3:S3"/>
    <mergeCell ref="U3:V3"/>
    <mergeCell ref="BZ3:CA3"/>
    <mergeCell ref="F3:G3"/>
    <mergeCell ref="C2:G2"/>
    <mergeCell ref="BZ2:CD2"/>
    <mergeCell ref="CC3:CD3"/>
    <mergeCell ref="C3:D3"/>
    <mergeCell ref="H2:L2"/>
    <mergeCell ref="H3:I3"/>
    <mergeCell ref="K3:L3"/>
    <mergeCell ref="M2:Q2"/>
    <mergeCell ref="M3:N3"/>
    <mergeCell ref="P3:Q3"/>
    <mergeCell ref="R2:V2"/>
    <mergeCell ref="BA2:BE2"/>
    <mergeCell ref="BA3:BB3"/>
    <mergeCell ref="BD3:BE3"/>
    <mergeCell ref="BF2:BJ2"/>
    <mergeCell ref="BF3:BG3"/>
    <mergeCell ref="BI3:BJ3"/>
    <mergeCell ref="AL3:AM3"/>
    <mergeCell ref="AO3:AP3"/>
    <mergeCell ref="AQ2:AU2"/>
    <mergeCell ref="AV2:AZ2"/>
    <mergeCell ref="AV3:AW3"/>
    <mergeCell ref="AY3:AZ3"/>
    <mergeCell ref="AQ3:AR3"/>
    <mergeCell ref="AT3:AU3"/>
    <mergeCell ref="AL2:AP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AF-73CF-4BC6-B053-AB42D528B17C}">
  <dimension ref="B1:BF40"/>
  <sheetViews>
    <sheetView showGridLines="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H19" sqref="H19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4" width="10" bestFit="1" customWidth="1"/>
    <col min="5" max="53" width="9.90625" bestFit="1" customWidth="1"/>
    <col min="54" max="54" width="9.54296875" customWidth="1"/>
    <col min="55" max="55" width="9.90625" bestFit="1" customWidth="1"/>
    <col min="56" max="56" width="9.54296875" style="50" bestFit="1" customWidth="1"/>
    <col min="57" max="57" width="9.1796875" bestFit="1" customWidth="1"/>
  </cols>
  <sheetData>
    <row r="1" spans="2:58" s="27" customFormat="1" ht="12.75" customHeight="1" x14ac:dyDescent="0.45">
      <c r="B1" s="27" t="str">
        <f>Daily!B1</f>
        <v>VN</v>
      </c>
      <c r="C1" s="145" t="s">
        <v>79</v>
      </c>
      <c r="D1" s="22">
        <f>Monthly!$P$15/52</f>
        <v>1057.6923077343602</v>
      </c>
      <c r="E1" s="22">
        <f>Monthly!$P$15/52</f>
        <v>1057.6923077343602</v>
      </c>
      <c r="F1" s="22">
        <f>Monthly!$P$15/52</f>
        <v>1057.6923077343602</v>
      </c>
      <c r="G1" s="22">
        <f>Monthly!$P$15/52</f>
        <v>1057.6923077343602</v>
      </c>
      <c r="H1" s="22">
        <f>Monthly!$P$15/52</f>
        <v>1057.6923077343602</v>
      </c>
      <c r="I1" s="22">
        <f>Monthly!$P$15/52</f>
        <v>1057.6923077343602</v>
      </c>
      <c r="J1" s="22">
        <f>Monthly!$P$15/52</f>
        <v>1057.6923077343602</v>
      </c>
      <c r="K1" s="22">
        <f>Monthly!$P$15/52</f>
        <v>1057.6923077343602</v>
      </c>
      <c r="L1" s="22">
        <f>Monthly!$P$15/52</f>
        <v>1057.6923077343602</v>
      </c>
      <c r="M1" s="22">
        <f>Monthly!$P$15/52</f>
        <v>1057.6923077343602</v>
      </c>
      <c r="N1" s="22">
        <f>Monthly!$P$15/52</f>
        <v>1057.6923077343602</v>
      </c>
      <c r="O1" s="22">
        <f>Monthly!$P$15/52</f>
        <v>1057.6923077343602</v>
      </c>
      <c r="P1" s="22">
        <f>Monthly!$P$15/52</f>
        <v>1057.6923077343602</v>
      </c>
      <c r="Q1" s="22">
        <f>Monthly!$P$15/52</f>
        <v>1057.6923077343602</v>
      </c>
      <c r="R1" s="22">
        <f>Monthly!$P$15/52</f>
        <v>1057.6923077343602</v>
      </c>
      <c r="S1" s="22">
        <f>Monthly!$P$15/52</f>
        <v>1057.6923077343602</v>
      </c>
      <c r="T1" s="22">
        <f>Monthly!$P$15/52</f>
        <v>1057.6923077343602</v>
      </c>
      <c r="U1" s="22">
        <f>Monthly!$P$15/52</f>
        <v>1057.6923077343602</v>
      </c>
      <c r="V1" s="22">
        <f>Monthly!$P$15/52</f>
        <v>1057.6923077343602</v>
      </c>
      <c r="W1" s="22">
        <f>Monthly!$P$15/52</f>
        <v>1057.6923077343602</v>
      </c>
      <c r="X1" s="22">
        <f>Monthly!$P$15/52</f>
        <v>1057.6923077343602</v>
      </c>
      <c r="Y1" s="22">
        <f>Monthly!$P$15/52</f>
        <v>1057.6923077343602</v>
      </c>
      <c r="Z1" s="22">
        <f>Monthly!$P$15/52</f>
        <v>1057.6923077343602</v>
      </c>
      <c r="AA1" s="22">
        <f>Monthly!$P$15/52</f>
        <v>1057.6923077343602</v>
      </c>
      <c r="AB1" s="22">
        <f>Monthly!$P$15/52</f>
        <v>1057.6923077343602</v>
      </c>
      <c r="AC1" s="22">
        <f>Monthly!$P$15/52</f>
        <v>1057.6923077343602</v>
      </c>
      <c r="AD1" s="22">
        <f>Monthly!$P$15/52</f>
        <v>1057.6923077343602</v>
      </c>
      <c r="AE1" s="22">
        <f>Monthly!$P$15/52</f>
        <v>1057.6923077343602</v>
      </c>
      <c r="AF1" s="22">
        <f>Monthly!$P$15/52</f>
        <v>1057.6923077343602</v>
      </c>
      <c r="AG1" s="22">
        <f>Monthly!$P$15/52</f>
        <v>1057.6923077343602</v>
      </c>
      <c r="AH1" s="22">
        <f>Monthly!$P$15/52</f>
        <v>1057.6923077343602</v>
      </c>
      <c r="AI1" s="22">
        <f>Monthly!$P$15/52</f>
        <v>1057.6923077343602</v>
      </c>
      <c r="AJ1" s="22">
        <f>Monthly!$P$15/52</f>
        <v>1057.6923077343602</v>
      </c>
      <c r="AK1" s="22">
        <f>Monthly!$P$15/52</f>
        <v>1057.6923077343602</v>
      </c>
      <c r="AL1" s="22">
        <f>Monthly!$P$15/52</f>
        <v>1057.6923077343602</v>
      </c>
      <c r="AM1" s="22">
        <f>Monthly!$P$15/52</f>
        <v>1057.6923077343602</v>
      </c>
      <c r="AN1" s="22">
        <f>Monthly!$P$15/52</f>
        <v>1057.6923077343602</v>
      </c>
      <c r="AO1" s="22">
        <f>Monthly!$P$15/52</f>
        <v>1057.6923077343602</v>
      </c>
      <c r="AP1" s="22">
        <f>Monthly!$P$15/52</f>
        <v>1057.6923077343602</v>
      </c>
      <c r="AQ1" s="22">
        <f>Monthly!$P$15/52</f>
        <v>1057.6923077343602</v>
      </c>
      <c r="AR1" s="22">
        <f>Monthly!$P$15/52</f>
        <v>1057.6923077343602</v>
      </c>
      <c r="AS1" s="22">
        <f>Monthly!$P$15/52</f>
        <v>1057.6923077343602</v>
      </c>
      <c r="AT1" s="22">
        <f>Monthly!$P$15/52</f>
        <v>1057.6923077343602</v>
      </c>
      <c r="AU1" s="22">
        <f>Monthly!$P$15/52</f>
        <v>1057.6923077343602</v>
      </c>
      <c r="AV1" s="22">
        <f>Monthly!$P$15/52</f>
        <v>1057.6923077343602</v>
      </c>
      <c r="AW1" s="22">
        <f>Monthly!$P$15/52</f>
        <v>1057.6923077343602</v>
      </c>
      <c r="AX1" s="22">
        <f>Monthly!$P$15/52</f>
        <v>1057.6923077343602</v>
      </c>
      <c r="AY1" s="22">
        <f>Monthly!$P$15/52</f>
        <v>1057.6923077343602</v>
      </c>
      <c r="AZ1" s="22">
        <f>Monthly!$P$15/52</f>
        <v>1057.6923077343602</v>
      </c>
      <c r="BA1" s="22">
        <f>Monthly!$P$15/52</f>
        <v>1057.6923077343602</v>
      </c>
      <c r="BB1" s="22">
        <f>Monthly!$P$15/52</f>
        <v>1057.6923077343602</v>
      </c>
      <c r="BC1" s="22">
        <f>Monthly!$P$15/52</f>
        <v>1057.6923077343602</v>
      </c>
      <c r="BD1" s="22">
        <f>Monthly!P15</f>
        <v>55000.000002186731</v>
      </c>
    </row>
    <row r="2" spans="2:58" s="50" customFormat="1" ht="16.5" x14ac:dyDescent="0.45">
      <c r="B2" s="55" t="str">
        <f>IF(B1="EN","ACTUAL (WEEKLY)"," BÁO CÁO THỰC HIỆN KPI HÀNG TUẦN")</f>
        <v xml:space="preserve"> BÁO CÁO THỰC HIỆN KPI HÀNG TUẦN</v>
      </c>
      <c r="C2" s="110"/>
      <c r="D2" s="134">
        <f>Monthly!$P$8/52</f>
        <v>32202.300244263122</v>
      </c>
      <c r="E2" s="134">
        <f>D2+Monthly!$P$8/52</f>
        <v>64404.600488526245</v>
      </c>
      <c r="F2" s="134">
        <f>E2+Monthly!$P$8/52</f>
        <v>96606.900732789363</v>
      </c>
      <c r="G2" s="134">
        <f>F2+Monthly!$P$8/52</f>
        <v>128809.20097705249</v>
      </c>
      <c r="H2" s="134">
        <f>G2+Monthly!$P$8/52</f>
        <v>161011.50122131562</v>
      </c>
      <c r="I2" s="134">
        <f>H2+Monthly!$P$8/52</f>
        <v>193213.80146557873</v>
      </c>
      <c r="J2" s="134">
        <f>I2+Monthly!$P$8/52</f>
        <v>225416.10170984184</v>
      </c>
      <c r="K2" s="134">
        <f>J2+Monthly!$P$8/52</f>
        <v>257618.40195410495</v>
      </c>
      <c r="L2" s="134">
        <f>K2+Monthly!$P$8/52</f>
        <v>289820.70219836809</v>
      </c>
      <c r="M2" s="134">
        <f>L2+Monthly!$P$8/52</f>
        <v>322023.00244263123</v>
      </c>
      <c r="N2" s="134">
        <f>M2+Monthly!$P$8/52</f>
        <v>354225.30268689437</v>
      </c>
      <c r="O2" s="134">
        <f>N2+Monthly!$P$8/52</f>
        <v>386427.60293115751</v>
      </c>
      <c r="P2" s="134">
        <f>O2+Monthly!$P$8/52</f>
        <v>418629.90317542065</v>
      </c>
      <c r="Q2" s="134">
        <f>P2+Monthly!$P$8/52</f>
        <v>450832.20341968379</v>
      </c>
      <c r="R2" s="134">
        <f>Q2+Monthly!$P$8/52</f>
        <v>483034.50366394693</v>
      </c>
      <c r="S2" s="134">
        <f>R2+Monthly!$P$8/52</f>
        <v>515236.80390821007</v>
      </c>
      <c r="T2" s="134">
        <f>S2+Monthly!$P$8/52</f>
        <v>547439.10415247316</v>
      </c>
      <c r="U2" s="134">
        <f>T2+Monthly!$P$8/52</f>
        <v>579641.4043967363</v>
      </c>
      <c r="V2" s="134">
        <f>U2+Monthly!$P$8/52</f>
        <v>611843.70464099944</v>
      </c>
      <c r="W2" s="134">
        <f>V2+Monthly!$P$8/52</f>
        <v>644046.00488526258</v>
      </c>
      <c r="X2" s="134">
        <f>W2+Monthly!$P$8/52</f>
        <v>676248.30512952572</v>
      </c>
      <c r="Y2" s="134">
        <f>X2+Monthly!$P$8/52</f>
        <v>708450.60537378886</v>
      </c>
      <c r="Z2" s="134">
        <f>Y2+Monthly!$P$8/52</f>
        <v>740652.905618052</v>
      </c>
      <c r="AA2" s="134">
        <f>Z2+Monthly!$P$8/52</f>
        <v>772855.20586231514</v>
      </c>
      <c r="AB2" s="134">
        <f>AA2+Monthly!$P$8/52</f>
        <v>805057.50610657828</v>
      </c>
      <c r="AC2" s="134">
        <f>AB2+Monthly!$P$8/52</f>
        <v>837259.80635084142</v>
      </c>
      <c r="AD2" s="134">
        <f>AC2+Monthly!$P$8/52</f>
        <v>869462.10659510456</v>
      </c>
      <c r="AE2" s="134">
        <f>AD2+Monthly!$P$8/52</f>
        <v>901664.4068393677</v>
      </c>
      <c r="AF2" s="134">
        <f>AE2+Monthly!$P$8/52</f>
        <v>933866.70708363084</v>
      </c>
      <c r="AG2" s="134">
        <f>AF2+Monthly!$P$8/52</f>
        <v>966069.00732789398</v>
      </c>
      <c r="AH2" s="134">
        <f>AG2+Monthly!$P$8/52</f>
        <v>998271.30757215712</v>
      </c>
      <c r="AI2" s="134">
        <f>AH2+Monthly!$P$8/52</f>
        <v>1030473.6078164203</v>
      </c>
      <c r="AJ2" s="134">
        <f>AI2+Monthly!$P$8/52</f>
        <v>1062675.9080606834</v>
      </c>
      <c r="AK2" s="134">
        <f>AJ2+Monthly!$P$8/52</f>
        <v>1094878.2083049465</v>
      </c>
      <c r="AL2" s="134">
        <f>AK2+Monthly!$P$8/52</f>
        <v>1127080.5085492097</v>
      </c>
      <c r="AM2" s="134">
        <f>AL2+Monthly!$P$8/52</f>
        <v>1159282.8087934728</v>
      </c>
      <c r="AN2" s="134">
        <f>AM2+Monthly!$P$8/52</f>
        <v>1191485.109037736</v>
      </c>
      <c r="AO2" s="134">
        <f>AN2+Monthly!$P$8/52</f>
        <v>1223687.4092819991</v>
      </c>
      <c r="AP2" s="134">
        <f>AO2+Monthly!$P$8/52</f>
        <v>1255889.7095262622</v>
      </c>
      <c r="AQ2" s="134">
        <f>AP2+Monthly!$P$8/52</f>
        <v>1288092.0097705254</v>
      </c>
      <c r="AR2" s="134">
        <f>AQ2+Monthly!$P$8/52</f>
        <v>1320294.3100147885</v>
      </c>
      <c r="AS2" s="134">
        <f>AR2+Monthly!$P$8/52</f>
        <v>1352496.6102590517</v>
      </c>
      <c r="AT2" s="134">
        <f>AS2+Monthly!$P$8/52</f>
        <v>1384698.9105033148</v>
      </c>
      <c r="AU2" s="134">
        <f>AT2+Monthly!$P$8/52</f>
        <v>1416901.2107475779</v>
      </c>
      <c r="AV2" s="134">
        <f>AU2+Monthly!$P$8/52</f>
        <v>1449103.5109918411</v>
      </c>
      <c r="AW2" s="134">
        <f>AV2+Monthly!$P$8/52</f>
        <v>1481305.8112361042</v>
      </c>
      <c r="AX2" s="134">
        <f>AW2+Monthly!$P$8/52</f>
        <v>1513508.1114803674</v>
      </c>
      <c r="AY2" s="134">
        <f>AX2+Monthly!$P$8/52</f>
        <v>1545710.4117246305</v>
      </c>
      <c r="AZ2" s="134">
        <f>AY2+Monthly!$P$8/52</f>
        <v>1577912.7119688937</v>
      </c>
      <c r="BA2" s="134">
        <f>AZ2+Monthly!$P$8/52</f>
        <v>1610115.0122131568</v>
      </c>
      <c r="BB2" s="134">
        <f>BA2+Monthly!$P$8/52</f>
        <v>1642317.3124574199</v>
      </c>
      <c r="BC2" s="134">
        <f>BB2+Monthly!$P$8/52</f>
        <v>1674519.6127016831</v>
      </c>
    </row>
    <row r="3" spans="2:58" x14ac:dyDescent="0.45">
      <c r="B3" s="9"/>
      <c r="C3" s="9"/>
      <c r="D3" s="135" t="s">
        <v>47</v>
      </c>
      <c r="E3" s="135">
        <v>2</v>
      </c>
      <c r="F3" s="135">
        <v>3</v>
      </c>
      <c r="G3" s="135">
        <v>4</v>
      </c>
      <c r="H3" s="135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 t="s">
        <v>48</v>
      </c>
      <c r="BD3" s="50" t="s">
        <v>41</v>
      </c>
    </row>
    <row r="4" spans="2:58" x14ac:dyDescent="0.45">
      <c r="B4" s="6">
        <v>1</v>
      </c>
      <c r="C4" s="63" t="s">
        <v>22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2:58" x14ac:dyDescent="0.45">
      <c r="B5" s="2"/>
      <c r="C5" s="3" t="s">
        <v>0</v>
      </c>
      <c r="D5" s="8">
        <v>0</v>
      </c>
      <c r="E5" s="8">
        <v>6665.2960000000003</v>
      </c>
      <c r="F5" s="8">
        <v>12347.897000000001</v>
      </c>
      <c r="G5" s="8">
        <v>11764.07</v>
      </c>
      <c r="H5" s="8">
        <v>7335.7969999999996</v>
      </c>
      <c r="I5" s="8">
        <f>Monthly!E5/4</f>
        <v>14035.371266739419</v>
      </c>
      <c r="J5" s="8">
        <f>Monthly!E5/4</f>
        <v>14035.371266739419</v>
      </c>
      <c r="K5" s="8">
        <f>Monthly!E5/4</f>
        <v>14035.371266739419</v>
      </c>
      <c r="L5" s="8">
        <f>Monthly!E5/4</f>
        <v>14035.371266739419</v>
      </c>
      <c r="M5" s="8">
        <f>Monthly!F5/4</f>
        <v>14585.331429229538</v>
      </c>
      <c r="N5" s="8">
        <f>Monthly!F5/4</f>
        <v>14585.331429229538</v>
      </c>
      <c r="O5" s="8">
        <f>Monthly!F5/4</f>
        <v>14585.331429229538</v>
      </c>
      <c r="P5" s="8">
        <f>Monthly!F5/4</f>
        <v>14585.331429229538</v>
      </c>
      <c r="Q5" s="8">
        <f>Monthly!G5/4</f>
        <v>15244.067551923175</v>
      </c>
      <c r="R5" s="8">
        <f>Monthly!G5/4</f>
        <v>15244.067551923175</v>
      </c>
      <c r="S5" s="8">
        <f>Monthly!G5/4</f>
        <v>15244.067551923175</v>
      </c>
      <c r="T5" s="8">
        <f>Monthly!G5/4</f>
        <v>15244.067551923175</v>
      </c>
      <c r="U5" s="8">
        <f>Monthly!H5/5</f>
        <v>12290.044014765595</v>
      </c>
      <c r="V5" s="8">
        <f>Monthly!H5/5</f>
        <v>12290.044014765595</v>
      </c>
      <c r="W5" s="8">
        <f>Monthly!H5/5</f>
        <v>12290.044014765595</v>
      </c>
      <c r="X5" s="8">
        <f>Monthly!H5/5</f>
        <v>12290.044014765595</v>
      </c>
      <c r="Y5" s="8">
        <f>Monthly!H5/5</f>
        <v>12290.044014765595</v>
      </c>
      <c r="Z5" s="8">
        <f>Monthly!I5/4</f>
        <v>14621.455952083637</v>
      </c>
      <c r="AA5" s="8">
        <f>Monthly!I5/4</f>
        <v>14621.455952083637</v>
      </c>
      <c r="AB5" s="8">
        <f>Monthly!I5/4</f>
        <v>14621.455952083637</v>
      </c>
      <c r="AC5" s="8">
        <f>Monthly!I5/4</f>
        <v>14621.455952083637</v>
      </c>
      <c r="AD5" s="8">
        <f>Monthly!J5/5</f>
        <v>12103.405064501088</v>
      </c>
      <c r="AE5" s="8">
        <f>Monthly!J5/5</f>
        <v>12103.405064501088</v>
      </c>
      <c r="AF5" s="8">
        <f>Monthly!J5/5</f>
        <v>12103.405064501088</v>
      </c>
      <c r="AG5" s="8">
        <f>Monthly!J5/5</f>
        <v>12103.405064501088</v>
      </c>
      <c r="AH5" s="8">
        <f>Monthly!J5/5</f>
        <v>12103.405064501088</v>
      </c>
      <c r="AI5" s="8">
        <f>Monthly!K5/4</f>
        <v>15926.865863172517</v>
      </c>
      <c r="AJ5" s="8">
        <f>Monthly!K5/4</f>
        <v>15926.865863172517</v>
      </c>
      <c r="AK5" s="8">
        <f>Monthly!K5/4</f>
        <v>15926.865863172517</v>
      </c>
      <c r="AL5" s="8">
        <f>Monthly!K5/4</f>
        <v>15926.865863172517</v>
      </c>
      <c r="AM5" s="8">
        <f>Monthly!L5/4</f>
        <v>13853.196369207006</v>
      </c>
      <c r="AN5" s="8">
        <f>Monthly!L5/4</f>
        <v>13853.196369207006</v>
      </c>
      <c r="AO5" s="8">
        <f>Monthly!L5/4</f>
        <v>13853.196369207006</v>
      </c>
      <c r="AP5" s="8">
        <f>Monthly!L5/4</f>
        <v>13853.196369207006</v>
      </c>
      <c r="AQ5" s="8">
        <f>Monthly!M5/5</f>
        <v>11859.032635541816</v>
      </c>
      <c r="AR5" s="8">
        <f>Monthly!M5/5</f>
        <v>11859.032635541816</v>
      </c>
      <c r="AS5" s="8">
        <f>Monthly!M5/5</f>
        <v>11859.032635541816</v>
      </c>
      <c r="AT5" s="8">
        <f>Monthly!M5/5</f>
        <v>11859.032635541816</v>
      </c>
      <c r="AU5" s="8">
        <f>Monthly!M5/5</f>
        <v>11859.032635541816</v>
      </c>
      <c r="AV5" s="8">
        <f>Monthly!N5/4</f>
        <v>15123.858493343096</v>
      </c>
      <c r="AW5" s="8">
        <f>Monthly!N5/4</f>
        <v>15123.858493343096</v>
      </c>
      <c r="AX5" s="8">
        <f>Monthly!N5/4</f>
        <v>15123.858493343096</v>
      </c>
      <c r="AY5" s="8">
        <f>Monthly!N5/4</f>
        <v>15123.858493343096</v>
      </c>
      <c r="AZ5" s="8">
        <f>Monthly!O5/4</f>
        <v>15483.96289517922</v>
      </c>
      <c r="BA5" s="8">
        <f>Monthly!O5/4</f>
        <v>15483.96289517922</v>
      </c>
      <c r="BB5" s="8">
        <f>Monthly!O5/4</f>
        <v>15483.96289517922</v>
      </c>
      <c r="BC5" s="8">
        <f>Monthly!O5/4</f>
        <v>15483.96289517922</v>
      </c>
      <c r="BD5" s="208">
        <v>8712.594000000001</v>
      </c>
      <c r="BE5" s="79"/>
      <c r="BF5" s="79"/>
    </row>
    <row r="6" spans="2:58" x14ac:dyDescent="0.45">
      <c r="B6" s="2"/>
      <c r="C6" s="3" t="s">
        <v>4</v>
      </c>
      <c r="D6" s="8">
        <v>0</v>
      </c>
      <c r="E6" s="8">
        <v>19483.190000000002</v>
      </c>
      <c r="F6" s="8">
        <v>18993.54</v>
      </c>
      <c r="G6" s="8">
        <v>13093.67</v>
      </c>
      <c r="H6" s="8">
        <v>1901.6899999999998</v>
      </c>
      <c r="I6" s="8">
        <f>Monthly!E6/4</f>
        <v>18393.748772727271</v>
      </c>
      <c r="J6" s="8">
        <f>Monthly!E6/4</f>
        <v>18393.748772727271</v>
      </c>
      <c r="K6" s="8">
        <f>Monthly!E6/4</f>
        <v>18393.748772727271</v>
      </c>
      <c r="L6" s="8">
        <f>Monthly!E6/4</f>
        <v>18393.748772727271</v>
      </c>
      <c r="M6" s="8">
        <f>Monthly!F6/4</f>
        <v>21268.998772727271</v>
      </c>
      <c r="N6" s="8">
        <f>Monthly!F6/4</f>
        <v>21268.998772727271</v>
      </c>
      <c r="O6" s="8">
        <f>Monthly!F6/4</f>
        <v>21268.998772727271</v>
      </c>
      <c r="P6" s="8">
        <f>Monthly!F6/4</f>
        <v>21268.998772727271</v>
      </c>
      <c r="Q6" s="8">
        <f>Monthly!G6/4</f>
        <v>18141.760272727275</v>
      </c>
      <c r="R6" s="8">
        <f>Monthly!G6/4</f>
        <v>18141.760272727275</v>
      </c>
      <c r="S6" s="8">
        <f>Monthly!G6/4</f>
        <v>18141.760272727275</v>
      </c>
      <c r="T6" s="8">
        <f>Monthly!G6/4</f>
        <v>18141.760272727275</v>
      </c>
      <c r="U6" s="8">
        <f>Monthly!H6/5</f>
        <v>16128.085018181819</v>
      </c>
      <c r="V6" s="8">
        <f>Monthly!H6/5</f>
        <v>16128.085018181819</v>
      </c>
      <c r="W6" s="8">
        <f>Monthly!H6/5</f>
        <v>16128.085018181819</v>
      </c>
      <c r="X6" s="8">
        <f>Monthly!H6/5</f>
        <v>16128.085018181819</v>
      </c>
      <c r="Y6" s="8">
        <f>Monthly!H6/5</f>
        <v>16128.085018181819</v>
      </c>
      <c r="Z6" s="8">
        <f>Monthly!I6/4</f>
        <v>21173.506022727273</v>
      </c>
      <c r="AA6" s="8">
        <f>Monthly!I6/4</f>
        <v>21173.506022727273</v>
      </c>
      <c r="AB6" s="8">
        <f>Monthly!I6/4</f>
        <v>21173.506022727273</v>
      </c>
      <c r="AC6" s="8">
        <f>Monthly!I6/4</f>
        <v>21173.506022727273</v>
      </c>
      <c r="AD6" s="8">
        <f>Monthly!J6/5</f>
        <v>16351.037709090908</v>
      </c>
      <c r="AE6" s="8">
        <f>Monthly!J6/5</f>
        <v>16351.037709090908</v>
      </c>
      <c r="AF6" s="8">
        <f>Monthly!J6/5</f>
        <v>16351.037709090908</v>
      </c>
      <c r="AG6" s="8">
        <f>Monthly!J6/5</f>
        <v>16351.037709090908</v>
      </c>
      <c r="AH6" s="8">
        <f>Monthly!J6/5</f>
        <v>16351.037709090908</v>
      </c>
      <c r="AI6" s="8">
        <f>Monthly!K6/4</f>
        <v>18590.316136363635</v>
      </c>
      <c r="AJ6" s="8">
        <f>Monthly!K6/4</f>
        <v>18590.316136363635</v>
      </c>
      <c r="AK6" s="8">
        <f>Monthly!K6/4</f>
        <v>18590.316136363635</v>
      </c>
      <c r="AL6" s="8">
        <f>Monthly!K6/4</f>
        <v>18590.316136363635</v>
      </c>
      <c r="AM6" s="8">
        <f>Monthly!L6/4</f>
        <v>22412.967636363635</v>
      </c>
      <c r="AN6" s="8">
        <f>Monthly!L6/4</f>
        <v>22412.967636363635</v>
      </c>
      <c r="AO6" s="8">
        <f>Monthly!L6/4</f>
        <v>22412.967636363635</v>
      </c>
      <c r="AP6" s="8">
        <f>Monthly!L6/4</f>
        <v>22412.967636363635</v>
      </c>
      <c r="AQ6" s="8">
        <f>Monthly!M6/5</f>
        <v>15096.336909090907</v>
      </c>
      <c r="AR6" s="8">
        <f>Monthly!M6/5</f>
        <v>15096.336909090907</v>
      </c>
      <c r="AS6" s="8">
        <f>Monthly!M6/5</f>
        <v>15096.336909090907</v>
      </c>
      <c r="AT6" s="8">
        <f>Monthly!M6/5</f>
        <v>15096.336909090907</v>
      </c>
      <c r="AU6" s="8">
        <f>Monthly!M6/5</f>
        <v>15096.336909090907</v>
      </c>
      <c r="AV6" s="8">
        <f>Monthly!N6/4</f>
        <v>20576.093636363636</v>
      </c>
      <c r="AW6" s="8">
        <f>Monthly!N6/4</f>
        <v>20576.093636363636</v>
      </c>
      <c r="AX6" s="8">
        <f>Monthly!N6/4</f>
        <v>20576.093636363636</v>
      </c>
      <c r="AY6" s="8">
        <f>Monthly!N6/4</f>
        <v>20576.093636363636</v>
      </c>
      <c r="AZ6" s="8">
        <f>Monthly!O6/4</f>
        <v>20577.007886363637</v>
      </c>
      <c r="BA6" s="8">
        <f>Monthly!O6/4</f>
        <v>20577.007886363637</v>
      </c>
      <c r="BB6" s="8">
        <f>Monthly!O6/4</f>
        <v>20577.007886363637</v>
      </c>
      <c r="BC6" s="8">
        <f>Monthly!O6/4</f>
        <v>20577.007886363637</v>
      </c>
      <c r="BD6" s="208">
        <v>8386.5300000000007</v>
      </c>
      <c r="BE6" s="79"/>
      <c r="BF6" s="79"/>
    </row>
    <row r="7" spans="2:58" x14ac:dyDescent="0.45">
      <c r="B7" s="29"/>
      <c r="C7" s="30" t="s">
        <v>5</v>
      </c>
      <c r="D7" s="8">
        <v>0</v>
      </c>
      <c r="E7" s="8">
        <v>3251.3999999999996</v>
      </c>
      <c r="F7" s="8">
        <v>2663.1</v>
      </c>
      <c r="G7" s="8">
        <v>4910.25</v>
      </c>
      <c r="H7" s="8">
        <v>3919.67</v>
      </c>
      <c r="I7" s="8">
        <f>Monthly!E7/4</f>
        <v>83.806250000000006</v>
      </c>
      <c r="J7" s="8">
        <f>Monthly!E7/4</f>
        <v>83.806250000000006</v>
      </c>
      <c r="K7" s="8">
        <f>Monthly!E7/4</f>
        <v>83.806250000000006</v>
      </c>
      <c r="L7" s="8">
        <f>Monthly!E7/4</f>
        <v>83.806250000000006</v>
      </c>
      <c r="M7" s="8">
        <f>Monthly!F7/4</f>
        <v>83.806250000000006</v>
      </c>
      <c r="N7" s="8">
        <f>Monthly!F7/4</f>
        <v>83.806250000000006</v>
      </c>
      <c r="O7" s="8">
        <f>Monthly!F7/4</f>
        <v>83.806250000000006</v>
      </c>
      <c r="P7" s="8">
        <f>Monthly!F7/4</f>
        <v>83.806250000000006</v>
      </c>
      <c r="Q7" s="8">
        <f>Monthly!G7/4</f>
        <v>83.806250000000006</v>
      </c>
      <c r="R7" s="8">
        <f>Monthly!G7/4</f>
        <v>83.806250000000006</v>
      </c>
      <c r="S7" s="8">
        <f>Monthly!G7/4</f>
        <v>83.806250000000006</v>
      </c>
      <c r="T7" s="8">
        <f>Monthly!G7/4</f>
        <v>83.806250000000006</v>
      </c>
      <c r="U7" s="8">
        <f>Monthly!H7/5</f>
        <v>67.045000000000002</v>
      </c>
      <c r="V7" s="8">
        <f>Monthly!H7/5</f>
        <v>67.045000000000002</v>
      </c>
      <c r="W7" s="8">
        <f>Monthly!H7/5</f>
        <v>67.045000000000002</v>
      </c>
      <c r="X7" s="8">
        <f>Monthly!H7/5</f>
        <v>67.045000000000002</v>
      </c>
      <c r="Y7" s="8">
        <f>Monthly!H7/5</f>
        <v>67.045000000000002</v>
      </c>
      <c r="Z7" s="8">
        <f>Monthly!I7/4</f>
        <v>83.806250000000006</v>
      </c>
      <c r="AA7" s="8">
        <f>Monthly!I7/4</f>
        <v>83.806250000000006</v>
      </c>
      <c r="AB7" s="8">
        <f>Monthly!I7/4</f>
        <v>83.806250000000006</v>
      </c>
      <c r="AC7" s="8">
        <f>Monthly!I7/4</f>
        <v>83.806250000000006</v>
      </c>
      <c r="AD7" s="8">
        <f>Monthly!J7/5</f>
        <v>67.045000000000002</v>
      </c>
      <c r="AE7" s="8">
        <f>Monthly!J7/5</f>
        <v>67.045000000000002</v>
      </c>
      <c r="AF7" s="8">
        <f>Monthly!J7/5</f>
        <v>67.045000000000002</v>
      </c>
      <c r="AG7" s="8">
        <f>Monthly!J7/5</f>
        <v>67.045000000000002</v>
      </c>
      <c r="AH7" s="8">
        <f>Monthly!J7/5</f>
        <v>67.045000000000002</v>
      </c>
      <c r="AI7" s="8">
        <f>Monthly!K7/4</f>
        <v>83.806250000000006</v>
      </c>
      <c r="AJ7" s="8">
        <f>Monthly!K7/4</f>
        <v>83.806250000000006</v>
      </c>
      <c r="AK7" s="8">
        <f>Monthly!K7/4</f>
        <v>83.806250000000006</v>
      </c>
      <c r="AL7" s="8">
        <f>Monthly!K7/4</f>
        <v>83.806250000000006</v>
      </c>
      <c r="AM7" s="8">
        <f>Monthly!L7/4</f>
        <v>83.806250000000006</v>
      </c>
      <c r="AN7" s="8">
        <f>Monthly!L7/4</f>
        <v>83.806250000000006</v>
      </c>
      <c r="AO7" s="8">
        <f>Monthly!L7/4</f>
        <v>83.806250000000006</v>
      </c>
      <c r="AP7" s="8">
        <f>Monthly!L7/4</f>
        <v>83.806250000000006</v>
      </c>
      <c r="AQ7" s="8">
        <f>Monthly!M7/5</f>
        <v>67.045000000000002</v>
      </c>
      <c r="AR7" s="8">
        <f>Monthly!M7/5</f>
        <v>67.045000000000002</v>
      </c>
      <c r="AS7" s="8">
        <f>Monthly!M7/5</f>
        <v>67.045000000000002</v>
      </c>
      <c r="AT7" s="8">
        <f>Monthly!M7/5</f>
        <v>67.045000000000002</v>
      </c>
      <c r="AU7" s="8">
        <f>Monthly!M7/5</f>
        <v>67.045000000000002</v>
      </c>
      <c r="AV7" s="8">
        <f>Monthly!N7/4</f>
        <v>83.806250000000006</v>
      </c>
      <c r="AW7" s="8">
        <f>Monthly!N7/4</f>
        <v>83.806250000000006</v>
      </c>
      <c r="AX7" s="8">
        <f>Monthly!N7/4</f>
        <v>83.806250000000006</v>
      </c>
      <c r="AY7" s="8">
        <f>Monthly!N7/4</f>
        <v>83.806250000000006</v>
      </c>
      <c r="AZ7" s="8">
        <f>Monthly!O7/4</f>
        <v>83.806250000000006</v>
      </c>
      <c r="BA7" s="8">
        <f>Monthly!O7/4</f>
        <v>83.806250000000006</v>
      </c>
      <c r="BB7" s="8">
        <f>Monthly!O7/4</f>
        <v>83.806250000000006</v>
      </c>
      <c r="BC7" s="8">
        <f>Monthly!O7/4</f>
        <v>83.806250000000006</v>
      </c>
      <c r="BD7" s="208">
        <v>1943.95</v>
      </c>
      <c r="BE7" s="79"/>
      <c r="BF7" s="79"/>
    </row>
    <row r="8" spans="2:58" ht="16.5" thickBot="1" x14ac:dyDescent="0.5">
      <c r="B8" s="73"/>
      <c r="C8" s="74" t="s">
        <v>2</v>
      </c>
      <c r="D8" s="76">
        <f t="shared" ref="D8:AI8" si="0">SUM(D5:D7)</f>
        <v>0</v>
      </c>
      <c r="E8" s="76">
        <f t="shared" si="0"/>
        <v>29399.886000000006</v>
      </c>
      <c r="F8" s="76">
        <f t="shared" si="0"/>
        <v>34004.537000000004</v>
      </c>
      <c r="G8" s="76">
        <f t="shared" si="0"/>
        <v>29767.989999999998</v>
      </c>
      <c r="H8" s="76">
        <f t="shared" si="0"/>
        <v>13157.156999999999</v>
      </c>
      <c r="I8" s="76">
        <f t="shared" si="0"/>
        <v>32512.92628946669</v>
      </c>
      <c r="J8" s="76">
        <f t="shared" si="0"/>
        <v>32512.92628946669</v>
      </c>
      <c r="K8" s="76">
        <f t="shared" si="0"/>
        <v>32512.92628946669</v>
      </c>
      <c r="L8" s="76">
        <f t="shared" si="0"/>
        <v>32512.92628946669</v>
      </c>
      <c r="M8" s="76">
        <f t="shared" si="0"/>
        <v>35938.136451956809</v>
      </c>
      <c r="N8" s="76">
        <f t="shared" si="0"/>
        <v>35938.136451956809</v>
      </c>
      <c r="O8" s="76">
        <f t="shared" si="0"/>
        <v>35938.136451956809</v>
      </c>
      <c r="P8" s="76">
        <f t="shared" si="0"/>
        <v>35938.136451956809</v>
      </c>
      <c r="Q8" s="76">
        <f t="shared" si="0"/>
        <v>33469.63407465045</v>
      </c>
      <c r="R8" s="76">
        <f t="shared" si="0"/>
        <v>33469.63407465045</v>
      </c>
      <c r="S8" s="76">
        <f t="shared" si="0"/>
        <v>33469.63407465045</v>
      </c>
      <c r="T8" s="76">
        <f t="shared" si="0"/>
        <v>33469.63407465045</v>
      </c>
      <c r="U8" s="76">
        <f t="shared" si="0"/>
        <v>28485.174032947412</v>
      </c>
      <c r="V8" s="76">
        <f t="shared" si="0"/>
        <v>28485.174032947412</v>
      </c>
      <c r="W8" s="76">
        <f t="shared" si="0"/>
        <v>28485.174032947412</v>
      </c>
      <c r="X8" s="76">
        <f t="shared" si="0"/>
        <v>28485.174032947412</v>
      </c>
      <c r="Y8" s="76">
        <f t="shared" si="0"/>
        <v>28485.174032947412</v>
      </c>
      <c r="Z8" s="76">
        <f t="shared" si="0"/>
        <v>35878.768224810912</v>
      </c>
      <c r="AA8" s="76">
        <f t="shared" si="0"/>
        <v>35878.768224810912</v>
      </c>
      <c r="AB8" s="76">
        <f t="shared" si="0"/>
        <v>35878.768224810912</v>
      </c>
      <c r="AC8" s="76">
        <f t="shared" si="0"/>
        <v>35878.768224810912</v>
      </c>
      <c r="AD8" s="76">
        <f t="shared" si="0"/>
        <v>28521.487773591994</v>
      </c>
      <c r="AE8" s="76">
        <f t="shared" si="0"/>
        <v>28521.487773591994</v>
      </c>
      <c r="AF8" s="76">
        <f t="shared" si="0"/>
        <v>28521.487773591994</v>
      </c>
      <c r="AG8" s="76">
        <f t="shared" si="0"/>
        <v>28521.487773591994</v>
      </c>
      <c r="AH8" s="76">
        <f t="shared" si="0"/>
        <v>28521.487773591994</v>
      </c>
      <c r="AI8" s="76">
        <f t="shared" si="0"/>
        <v>34600.988249536153</v>
      </c>
      <c r="AJ8" s="76">
        <f t="shared" ref="AJ8:BB8" si="1">SUM(AJ5:AJ7)</f>
        <v>34600.988249536153</v>
      </c>
      <c r="AK8" s="76">
        <f t="shared" si="1"/>
        <v>34600.988249536153</v>
      </c>
      <c r="AL8" s="76">
        <f t="shared" si="1"/>
        <v>34600.988249536153</v>
      </c>
      <c r="AM8" s="76">
        <f t="shared" si="1"/>
        <v>36349.970255570639</v>
      </c>
      <c r="AN8" s="76">
        <f t="shared" si="1"/>
        <v>36349.970255570639</v>
      </c>
      <c r="AO8" s="76">
        <f t="shared" si="1"/>
        <v>36349.970255570639</v>
      </c>
      <c r="AP8" s="76">
        <f t="shared" si="1"/>
        <v>36349.970255570639</v>
      </c>
      <c r="AQ8" s="76">
        <f t="shared" si="1"/>
        <v>27022.414544632724</v>
      </c>
      <c r="AR8" s="76">
        <f t="shared" si="1"/>
        <v>27022.414544632724</v>
      </c>
      <c r="AS8" s="76">
        <f t="shared" si="1"/>
        <v>27022.414544632724</v>
      </c>
      <c r="AT8" s="76">
        <f t="shared" si="1"/>
        <v>27022.414544632724</v>
      </c>
      <c r="AU8" s="76">
        <f t="shared" si="1"/>
        <v>27022.414544632724</v>
      </c>
      <c r="AV8" s="76">
        <f t="shared" si="1"/>
        <v>35783.758379706735</v>
      </c>
      <c r="AW8" s="76">
        <f t="shared" si="1"/>
        <v>35783.758379706735</v>
      </c>
      <c r="AX8" s="76">
        <f t="shared" si="1"/>
        <v>35783.758379706735</v>
      </c>
      <c r="AY8" s="76">
        <f t="shared" si="1"/>
        <v>35783.758379706735</v>
      </c>
      <c r="AZ8" s="76">
        <f t="shared" si="1"/>
        <v>36144.777031542857</v>
      </c>
      <c r="BA8" s="76">
        <f t="shared" si="1"/>
        <v>36144.777031542857</v>
      </c>
      <c r="BB8" s="76">
        <f t="shared" si="1"/>
        <v>36144.777031542857</v>
      </c>
      <c r="BC8" s="76">
        <f>SUM(BC5:BC7)</f>
        <v>36144.777031542857</v>
      </c>
      <c r="BD8" s="66">
        <f>SUM(D8:BC8)</f>
        <v>1649190.7875848259</v>
      </c>
      <c r="BE8" s="66"/>
    </row>
    <row r="9" spans="2:58" s="11" customFormat="1" ht="16.5" thickTop="1" x14ac:dyDescent="0.45">
      <c r="C9" s="35" t="s">
        <v>52</v>
      </c>
      <c r="D9" s="36">
        <f>D8</f>
        <v>0</v>
      </c>
      <c r="E9" s="36">
        <f>D9+E8</f>
        <v>29399.886000000006</v>
      </c>
      <c r="F9" s="36">
        <f>E9+F8</f>
        <v>63404.42300000001</v>
      </c>
      <c r="G9" s="36">
        <f>F9+G8</f>
        <v>93172.413</v>
      </c>
      <c r="H9" s="36">
        <f t="shared" ref="H9:AP9" si="2">G9+H8</f>
        <v>106329.57</v>
      </c>
      <c r="I9" s="36">
        <f t="shared" si="2"/>
        <v>138842.49628946668</v>
      </c>
      <c r="J9" s="36">
        <f t="shared" si="2"/>
        <v>171355.42257893336</v>
      </c>
      <c r="K9" s="36">
        <f t="shared" si="2"/>
        <v>203868.34886840003</v>
      </c>
      <c r="L9" s="36">
        <f t="shared" si="2"/>
        <v>236381.27515786671</v>
      </c>
      <c r="M9" s="36">
        <f t="shared" si="2"/>
        <v>272319.41160982352</v>
      </c>
      <c r="N9" s="36">
        <f t="shared" si="2"/>
        <v>308257.54806178034</v>
      </c>
      <c r="O9" s="36">
        <f t="shared" si="2"/>
        <v>344195.68451373716</v>
      </c>
      <c r="P9" s="36">
        <f t="shared" si="2"/>
        <v>380133.82096569397</v>
      </c>
      <c r="Q9" s="36">
        <f t="shared" si="2"/>
        <v>413603.45504034444</v>
      </c>
      <c r="R9" s="36">
        <f t="shared" si="2"/>
        <v>447073.08911499492</v>
      </c>
      <c r="S9" s="36">
        <f t="shared" si="2"/>
        <v>480542.72318964539</v>
      </c>
      <c r="T9" s="36">
        <f t="shared" si="2"/>
        <v>514012.35726429586</v>
      </c>
      <c r="U9" s="36">
        <f t="shared" si="2"/>
        <v>542497.53129724332</v>
      </c>
      <c r="V9" s="36">
        <f t="shared" si="2"/>
        <v>570982.70533019071</v>
      </c>
      <c r="W9" s="36">
        <f t="shared" si="2"/>
        <v>599467.87936313811</v>
      </c>
      <c r="X9" s="36">
        <f t="shared" si="2"/>
        <v>627953.05339608551</v>
      </c>
      <c r="Y9" s="36">
        <f t="shared" si="2"/>
        <v>656438.22742903291</v>
      </c>
      <c r="Z9" s="36">
        <f t="shared" si="2"/>
        <v>692316.99565384386</v>
      </c>
      <c r="AA9" s="36">
        <f t="shared" si="2"/>
        <v>728195.76387865481</v>
      </c>
      <c r="AB9" s="36">
        <f t="shared" si="2"/>
        <v>764074.53210346575</v>
      </c>
      <c r="AC9" s="36">
        <f t="shared" si="2"/>
        <v>799953.3003282767</v>
      </c>
      <c r="AD9" s="36">
        <f t="shared" si="2"/>
        <v>828474.7881018687</v>
      </c>
      <c r="AE9" s="36">
        <f t="shared" si="2"/>
        <v>856996.27587546071</v>
      </c>
      <c r="AF9" s="36">
        <f t="shared" si="2"/>
        <v>885517.76364905271</v>
      </c>
      <c r="AG9" s="36">
        <f t="shared" si="2"/>
        <v>914039.25142264471</v>
      </c>
      <c r="AH9" s="36">
        <f t="shared" si="2"/>
        <v>942560.73919623671</v>
      </c>
      <c r="AI9" s="36">
        <f t="shared" si="2"/>
        <v>977161.72744577285</v>
      </c>
      <c r="AJ9" s="36">
        <f t="shared" si="2"/>
        <v>1011762.715695309</v>
      </c>
      <c r="AK9" s="36">
        <f t="shared" si="2"/>
        <v>1046363.7039448451</v>
      </c>
      <c r="AL9" s="36">
        <f t="shared" si="2"/>
        <v>1080964.6921943813</v>
      </c>
      <c r="AM9" s="36">
        <f t="shared" si="2"/>
        <v>1117314.662449952</v>
      </c>
      <c r="AN9" s="36">
        <f t="shared" si="2"/>
        <v>1153664.6327055227</v>
      </c>
      <c r="AO9" s="36">
        <f t="shared" si="2"/>
        <v>1190014.6029610934</v>
      </c>
      <c r="AP9" s="36">
        <f t="shared" si="2"/>
        <v>1226364.5732166641</v>
      </c>
      <c r="AQ9" s="36">
        <f t="shared" ref="AQ9" si="3">AP9+AQ8</f>
        <v>1253386.9877612968</v>
      </c>
      <c r="AR9" s="36">
        <f t="shared" ref="AR9" si="4">AQ9+AR8</f>
        <v>1280409.4023059295</v>
      </c>
      <c r="AS9" s="36">
        <f t="shared" ref="AS9" si="5">AR9+AS8</f>
        <v>1307431.8168505621</v>
      </c>
      <c r="AT9" s="36">
        <f t="shared" ref="AT9" si="6">AS9+AT8</f>
        <v>1334454.2313951948</v>
      </c>
      <c r="AU9" s="36">
        <f t="shared" ref="AU9" si="7">AT9+AU8</f>
        <v>1361476.6459398274</v>
      </c>
      <c r="AV9" s="36">
        <f t="shared" ref="AV9" si="8">AU9+AV8</f>
        <v>1397260.4043195341</v>
      </c>
      <c r="AW9" s="36">
        <f t="shared" ref="AW9" si="9">AV9+AW8</f>
        <v>1433044.1626992407</v>
      </c>
      <c r="AX9" s="36">
        <f t="shared" ref="AX9" si="10">AW9+AX8</f>
        <v>1468827.9210789474</v>
      </c>
      <c r="AY9" s="36">
        <f t="shared" ref="AY9" si="11">AX9+AY8</f>
        <v>1504611.679458654</v>
      </c>
      <c r="AZ9" s="36">
        <f t="shared" ref="AZ9" si="12">AY9+AZ8</f>
        <v>1540756.456490197</v>
      </c>
      <c r="BA9" s="36">
        <f t="shared" ref="BA9" si="13">AZ9+BA8</f>
        <v>1576901.23352174</v>
      </c>
      <c r="BB9" s="36">
        <f t="shared" ref="BB9" si="14">BA9+BB8</f>
        <v>1613046.0105532829</v>
      </c>
      <c r="BC9" s="36">
        <f>BB9+BC8</f>
        <v>1649190.7875848259</v>
      </c>
      <c r="BD9" s="66">
        <f>BC2</f>
        <v>1674519.6127016831</v>
      </c>
      <c r="BE9" s="27"/>
    </row>
    <row r="10" spans="2:58" s="27" customFormat="1" x14ac:dyDescent="0.45">
      <c r="B10" s="56"/>
      <c r="C10" s="105" t="str">
        <f>IF(B1="EN","AVG Weekly Plan","BQ kế hoạch hàng tuần")</f>
        <v>BQ kế hoạch hàng tuần</v>
      </c>
      <c r="D10" s="106">
        <f>Monthly!$P$8/52</f>
        <v>32202.300244263122</v>
      </c>
      <c r="E10" s="106">
        <f>Monthly!$P$8/52</f>
        <v>32202.300244263122</v>
      </c>
      <c r="F10" s="106">
        <f>Monthly!$P$8/52</f>
        <v>32202.300244263122</v>
      </c>
      <c r="G10" s="106">
        <f>Monthly!$P$8/52</f>
        <v>32202.300244263122</v>
      </c>
      <c r="H10" s="106">
        <f>Monthly!$P$8/52</f>
        <v>32202.300244263122</v>
      </c>
      <c r="I10" s="106">
        <f>Monthly!$P$8/52</f>
        <v>32202.300244263122</v>
      </c>
      <c r="J10" s="106">
        <f>Monthly!$P$8/52</f>
        <v>32202.300244263122</v>
      </c>
      <c r="K10" s="106">
        <f>Monthly!$P$8/52</f>
        <v>32202.300244263122</v>
      </c>
      <c r="L10" s="106">
        <f>Monthly!$P$8/52</f>
        <v>32202.300244263122</v>
      </c>
      <c r="M10" s="106">
        <f>Monthly!$P$8/52</f>
        <v>32202.300244263122</v>
      </c>
      <c r="N10" s="106">
        <f>Monthly!$P$8/52</f>
        <v>32202.300244263122</v>
      </c>
      <c r="O10" s="106">
        <f>Monthly!$P$8/52</f>
        <v>32202.300244263122</v>
      </c>
      <c r="P10" s="106">
        <f>Monthly!$P$8/52</f>
        <v>32202.300244263122</v>
      </c>
      <c r="Q10" s="106">
        <f>Monthly!$P$8/52</f>
        <v>32202.300244263122</v>
      </c>
      <c r="R10" s="106">
        <f>Monthly!$P$8/52</f>
        <v>32202.300244263122</v>
      </c>
      <c r="S10" s="106">
        <f>Monthly!$P$8/52</f>
        <v>32202.300244263122</v>
      </c>
      <c r="T10" s="106">
        <f>Monthly!$P$8/52</f>
        <v>32202.300244263122</v>
      </c>
      <c r="U10" s="106">
        <f>Monthly!$P$8/52</f>
        <v>32202.300244263122</v>
      </c>
      <c r="V10" s="106">
        <f>Monthly!$P$8/52</f>
        <v>32202.300244263122</v>
      </c>
      <c r="W10" s="106">
        <f>Monthly!$P$8/52</f>
        <v>32202.300244263122</v>
      </c>
      <c r="X10" s="106">
        <f>Monthly!$P$8/52</f>
        <v>32202.300244263122</v>
      </c>
      <c r="Y10" s="106">
        <f>Monthly!$P$8/52</f>
        <v>32202.300244263122</v>
      </c>
      <c r="Z10" s="106">
        <f>Monthly!$P$8/52</f>
        <v>32202.300244263122</v>
      </c>
      <c r="AA10" s="106">
        <f>Monthly!$P$8/52</f>
        <v>32202.300244263122</v>
      </c>
      <c r="AB10" s="106">
        <f>Monthly!$P$8/52</f>
        <v>32202.300244263122</v>
      </c>
      <c r="AC10" s="106">
        <f>Monthly!$P$8/52</f>
        <v>32202.300244263122</v>
      </c>
      <c r="AD10" s="106">
        <f>Monthly!$P$8/52</f>
        <v>32202.300244263122</v>
      </c>
      <c r="AE10" s="106">
        <f>Monthly!$P$8/52</f>
        <v>32202.300244263122</v>
      </c>
      <c r="AF10" s="106">
        <f>Monthly!$P$8/52</f>
        <v>32202.300244263122</v>
      </c>
      <c r="AG10" s="106">
        <f>Monthly!$P$8/52</f>
        <v>32202.300244263122</v>
      </c>
      <c r="AH10" s="106">
        <f>Monthly!$P$8/52</f>
        <v>32202.300244263122</v>
      </c>
      <c r="AI10" s="106">
        <f>Monthly!$P$8/52</f>
        <v>32202.300244263122</v>
      </c>
      <c r="AJ10" s="106">
        <f>Monthly!$P$8/52</f>
        <v>32202.300244263122</v>
      </c>
      <c r="AK10" s="106">
        <f>Monthly!$P$8/52</f>
        <v>32202.300244263122</v>
      </c>
      <c r="AL10" s="106">
        <f>Monthly!$P$8/52</f>
        <v>32202.300244263122</v>
      </c>
      <c r="AM10" s="106">
        <f>Monthly!$P$8/52</f>
        <v>32202.300244263122</v>
      </c>
      <c r="AN10" s="106">
        <f>Monthly!$P$8/52</f>
        <v>32202.300244263122</v>
      </c>
      <c r="AO10" s="106">
        <f>Monthly!$P$8/52</f>
        <v>32202.300244263122</v>
      </c>
      <c r="AP10" s="106">
        <f>Monthly!$P$8/52</f>
        <v>32202.300244263122</v>
      </c>
      <c r="AQ10" s="106">
        <f>Monthly!$P$8/52</f>
        <v>32202.300244263122</v>
      </c>
      <c r="AR10" s="106">
        <f>Monthly!$P$8/52</f>
        <v>32202.300244263122</v>
      </c>
      <c r="AS10" s="106">
        <f>Monthly!$P$8/52</f>
        <v>32202.300244263122</v>
      </c>
      <c r="AT10" s="106">
        <f>Monthly!$P$8/52</f>
        <v>32202.300244263122</v>
      </c>
      <c r="AU10" s="106">
        <f>Monthly!$P$8/52</f>
        <v>32202.300244263122</v>
      </c>
      <c r="AV10" s="106">
        <f>Monthly!$P$8/52</f>
        <v>32202.300244263122</v>
      </c>
      <c r="AW10" s="106">
        <f>Monthly!$P$8/52</f>
        <v>32202.300244263122</v>
      </c>
      <c r="AX10" s="106">
        <f>Monthly!$P$8/52</f>
        <v>32202.300244263122</v>
      </c>
      <c r="AY10" s="106">
        <f>Monthly!$P$8/52</f>
        <v>32202.300244263122</v>
      </c>
      <c r="AZ10" s="106">
        <f>Monthly!$P$8/52</f>
        <v>32202.300244263122</v>
      </c>
      <c r="BA10" s="106">
        <f>Monthly!$P$8/52</f>
        <v>32202.300244263122</v>
      </c>
      <c r="BB10" s="106">
        <f>Monthly!$P$8/52</f>
        <v>32202.300244263122</v>
      </c>
      <c r="BC10" s="106">
        <f>Monthly!$P$8/52</f>
        <v>32202.300244263122</v>
      </c>
      <c r="BD10" s="133">
        <f>BD8/BD9</f>
        <v>0.98487397524356768</v>
      </c>
      <c r="BE10" s="99">
        <f>1-BD10</f>
        <v>1.5126024756432321E-2</v>
      </c>
    </row>
    <row r="11" spans="2:58" x14ac:dyDescent="0.45">
      <c r="B11" s="9"/>
      <c r="C11" s="9"/>
      <c r="D11" s="135" t="str">
        <f t="shared" ref="D11:AI11" si="15">D3</f>
        <v>Week 1</v>
      </c>
      <c r="E11" s="135">
        <f t="shared" si="15"/>
        <v>2</v>
      </c>
      <c r="F11" s="135">
        <f t="shared" si="15"/>
        <v>3</v>
      </c>
      <c r="G11" s="135">
        <f t="shared" si="15"/>
        <v>4</v>
      </c>
      <c r="H11" s="135">
        <f t="shared" si="15"/>
        <v>5</v>
      </c>
      <c r="I11" s="1">
        <f t="shared" si="15"/>
        <v>6</v>
      </c>
      <c r="J11" s="1">
        <f t="shared" si="15"/>
        <v>7</v>
      </c>
      <c r="K11" s="1">
        <f t="shared" si="15"/>
        <v>8</v>
      </c>
      <c r="L11" s="1">
        <f t="shared" si="15"/>
        <v>9</v>
      </c>
      <c r="M11" s="1">
        <f t="shared" si="15"/>
        <v>10</v>
      </c>
      <c r="N11" s="1">
        <f t="shared" si="15"/>
        <v>11</v>
      </c>
      <c r="O11" s="1">
        <f t="shared" si="15"/>
        <v>12</v>
      </c>
      <c r="P11" s="1">
        <v>13</v>
      </c>
      <c r="Q11" s="1">
        <f t="shared" si="15"/>
        <v>14</v>
      </c>
      <c r="R11" s="1">
        <f t="shared" si="15"/>
        <v>15</v>
      </c>
      <c r="S11" s="1">
        <f t="shared" si="15"/>
        <v>16</v>
      </c>
      <c r="T11" s="1">
        <f t="shared" si="15"/>
        <v>17</v>
      </c>
      <c r="U11" s="1">
        <f t="shared" si="15"/>
        <v>18</v>
      </c>
      <c r="V11" s="1">
        <f t="shared" si="15"/>
        <v>19</v>
      </c>
      <c r="W11" s="1">
        <f t="shared" si="15"/>
        <v>20</v>
      </c>
      <c r="X11" s="1">
        <f t="shared" si="15"/>
        <v>21</v>
      </c>
      <c r="Y11" s="1">
        <f t="shared" si="15"/>
        <v>22</v>
      </c>
      <c r="Z11" s="1">
        <f t="shared" si="15"/>
        <v>23</v>
      </c>
      <c r="AA11" s="1">
        <f t="shared" si="15"/>
        <v>24</v>
      </c>
      <c r="AB11" s="1">
        <f t="shared" si="15"/>
        <v>25</v>
      </c>
      <c r="AC11" s="1">
        <f t="shared" si="15"/>
        <v>26</v>
      </c>
      <c r="AD11" s="1">
        <f t="shared" si="15"/>
        <v>27</v>
      </c>
      <c r="AE11" s="1">
        <f t="shared" si="15"/>
        <v>28</v>
      </c>
      <c r="AF11" s="1">
        <f t="shared" si="15"/>
        <v>29</v>
      </c>
      <c r="AG11" s="1">
        <f t="shared" si="15"/>
        <v>30</v>
      </c>
      <c r="AH11" s="1">
        <f t="shared" si="15"/>
        <v>31</v>
      </c>
      <c r="AI11" s="1">
        <f t="shared" si="15"/>
        <v>32</v>
      </c>
      <c r="AJ11" s="1">
        <f t="shared" ref="AJ11:BA11" si="16">AJ3</f>
        <v>33</v>
      </c>
      <c r="AK11" s="1">
        <f t="shared" si="16"/>
        <v>34</v>
      </c>
      <c r="AL11" s="1">
        <f t="shared" si="16"/>
        <v>35</v>
      </c>
      <c r="AM11" s="1">
        <f t="shared" si="16"/>
        <v>36</v>
      </c>
      <c r="AN11" s="1">
        <f t="shared" si="16"/>
        <v>37</v>
      </c>
      <c r="AO11" s="1">
        <f t="shared" si="16"/>
        <v>38</v>
      </c>
      <c r="AP11" s="1">
        <f t="shared" si="16"/>
        <v>39</v>
      </c>
      <c r="AQ11" s="1">
        <f t="shared" si="16"/>
        <v>40</v>
      </c>
      <c r="AR11" s="1">
        <f t="shared" si="16"/>
        <v>41</v>
      </c>
      <c r="AS11" s="1">
        <f t="shared" si="16"/>
        <v>42</v>
      </c>
      <c r="AT11" s="1">
        <f t="shared" si="16"/>
        <v>43</v>
      </c>
      <c r="AU11" s="1">
        <f t="shared" si="16"/>
        <v>44</v>
      </c>
      <c r="AV11" s="1">
        <f t="shared" si="16"/>
        <v>45</v>
      </c>
      <c r="AW11" s="1">
        <f t="shared" si="16"/>
        <v>46</v>
      </c>
      <c r="AX11" s="1">
        <f t="shared" si="16"/>
        <v>47</v>
      </c>
      <c r="AY11" s="1">
        <f t="shared" si="16"/>
        <v>48</v>
      </c>
      <c r="AZ11" s="1">
        <f t="shared" si="16"/>
        <v>49</v>
      </c>
      <c r="BA11" s="1">
        <f t="shared" si="16"/>
        <v>50</v>
      </c>
      <c r="BB11" s="1">
        <v>51</v>
      </c>
      <c r="BC11" s="1" t="str">
        <f>BC3</f>
        <v>Week 52</v>
      </c>
    </row>
    <row r="12" spans="2:58" x14ac:dyDescent="0.45">
      <c r="B12" s="4">
        <v>2</v>
      </c>
      <c r="C12" s="62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2:58" x14ac:dyDescent="0.45">
      <c r="B13" s="2"/>
      <c r="C13" s="3" t="str">
        <f>C5</f>
        <v>B2B</v>
      </c>
      <c r="D13" s="8">
        <v>0</v>
      </c>
      <c r="E13" s="8">
        <v>207.77999999999997</v>
      </c>
      <c r="F13" s="8">
        <v>378.56</v>
      </c>
      <c r="G13" s="8">
        <v>349.47999999999996</v>
      </c>
      <c r="H13" s="8">
        <v>230.85000000000002</v>
      </c>
      <c r="I13" s="8">
        <f>Monthly!E12/4</f>
        <v>464.0786419560082</v>
      </c>
      <c r="J13" s="8">
        <f>Monthly!E12/4</f>
        <v>464.0786419560082</v>
      </c>
      <c r="K13" s="8">
        <f>Monthly!E12/4</f>
        <v>464.0786419560082</v>
      </c>
      <c r="L13" s="8">
        <f>Monthly!E12/4</f>
        <v>464.0786419560082</v>
      </c>
      <c r="M13" s="8">
        <f>Monthly!F12/4</f>
        <v>486.63935086893514</v>
      </c>
      <c r="N13" s="8">
        <f>Monthly!F12/4</f>
        <v>486.63935086893514</v>
      </c>
      <c r="O13" s="8">
        <f>Monthly!F12/4</f>
        <v>486.63935086893514</v>
      </c>
      <c r="P13" s="8">
        <f>Monthly!F12/4</f>
        <v>486.63935086893514</v>
      </c>
      <c r="Q13" s="8">
        <f>Monthly!G12/4</f>
        <v>503.55787966918024</v>
      </c>
      <c r="R13" s="8">
        <f>Monthly!G12/4</f>
        <v>503.55787966918024</v>
      </c>
      <c r="S13" s="8">
        <f>Monthly!G12/4</f>
        <v>503.55787966918024</v>
      </c>
      <c r="T13" s="8">
        <f>Monthly!G12/4</f>
        <v>503.55787966918024</v>
      </c>
      <c r="U13" s="8">
        <f>Monthly!H12/5</f>
        <v>409.28728783650706</v>
      </c>
      <c r="V13" s="8">
        <f>Monthly!H12/5</f>
        <v>409.28728783650706</v>
      </c>
      <c r="W13" s="8">
        <f>Monthly!H12/5</f>
        <v>409.28728783650706</v>
      </c>
      <c r="X13" s="8">
        <f>Monthly!H12/5</f>
        <v>409.28728783650706</v>
      </c>
      <c r="Y13" s="8">
        <f>Monthly!H12/5</f>
        <v>409.28728783650706</v>
      </c>
      <c r="Z13" s="8">
        <f>Monthly!I12/4</f>
        <v>483.9880455568985</v>
      </c>
      <c r="AA13" s="8">
        <f>Monthly!I12/4</f>
        <v>483.9880455568985</v>
      </c>
      <c r="AB13" s="8">
        <f>Monthly!I12/4</f>
        <v>483.9880455568985</v>
      </c>
      <c r="AC13" s="8">
        <f>Monthly!I12/4</f>
        <v>483.9880455568985</v>
      </c>
      <c r="AD13" s="8">
        <f>Monthly!J12/5</f>
        <v>404.30450339465369</v>
      </c>
      <c r="AE13" s="8">
        <f>Monthly!J12/5</f>
        <v>404.30450339465369</v>
      </c>
      <c r="AF13" s="8">
        <f>Monthly!J12/5</f>
        <v>404.30450339465369</v>
      </c>
      <c r="AG13" s="8">
        <f>Monthly!J12/5</f>
        <v>404.30450339465369</v>
      </c>
      <c r="AH13" s="8">
        <f>Monthly!J12/5</f>
        <v>404.30450339465369</v>
      </c>
      <c r="AI13" s="8">
        <f>Monthly!K12/4</f>
        <v>527.21237472718497</v>
      </c>
      <c r="AJ13" s="8">
        <f>Monthly!K12/4</f>
        <v>527.21237472718497</v>
      </c>
      <c r="AK13" s="8">
        <f>Monthly!K12/4</f>
        <v>527.21237472718497</v>
      </c>
      <c r="AL13" s="8">
        <f>Monthly!K12/4</f>
        <v>527.21237472718497</v>
      </c>
      <c r="AM13" s="8">
        <f>Monthly!L12/4</f>
        <v>465.90577547222125</v>
      </c>
      <c r="AN13" s="8">
        <f>Monthly!L12/4</f>
        <v>465.90577547222125</v>
      </c>
      <c r="AO13" s="8">
        <f>Monthly!L12/4</f>
        <v>465.90577547222125</v>
      </c>
      <c r="AP13" s="8">
        <f>Monthly!L12/4</f>
        <v>465.90577547222125</v>
      </c>
      <c r="AQ13" s="8">
        <f>Monthly!M12/5</f>
        <v>393.7252594857149</v>
      </c>
      <c r="AR13" s="8">
        <f>Monthly!M12/5</f>
        <v>393.7252594857149</v>
      </c>
      <c r="AS13" s="8">
        <f>Monthly!M12/5</f>
        <v>393.7252594857149</v>
      </c>
      <c r="AT13" s="8">
        <f>Monthly!M12/5</f>
        <v>393.7252594857149</v>
      </c>
      <c r="AU13" s="8">
        <f>Monthly!M12/5</f>
        <v>393.7252594857149</v>
      </c>
      <c r="AV13" s="8">
        <f>Monthly!N12/4</f>
        <v>507.31078108861567</v>
      </c>
      <c r="AW13" s="8">
        <f>Monthly!N12/4</f>
        <v>507.31078108861567</v>
      </c>
      <c r="AX13" s="8">
        <f>Monthly!N12/4</f>
        <v>507.31078108861567</v>
      </c>
      <c r="AY13" s="8">
        <f>Monthly!N12/4</f>
        <v>507.31078108861567</v>
      </c>
      <c r="AZ13" s="8">
        <f>Monthly!O12/4</f>
        <v>516.63010464250772</v>
      </c>
      <c r="BA13" s="8">
        <f>Monthly!O12/4</f>
        <v>516.63010464250772</v>
      </c>
      <c r="BB13" s="8">
        <f>Monthly!O12/4</f>
        <v>516.63010464250772</v>
      </c>
      <c r="BC13" s="8">
        <f>Monthly!O12/4</f>
        <v>516.63010464250772</v>
      </c>
      <c r="BD13" s="208">
        <v>277.45</v>
      </c>
      <c r="BE13" s="79"/>
      <c r="BF13" s="79"/>
    </row>
    <row r="14" spans="2:58" x14ac:dyDescent="0.45">
      <c r="B14" s="2"/>
      <c r="C14" s="3" t="s">
        <v>4</v>
      </c>
      <c r="D14" s="8">
        <v>0</v>
      </c>
      <c r="E14" s="8">
        <v>660</v>
      </c>
      <c r="F14" s="8">
        <v>660</v>
      </c>
      <c r="G14" s="8">
        <v>505</v>
      </c>
      <c r="H14" s="8">
        <v>68</v>
      </c>
      <c r="I14" s="8">
        <f>Monthly!E13/4</f>
        <v>596.5</v>
      </c>
      <c r="J14" s="8">
        <f>Monthly!E13/4</f>
        <v>596.5</v>
      </c>
      <c r="K14" s="8">
        <f>Monthly!E13/4</f>
        <v>596.5</v>
      </c>
      <c r="L14" s="8">
        <f>Monthly!E13/4</f>
        <v>596.5</v>
      </c>
      <c r="M14" s="8">
        <f>Monthly!F13/4</f>
        <v>680.25</v>
      </c>
      <c r="N14" s="8">
        <f>Monthly!F13/4</f>
        <v>680.25</v>
      </c>
      <c r="O14" s="8">
        <f>Monthly!F13/4</f>
        <v>680.25</v>
      </c>
      <c r="P14" s="8">
        <f>Monthly!F13/4</f>
        <v>680.25</v>
      </c>
      <c r="Q14" s="8">
        <f>Monthly!G13/4</f>
        <v>592.25</v>
      </c>
      <c r="R14" s="8">
        <f>Monthly!G13/4</f>
        <v>592.25</v>
      </c>
      <c r="S14" s="8">
        <f>Monthly!G13/4</f>
        <v>592.25</v>
      </c>
      <c r="T14" s="8">
        <f>Monthly!G13/4</f>
        <v>592.25</v>
      </c>
      <c r="U14" s="8">
        <f>Monthly!H13/5</f>
        <v>521.20000000000005</v>
      </c>
      <c r="V14" s="8">
        <f>Monthly!H13/5</f>
        <v>521.20000000000005</v>
      </c>
      <c r="W14" s="8">
        <f>Monthly!H13/5</f>
        <v>521.20000000000005</v>
      </c>
      <c r="X14" s="8">
        <f>Monthly!H13/5</f>
        <v>521.20000000000005</v>
      </c>
      <c r="Y14" s="8">
        <f>Monthly!H13/5</f>
        <v>521.20000000000005</v>
      </c>
      <c r="Z14" s="8">
        <f>Monthly!I13/4</f>
        <v>686.25</v>
      </c>
      <c r="AA14" s="8">
        <f>Monthly!I13/4</f>
        <v>686.25</v>
      </c>
      <c r="AB14" s="8">
        <f>Monthly!I13/4</f>
        <v>686.25</v>
      </c>
      <c r="AC14" s="8">
        <f>Monthly!I13/4</f>
        <v>686.25</v>
      </c>
      <c r="AD14" s="8">
        <f>Monthly!J13/5</f>
        <v>531.38</v>
      </c>
      <c r="AE14" s="8">
        <f>Monthly!J13/5</f>
        <v>531.38</v>
      </c>
      <c r="AF14" s="8">
        <f>Monthly!J13/5</f>
        <v>531.38</v>
      </c>
      <c r="AG14" s="8">
        <f>Monthly!J13/5</f>
        <v>531.38</v>
      </c>
      <c r="AH14" s="8">
        <f>Monthly!J13/5</f>
        <v>531.38</v>
      </c>
      <c r="AI14" s="8">
        <f>Monthly!K13/4</f>
        <v>610.75</v>
      </c>
      <c r="AJ14" s="8">
        <f>Monthly!K13/4</f>
        <v>610.75</v>
      </c>
      <c r="AK14" s="8">
        <f>Monthly!K13/4</f>
        <v>610.75</v>
      </c>
      <c r="AL14" s="8">
        <f>Monthly!K13/4</f>
        <v>610.75</v>
      </c>
      <c r="AM14" s="8">
        <f>Monthly!L13/4</f>
        <v>725</v>
      </c>
      <c r="AN14" s="8">
        <f>Monthly!L13/4</f>
        <v>725</v>
      </c>
      <c r="AO14" s="8">
        <f>Monthly!L13/4</f>
        <v>725</v>
      </c>
      <c r="AP14" s="8">
        <f>Monthly!L13/4</f>
        <v>725</v>
      </c>
      <c r="AQ14" s="8">
        <f>Monthly!M13/5</f>
        <v>497.8</v>
      </c>
      <c r="AR14" s="8">
        <f>Monthly!M13/5</f>
        <v>497.8</v>
      </c>
      <c r="AS14" s="8">
        <f>Monthly!M13/5</f>
        <v>497.8</v>
      </c>
      <c r="AT14" s="8">
        <f>Monthly!M13/5</f>
        <v>497.8</v>
      </c>
      <c r="AU14" s="8">
        <f>Monthly!M13/5</f>
        <v>497.8</v>
      </c>
      <c r="AV14" s="8">
        <f>Monthly!N13/4</f>
        <v>670</v>
      </c>
      <c r="AW14" s="8">
        <f>Monthly!N13/4</f>
        <v>670</v>
      </c>
      <c r="AX14" s="8">
        <f>Monthly!N13/4</f>
        <v>670</v>
      </c>
      <c r="AY14" s="8">
        <f>Monthly!N13/4</f>
        <v>670</v>
      </c>
      <c r="AZ14" s="8">
        <f>Monthly!O13/4</f>
        <v>676.75</v>
      </c>
      <c r="BA14" s="8">
        <f>Monthly!O13/4</f>
        <v>676.75</v>
      </c>
      <c r="BB14" s="8">
        <f>Monthly!O13/4</f>
        <v>676.75</v>
      </c>
      <c r="BC14" s="8">
        <f>Monthly!O13/4</f>
        <v>676.75</v>
      </c>
      <c r="BD14" s="208">
        <v>286</v>
      </c>
      <c r="BE14" s="79"/>
      <c r="BF14" s="79"/>
    </row>
    <row r="15" spans="2:58" x14ac:dyDescent="0.45">
      <c r="B15" s="29"/>
      <c r="C15" s="30" t="s">
        <v>5</v>
      </c>
      <c r="D15" s="8">
        <v>0</v>
      </c>
      <c r="E15" s="8">
        <v>99</v>
      </c>
      <c r="F15" s="8">
        <v>77</v>
      </c>
      <c r="G15" s="8">
        <v>152.63</v>
      </c>
      <c r="H15" s="8">
        <v>124.67999999999999</v>
      </c>
      <c r="I15" s="8">
        <f>Monthly!E14/4</f>
        <v>2.75</v>
      </c>
      <c r="J15" s="8">
        <f>Monthly!E14/4</f>
        <v>2.75</v>
      </c>
      <c r="K15" s="8">
        <f>Monthly!E14/4</f>
        <v>2.75</v>
      </c>
      <c r="L15" s="8">
        <f>Monthly!E14/4</f>
        <v>2.75</v>
      </c>
      <c r="M15" s="8">
        <f>Monthly!F14/4</f>
        <v>2.75</v>
      </c>
      <c r="N15" s="8">
        <f>Monthly!F14/4</f>
        <v>2.75</v>
      </c>
      <c r="O15" s="8">
        <f>Monthly!F14/4</f>
        <v>2.75</v>
      </c>
      <c r="P15" s="8">
        <f>Monthly!F14/4</f>
        <v>2.75</v>
      </c>
      <c r="Q15" s="8">
        <f>Monthly!G14/4</f>
        <v>2.75</v>
      </c>
      <c r="R15" s="8">
        <f>Monthly!G14/4</f>
        <v>2.75</v>
      </c>
      <c r="S15" s="8">
        <f>Monthly!G14/4</f>
        <v>2.75</v>
      </c>
      <c r="T15" s="8">
        <f>Monthly!G14/4</f>
        <v>2.75</v>
      </c>
      <c r="U15" s="8">
        <f>Monthly!H14/5</f>
        <v>2.2000000000000002</v>
      </c>
      <c r="V15" s="8">
        <f>Monthly!H14/5</f>
        <v>2.2000000000000002</v>
      </c>
      <c r="W15" s="8">
        <f>Monthly!H14/5</f>
        <v>2.2000000000000002</v>
      </c>
      <c r="X15" s="8">
        <f>Monthly!H14/5</f>
        <v>2.2000000000000002</v>
      </c>
      <c r="Y15" s="8">
        <f>Monthly!H14/5</f>
        <v>2.2000000000000002</v>
      </c>
      <c r="Z15" s="8">
        <f>Monthly!I14/4</f>
        <v>2.75</v>
      </c>
      <c r="AA15" s="8">
        <f>Monthly!I14/4</f>
        <v>2.75</v>
      </c>
      <c r="AB15" s="8">
        <f>Monthly!I14/4</f>
        <v>2.75</v>
      </c>
      <c r="AC15" s="8">
        <f>Monthly!I14/4</f>
        <v>2.75</v>
      </c>
      <c r="AD15" s="8">
        <f>Monthly!J14/5</f>
        <v>2.2000000000000002</v>
      </c>
      <c r="AE15" s="8">
        <f>Monthly!J14/5</f>
        <v>2.2000000000000002</v>
      </c>
      <c r="AF15" s="8">
        <f>Monthly!J14/5</f>
        <v>2.2000000000000002</v>
      </c>
      <c r="AG15" s="8">
        <f>Monthly!J14/5</f>
        <v>2.2000000000000002</v>
      </c>
      <c r="AH15" s="8">
        <f>Monthly!J14/5</f>
        <v>2.2000000000000002</v>
      </c>
      <c r="AI15" s="8">
        <f>Monthly!K14/4</f>
        <v>2.75</v>
      </c>
      <c r="AJ15" s="8">
        <f>Monthly!K14/4</f>
        <v>2.75</v>
      </c>
      <c r="AK15" s="8">
        <f>Monthly!K14/4</f>
        <v>2.75</v>
      </c>
      <c r="AL15" s="8">
        <f>Monthly!K14/4</f>
        <v>2.75</v>
      </c>
      <c r="AM15" s="8">
        <f>Monthly!L14/4</f>
        <v>2.75</v>
      </c>
      <c r="AN15" s="8">
        <f>Monthly!L14/4</f>
        <v>2.75</v>
      </c>
      <c r="AO15" s="8">
        <f>Monthly!L14/4</f>
        <v>2.75</v>
      </c>
      <c r="AP15" s="8">
        <f>Monthly!L14/4</f>
        <v>2.75</v>
      </c>
      <c r="AQ15" s="8">
        <f>Monthly!M14/5</f>
        <v>2.2000000000000002</v>
      </c>
      <c r="AR15" s="8">
        <f>Monthly!M14/5</f>
        <v>2.2000000000000002</v>
      </c>
      <c r="AS15" s="8">
        <f>Monthly!M14/5</f>
        <v>2.2000000000000002</v>
      </c>
      <c r="AT15" s="8">
        <f>Monthly!M14/5</f>
        <v>2.2000000000000002</v>
      </c>
      <c r="AU15" s="8">
        <f>Monthly!M14/5</f>
        <v>2.2000000000000002</v>
      </c>
      <c r="AV15" s="8">
        <f>Monthly!N14/4</f>
        <v>2.75</v>
      </c>
      <c r="AW15" s="8">
        <f>Monthly!N14/4</f>
        <v>2.75</v>
      </c>
      <c r="AX15" s="8">
        <f>Monthly!N14/4</f>
        <v>2.75</v>
      </c>
      <c r="AY15" s="8">
        <f>Monthly!N14/4</f>
        <v>2.75</v>
      </c>
      <c r="AZ15" s="8">
        <f>Monthly!O14/4</f>
        <v>2.75</v>
      </c>
      <c r="BA15" s="8">
        <f>Monthly!O14/4</f>
        <v>2.75</v>
      </c>
      <c r="BB15" s="8">
        <f>Monthly!O14/4</f>
        <v>2.75</v>
      </c>
      <c r="BC15" s="8">
        <f>Monthly!O14/4</f>
        <v>2.75</v>
      </c>
      <c r="BD15" s="208">
        <v>60.35</v>
      </c>
      <c r="BE15" s="79"/>
      <c r="BF15" s="79"/>
    </row>
    <row r="16" spans="2:58" ht="16.5" thickBot="1" x14ac:dyDescent="0.5">
      <c r="B16" s="70"/>
      <c r="C16" s="71" t="s">
        <v>2</v>
      </c>
      <c r="D16" s="76">
        <f>SUM(D13:D15)</f>
        <v>0</v>
      </c>
      <c r="E16" s="76">
        <f t="shared" ref="E16:AI16" si="17">SUM(E13:E15)</f>
        <v>966.78</v>
      </c>
      <c r="F16" s="76">
        <f t="shared" si="17"/>
        <v>1115.56</v>
      </c>
      <c r="G16" s="76">
        <f t="shared" si="17"/>
        <v>1007.11</v>
      </c>
      <c r="H16" s="76">
        <f t="shared" si="17"/>
        <v>423.53000000000003</v>
      </c>
      <c r="I16" s="76">
        <f t="shared" si="17"/>
        <v>1063.3286419560081</v>
      </c>
      <c r="J16" s="76">
        <f t="shared" si="17"/>
        <v>1063.3286419560081</v>
      </c>
      <c r="K16" s="76">
        <f t="shared" si="17"/>
        <v>1063.3286419560081</v>
      </c>
      <c r="L16" s="76">
        <f t="shared" si="17"/>
        <v>1063.3286419560081</v>
      </c>
      <c r="M16" s="76">
        <f t="shared" si="17"/>
        <v>1169.6393508689353</v>
      </c>
      <c r="N16" s="76">
        <f t="shared" si="17"/>
        <v>1169.6393508689353</v>
      </c>
      <c r="O16" s="76">
        <f t="shared" si="17"/>
        <v>1169.6393508689353</v>
      </c>
      <c r="P16" s="76">
        <f t="shared" si="17"/>
        <v>1169.6393508689353</v>
      </c>
      <c r="Q16" s="76">
        <f t="shared" si="17"/>
        <v>1098.5578796691802</v>
      </c>
      <c r="R16" s="76">
        <f t="shared" si="17"/>
        <v>1098.5578796691802</v>
      </c>
      <c r="S16" s="76">
        <f t="shared" si="17"/>
        <v>1098.5578796691802</v>
      </c>
      <c r="T16" s="76">
        <f t="shared" si="17"/>
        <v>1098.5578796691802</v>
      </c>
      <c r="U16" s="76">
        <f t="shared" si="17"/>
        <v>932.68728783650715</v>
      </c>
      <c r="V16" s="76">
        <f t="shared" si="17"/>
        <v>932.68728783650715</v>
      </c>
      <c r="W16" s="76">
        <f t="shared" si="17"/>
        <v>932.68728783650715</v>
      </c>
      <c r="X16" s="76">
        <f t="shared" si="17"/>
        <v>932.68728783650715</v>
      </c>
      <c r="Y16" s="76">
        <f t="shared" si="17"/>
        <v>932.68728783650715</v>
      </c>
      <c r="Z16" s="76">
        <f t="shared" si="17"/>
        <v>1172.9880455568984</v>
      </c>
      <c r="AA16" s="76">
        <f t="shared" si="17"/>
        <v>1172.9880455568984</v>
      </c>
      <c r="AB16" s="76">
        <f t="shared" si="17"/>
        <v>1172.9880455568984</v>
      </c>
      <c r="AC16" s="76">
        <f t="shared" si="17"/>
        <v>1172.9880455568984</v>
      </c>
      <c r="AD16" s="76">
        <f t="shared" si="17"/>
        <v>937.88450339465373</v>
      </c>
      <c r="AE16" s="76">
        <f t="shared" si="17"/>
        <v>937.88450339465373</v>
      </c>
      <c r="AF16" s="76">
        <f t="shared" si="17"/>
        <v>937.88450339465373</v>
      </c>
      <c r="AG16" s="76">
        <f t="shared" si="17"/>
        <v>937.88450339465373</v>
      </c>
      <c r="AH16" s="76">
        <f t="shared" si="17"/>
        <v>937.88450339465373</v>
      </c>
      <c r="AI16" s="76">
        <f t="shared" si="17"/>
        <v>1140.7123747271849</v>
      </c>
      <c r="AJ16" s="76">
        <f t="shared" ref="AJ16:BC16" si="18">SUM(AJ13:AJ15)</f>
        <v>1140.7123747271849</v>
      </c>
      <c r="AK16" s="76">
        <f t="shared" si="18"/>
        <v>1140.7123747271849</v>
      </c>
      <c r="AL16" s="76">
        <f t="shared" si="18"/>
        <v>1140.7123747271849</v>
      </c>
      <c r="AM16" s="76">
        <f t="shared" si="18"/>
        <v>1193.6557754722212</v>
      </c>
      <c r="AN16" s="76">
        <f t="shared" si="18"/>
        <v>1193.6557754722212</v>
      </c>
      <c r="AO16" s="76">
        <f t="shared" si="18"/>
        <v>1193.6557754722212</v>
      </c>
      <c r="AP16" s="76">
        <f t="shared" si="18"/>
        <v>1193.6557754722212</v>
      </c>
      <c r="AQ16" s="76">
        <f t="shared" si="18"/>
        <v>893.72525948571501</v>
      </c>
      <c r="AR16" s="76">
        <f t="shared" si="18"/>
        <v>893.72525948571501</v>
      </c>
      <c r="AS16" s="76">
        <f t="shared" si="18"/>
        <v>893.72525948571501</v>
      </c>
      <c r="AT16" s="76">
        <f t="shared" si="18"/>
        <v>893.72525948571501</v>
      </c>
      <c r="AU16" s="76">
        <f t="shared" si="18"/>
        <v>893.72525948571501</v>
      </c>
      <c r="AV16" s="76">
        <f t="shared" si="18"/>
        <v>1180.0607810886156</v>
      </c>
      <c r="AW16" s="76">
        <f t="shared" si="18"/>
        <v>1180.0607810886156</v>
      </c>
      <c r="AX16" s="76">
        <f t="shared" si="18"/>
        <v>1180.0607810886156</v>
      </c>
      <c r="AY16" s="76">
        <f t="shared" si="18"/>
        <v>1180.0607810886156</v>
      </c>
      <c r="AZ16" s="76">
        <f t="shared" si="18"/>
        <v>1196.1301046425078</v>
      </c>
      <c r="BA16" s="76">
        <f t="shared" si="18"/>
        <v>1196.1301046425078</v>
      </c>
      <c r="BB16" s="76">
        <f t="shared" si="18"/>
        <v>1196.1301046425078</v>
      </c>
      <c r="BC16" s="76">
        <f t="shared" si="18"/>
        <v>1196.1301046425078</v>
      </c>
      <c r="BD16" s="66">
        <f>SUM(D16:BC16)</f>
        <v>54194.757069510575</v>
      </c>
      <c r="BE16" s="66"/>
      <c r="BF16" s="27"/>
    </row>
    <row r="17" spans="2:58" s="50" customFormat="1" ht="16.5" thickTop="1" x14ac:dyDescent="0.45">
      <c r="C17" s="96" t="s">
        <v>45</v>
      </c>
      <c r="D17" s="66">
        <f>D16</f>
        <v>0</v>
      </c>
      <c r="E17" s="66">
        <f>D17+E16</f>
        <v>966.78</v>
      </c>
      <c r="F17" s="66">
        <f t="shared" ref="F17:R17" si="19">E17+F16</f>
        <v>2082.34</v>
      </c>
      <c r="G17" s="66">
        <f>F17+G16</f>
        <v>3089.4500000000003</v>
      </c>
      <c r="H17" s="66">
        <f t="shared" si="19"/>
        <v>3512.9800000000005</v>
      </c>
      <c r="I17" s="66">
        <f t="shared" si="19"/>
        <v>4576.3086419560086</v>
      </c>
      <c r="J17" s="66">
        <f t="shared" si="19"/>
        <v>5639.6372839120168</v>
      </c>
      <c r="K17" s="66">
        <f t="shared" si="19"/>
        <v>6702.9659258680249</v>
      </c>
      <c r="L17" s="66">
        <f t="shared" si="19"/>
        <v>7766.294567824033</v>
      </c>
      <c r="M17" s="66">
        <f t="shared" si="19"/>
        <v>8935.9339186929683</v>
      </c>
      <c r="N17" s="66">
        <f t="shared" si="19"/>
        <v>10105.573269561904</v>
      </c>
      <c r="O17" s="66">
        <f t="shared" si="19"/>
        <v>11275.212620430841</v>
      </c>
      <c r="P17" s="66">
        <f t="shared" si="19"/>
        <v>12444.851971299777</v>
      </c>
      <c r="Q17" s="66">
        <f t="shared" si="19"/>
        <v>13543.409850968957</v>
      </c>
      <c r="R17" s="66">
        <f t="shared" si="19"/>
        <v>14641.967730638138</v>
      </c>
      <c r="S17" s="66">
        <f>R17+S16</f>
        <v>15740.525610307319</v>
      </c>
      <c r="T17" s="66">
        <f t="shared" ref="T17" si="20">S17+T16</f>
        <v>16839.0834899765</v>
      </c>
      <c r="U17" s="66">
        <f t="shared" ref="U17" si="21">T17+U16</f>
        <v>17771.770777813006</v>
      </c>
      <c r="V17" s="66">
        <f t="shared" ref="V17" si="22">U17+V16</f>
        <v>18704.458065649513</v>
      </c>
      <c r="W17" s="66">
        <f t="shared" ref="W17" si="23">V17+W16</f>
        <v>19637.145353486019</v>
      </c>
      <c r="X17" s="66">
        <f t="shared" ref="X17" si="24">W17+X16</f>
        <v>20569.832641322526</v>
      </c>
      <c r="Y17" s="66">
        <f t="shared" ref="Y17" si="25">X17+Y16</f>
        <v>21502.519929159032</v>
      </c>
      <c r="Z17" s="66">
        <f t="shared" ref="Z17:AP17" si="26">Y17+Z16</f>
        <v>22675.507974715933</v>
      </c>
      <c r="AA17" s="66">
        <f t="shared" si="26"/>
        <v>23848.496020272833</v>
      </c>
      <c r="AB17" s="66">
        <f t="shared" si="26"/>
        <v>25021.484065829733</v>
      </c>
      <c r="AC17" s="66">
        <f t="shared" si="26"/>
        <v>26194.472111386633</v>
      </c>
      <c r="AD17" s="66">
        <f t="shared" si="26"/>
        <v>27132.356614781285</v>
      </c>
      <c r="AE17" s="66">
        <f t="shared" si="26"/>
        <v>28070.241118175938</v>
      </c>
      <c r="AF17" s="66">
        <f t="shared" si="26"/>
        <v>29008.125621570591</v>
      </c>
      <c r="AG17" s="66">
        <f t="shared" si="26"/>
        <v>29946.010124965243</v>
      </c>
      <c r="AH17" s="66">
        <f t="shared" si="26"/>
        <v>30883.894628359896</v>
      </c>
      <c r="AI17" s="66">
        <f t="shared" si="26"/>
        <v>32024.60700308708</v>
      </c>
      <c r="AJ17" s="66">
        <f t="shared" si="26"/>
        <v>33165.319377814267</v>
      </c>
      <c r="AK17" s="66">
        <f t="shared" si="26"/>
        <v>34306.03175254145</v>
      </c>
      <c r="AL17" s="66">
        <f t="shared" si="26"/>
        <v>35446.744127268634</v>
      </c>
      <c r="AM17" s="66">
        <f t="shared" si="26"/>
        <v>36640.399902740857</v>
      </c>
      <c r="AN17" s="66">
        <f t="shared" si="26"/>
        <v>37834.055678213081</v>
      </c>
      <c r="AO17" s="66">
        <f t="shared" si="26"/>
        <v>39027.711453685304</v>
      </c>
      <c r="AP17" s="66">
        <f t="shared" si="26"/>
        <v>40221.367229157528</v>
      </c>
      <c r="AQ17" s="66">
        <f t="shared" ref="AQ17" si="27">AP17+AQ16</f>
        <v>41115.09248864324</v>
      </c>
      <c r="AR17" s="66">
        <f t="shared" ref="AR17" si="28">AQ17+AR16</f>
        <v>42008.817748128953</v>
      </c>
      <c r="AS17" s="66">
        <f t="shared" ref="AS17" si="29">AR17+AS16</f>
        <v>42902.543007614666</v>
      </c>
      <c r="AT17" s="66">
        <f t="shared" ref="AT17" si="30">AS17+AT16</f>
        <v>43796.268267100379</v>
      </c>
      <c r="AU17" s="66">
        <f t="shared" ref="AU17" si="31">AT17+AU16</f>
        <v>44689.993526586091</v>
      </c>
      <c r="AV17" s="66">
        <f t="shared" ref="AV17" si="32">AU17+AV16</f>
        <v>45870.054307674705</v>
      </c>
      <c r="AW17" s="66">
        <f t="shared" ref="AW17" si="33">AV17+AW16</f>
        <v>47050.115088763319</v>
      </c>
      <c r="AX17" s="66">
        <f t="shared" ref="AX17" si="34">AW17+AX16</f>
        <v>48230.175869851933</v>
      </c>
      <c r="AY17" s="66">
        <f t="shared" ref="AY17" si="35">AX17+AY16</f>
        <v>49410.236650940547</v>
      </c>
      <c r="AZ17" s="66">
        <f t="shared" ref="AZ17" si="36">AY17+AZ16</f>
        <v>50606.366755583054</v>
      </c>
      <c r="BA17" s="66">
        <f t="shared" ref="BA17" si="37">AZ17+BA16</f>
        <v>51802.496860225561</v>
      </c>
      <c r="BB17" s="66">
        <f t="shared" ref="BB17" si="38">BA17+BB16</f>
        <v>52998.626964868068</v>
      </c>
      <c r="BC17" s="66">
        <f>BB17+BC16</f>
        <v>54194.757069510575</v>
      </c>
      <c r="BD17" s="132">
        <f>BD1</f>
        <v>55000.000002186731</v>
      </c>
      <c r="BE17" s="100">
        <f>BD16/BD17</f>
        <v>0.9853592194064702</v>
      </c>
      <c r="BF17" s="100">
        <f>1-BE17</f>
        <v>1.4640780593529801E-2</v>
      </c>
    </row>
    <row r="18" spans="2:58" s="96" customFormat="1" x14ac:dyDescent="0.45">
      <c r="C18" s="96" t="s">
        <v>44</v>
      </c>
      <c r="D18" s="97">
        <f>D1</f>
        <v>1057.6923077343602</v>
      </c>
      <c r="E18" s="97">
        <f t="shared" ref="E18:AJ18" si="39">D18+E1</f>
        <v>2115.3846154687203</v>
      </c>
      <c r="F18" s="97">
        <f t="shared" si="39"/>
        <v>3173.0769232030807</v>
      </c>
      <c r="G18" s="97">
        <f>F18+G1</f>
        <v>4230.7692309374406</v>
      </c>
      <c r="H18" s="97">
        <f t="shared" si="39"/>
        <v>5288.4615386718006</v>
      </c>
      <c r="I18" s="97">
        <f t="shared" si="39"/>
        <v>6346.1538464061605</v>
      </c>
      <c r="J18" s="97">
        <f t="shared" si="39"/>
        <v>7403.8461541405204</v>
      </c>
      <c r="K18" s="97">
        <f t="shared" si="39"/>
        <v>8461.5384618748812</v>
      </c>
      <c r="L18" s="97">
        <f t="shared" si="39"/>
        <v>9519.2307696092412</v>
      </c>
      <c r="M18" s="97">
        <f t="shared" si="39"/>
        <v>10576.923077343601</v>
      </c>
      <c r="N18" s="97">
        <f t="shared" si="39"/>
        <v>11634.615385077961</v>
      </c>
      <c r="O18" s="97">
        <f t="shared" si="39"/>
        <v>12692.307692812321</v>
      </c>
      <c r="P18" s="97">
        <f t="shared" si="39"/>
        <v>13750.000000546681</v>
      </c>
      <c r="Q18" s="97">
        <f t="shared" si="39"/>
        <v>14807.692308281041</v>
      </c>
      <c r="R18" s="97">
        <f t="shared" si="39"/>
        <v>15865.384616015401</v>
      </c>
      <c r="S18" s="97">
        <f t="shared" si="39"/>
        <v>16923.076923749762</v>
      </c>
      <c r="T18" s="97">
        <f t="shared" si="39"/>
        <v>17980.769231484122</v>
      </c>
      <c r="U18" s="97">
        <f t="shared" si="39"/>
        <v>19038.461539218482</v>
      </c>
      <c r="V18" s="97">
        <f t="shared" si="39"/>
        <v>20096.153846952842</v>
      </c>
      <c r="W18" s="97">
        <f t="shared" si="39"/>
        <v>21153.846154687202</v>
      </c>
      <c r="X18" s="97">
        <f t="shared" si="39"/>
        <v>22211.538462421562</v>
      </c>
      <c r="Y18" s="97">
        <f t="shared" si="39"/>
        <v>23269.230770155922</v>
      </c>
      <c r="Z18" s="97">
        <f t="shared" si="39"/>
        <v>24326.923077890282</v>
      </c>
      <c r="AA18" s="97">
        <f t="shared" si="39"/>
        <v>25384.615385624642</v>
      </c>
      <c r="AB18" s="97">
        <f t="shared" si="39"/>
        <v>26442.307693359002</v>
      </c>
      <c r="AC18" s="97">
        <f t="shared" si="39"/>
        <v>27500.000001093362</v>
      </c>
      <c r="AD18" s="97">
        <f t="shared" si="39"/>
        <v>28557.692308827722</v>
      </c>
      <c r="AE18" s="97">
        <f t="shared" si="39"/>
        <v>29615.384616562082</v>
      </c>
      <c r="AF18" s="97">
        <f t="shared" si="39"/>
        <v>30673.076924296442</v>
      </c>
      <c r="AG18" s="97">
        <f t="shared" si="39"/>
        <v>31730.769232030802</v>
      </c>
      <c r="AH18" s="97">
        <f t="shared" si="39"/>
        <v>32788.461539765165</v>
      </c>
      <c r="AI18" s="97">
        <f t="shared" si="39"/>
        <v>33846.153847499525</v>
      </c>
      <c r="AJ18" s="97">
        <f t="shared" si="39"/>
        <v>34903.846155233885</v>
      </c>
      <c r="AK18" s="97">
        <f t="shared" ref="AK18:BC18" si="40">AJ18+AK1</f>
        <v>35961.538462968245</v>
      </c>
      <c r="AL18" s="97">
        <f t="shared" si="40"/>
        <v>37019.230770702605</v>
      </c>
      <c r="AM18" s="97">
        <f t="shared" si="40"/>
        <v>38076.923078436965</v>
      </c>
      <c r="AN18" s="97">
        <f t="shared" si="40"/>
        <v>39134.615386171325</v>
      </c>
      <c r="AO18" s="97">
        <f t="shared" si="40"/>
        <v>40192.307693905685</v>
      </c>
      <c r="AP18" s="97">
        <f t="shared" si="40"/>
        <v>41250.000001640045</v>
      </c>
      <c r="AQ18" s="97">
        <f t="shared" si="40"/>
        <v>42307.692309374404</v>
      </c>
      <c r="AR18" s="97">
        <f t="shared" si="40"/>
        <v>43365.384617108764</v>
      </c>
      <c r="AS18" s="97">
        <f t="shared" si="40"/>
        <v>44423.076924843124</v>
      </c>
      <c r="AT18" s="97">
        <f t="shared" si="40"/>
        <v>45480.769232577484</v>
      </c>
      <c r="AU18" s="97">
        <f t="shared" si="40"/>
        <v>46538.461540311844</v>
      </c>
      <c r="AV18" s="97">
        <f t="shared" si="40"/>
        <v>47596.153848046204</v>
      </c>
      <c r="AW18" s="97">
        <f t="shared" si="40"/>
        <v>48653.846155780564</v>
      </c>
      <c r="AX18" s="97">
        <f t="shared" si="40"/>
        <v>49711.538463514924</v>
      </c>
      <c r="AY18" s="97">
        <f t="shared" si="40"/>
        <v>50769.230771249284</v>
      </c>
      <c r="AZ18" s="97">
        <f t="shared" si="40"/>
        <v>51826.923078983644</v>
      </c>
      <c r="BA18" s="97">
        <f t="shared" si="40"/>
        <v>52884.615386718004</v>
      </c>
      <c r="BB18" s="97">
        <f t="shared" si="40"/>
        <v>53942.307694452364</v>
      </c>
      <c r="BC18" s="97">
        <f t="shared" si="40"/>
        <v>55000.000002186724</v>
      </c>
      <c r="BD18" s="98"/>
    </row>
    <row r="19" spans="2:58" x14ac:dyDescent="0.45">
      <c r="B19" s="9"/>
      <c r="C19" s="9"/>
      <c r="D19" s="135" t="str">
        <f t="shared" ref="D19:AI19" si="41">D11</f>
        <v>Week 1</v>
      </c>
      <c r="E19" s="135">
        <f t="shared" si="41"/>
        <v>2</v>
      </c>
      <c r="F19" s="135">
        <f t="shared" si="41"/>
        <v>3</v>
      </c>
      <c r="G19" s="135">
        <f t="shared" si="41"/>
        <v>4</v>
      </c>
      <c r="H19" s="135">
        <f t="shared" si="41"/>
        <v>5</v>
      </c>
      <c r="I19" s="1">
        <f t="shared" si="41"/>
        <v>6</v>
      </c>
      <c r="J19" s="1">
        <f t="shared" si="41"/>
        <v>7</v>
      </c>
      <c r="K19" s="1">
        <f t="shared" si="41"/>
        <v>8</v>
      </c>
      <c r="L19" s="1">
        <f t="shared" si="41"/>
        <v>9</v>
      </c>
      <c r="M19" s="1">
        <f t="shared" si="41"/>
        <v>10</v>
      </c>
      <c r="N19" s="1">
        <f t="shared" si="41"/>
        <v>11</v>
      </c>
      <c r="O19" s="1">
        <f t="shared" si="41"/>
        <v>12</v>
      </c>
      <c r="P19" s="1">
        <v>13</v>
      </c>
      <c r="Q19" s="1">
        <f t="shared" si="41"/>
        <v>14</v>
      </c>
      <c r="R19" s="1">
        <f t="shared" si="41"/>
        <v>15</v>
      </c>
      <c r="S19" s="1">
        <f t="shared" si="41"/>
        <v>16</v>
      </c>
      <c r="T19" s="1">
        <f t="shared" si="41"/>
        <v>17</v>
      </c>
      <c r="U19" s="1">
        <f t="shared" si="41"/>
        <v>18</v>
      </c>
      <c r="V19" s="1">
        <f t="shared" si="41"/>
        <v>19</v>
      </c>
      <c r="W19" s="1">
        <f t="shared" si="41"/>
        <v>20</v>
      </c>
      <c r="X19" s="1">
        <f t="shared" si="41"/>
        <v>21</v>
      </c>
      <c r="Y19" s="1">
        <f>Y11</f>
        <v>22</v>
      </c>
      <c r="Z19" s="1">
        <f t="shared" si="41"/>
        <v>23</v>
      </c>
      <c r="AA19" s="1">
        <f t="shared" si="41"/>
        <v>24</v>
      </c>
      <c r="AB19" s="1">
        <f t="shared" si="41"/>
        <v>25</v>
      </c>
      <c r="AC19" s="1">
        <f t="shared" si="41"/>
        <v>26</v>
      </c>
      <c r="AD19" s="1">
        <f t="shared" si="41"/>
        <v>27</v>
      </c>
      <c r="AE19" s="1">
        <f t="shared" si="41"/>
        <v>28</v>
      </c>
      <c r="AF19" s="1">
        <f t="shared" si="41"/>
        <v>29</v>
      </c>
      <c r="AG19" s="1">
        <f t="shared" si="41"/>
        <v>30</v>
      </c>
      <c r="AH19" s="1">
        <f t="shared" si="41"/>
        <v>31</v>
      </c>
      <c r="AI19" s="1">
        <f t="shared" si="41"/>
        <v>32</v>
      </c>
      <c r="AJ19" s="1">
        <f t="shared" ref="AJ19:BA19" si="42">AJ11</f>
        <v>33</v>
      </c>
      <c r="AK19" s="1">
        <f t="shared" si="42"/>
        <v>34</v>
      </c>
      <c r="AL19" s="1">
        <f t="shared" si="42"/>
        <v>35</v>
      </c>
      <c r="AM19" s="1">
        <f t="shared" si="42"/>
        <v>36</v>
      </c>
      <c r="AN19" s="1">
        <f t="shared" si="42"/>
        <v>37</v>
      </c>
      <c r="AO19" s="1">
        <f t="shared" si="42"/>
        <v>38</v>
      </c>
      <c r="AP19" s="1">
        <f t="shared" si="42"/>
        <v>39</v>
      </c>
      <c r="AQ19" s="1">
        <f t="shared" si="42"/>
        <v>40</v>
      </c>
      <c r="AR19" s="1">
        <f t="shared" si="42"/>
        <v>41</v>
      </c>
      <c r="AS19" s="1">
        <f t="shared" si="42"/>
        <v>42</v>
      </c>
      <c r="AT19" s="1">
        <f t="shared" si="42"/>
        <v>43</v>
      </c>
      <c r="AU19" s="1">
        <f>AU11</f>
        <v>44</v>
      </c>
      <c r="AV19" s="1">
        <f t="shared" si="42"/>
        <v>45</v>
      </c>
      <c r="AW19" s="1">
        <f t="shared" si="42"/>
        <v>46</v>
      </c>
      <c r="AX19" s="1">
        <f t="shared" si="42"/>
        <v>47</v>
      </c>
      <c r="AY19" s="1">
        <f t="shared" si="42"/>
        <v>48</v>
      </c>
      <c r="AZ19" s="1">
        <f t="shared" si="42"/>
        <v>49</v>
      </c>
      <c r="BA19" s="1">
        <f t="shared" si="42"/>
        <v>50</v>
      </c>
      <c r="BB19" s="1">
        <v>51</v>
      </c>
      <c r="BC19" s="1" t="str">
        <f>BC11</f>
        <v>Week 52</v>
      </c>
    </row>
    <row r="20" spans="2:58" x14ac:dyDescent="0.45">
      <c r="B20" s="4">
        <v>3</v>
      </c>
      <c r="C20" s="62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2:58" x14ac:dyDescent="0.45">
      <c r="B21" s="2"/>
      <c r="C21" s="3" t="str">
        <f>C13</f>
        <v>B2B</v>
      </c>
      <c r="D21" s="58" t="str">
        <f t="shared" ref="D21:AI21" si="43">IFERROR(D5/D13," ")</f>
        <v xml:space="preserve"> </v>
      </c>
      <c r="E21" s="58">
        <f t="shared" si="43"/>
        <v>32.078621619020126</v>
      </c>
      <c r="F21" s="58">
        <f t="shared" si="43"/>
        <v>32.618071111580726</v>
      </c>
      <c r="G21" s="58">
        <f t="shared" si="43"/>
        <v>33.661640151081613</v>
      </c>
      <c r="H21" s="58">
        <f t="shared" si="43"/>
        <v>31.777331600606448</v>
      </c>
      <c r="I21" s="58">
        <f t="shared" si="43"/>
        <v>30.243519088882969</v>
      </c>
      <c r="J21" s="58">
        <f t="shared" si="43"/>
        <v>30.243519088882969</v>
      </c>
      <c r="K21" s="58">
        <f t="shared" si="43"/>
        <v>30.243519088882969</v>
      </c>
      <c r="L21" s="58">
        <f t="shared" si="43"/>
        <v>30.243519088882969</v>
      </c>
      <c r="M21" s="58">
        <f t="shared" si="43"/>
        <v>29.971541354364813</v>
      </c>
      <c r="N21" s="58">
        <f t="shared" si="43"/>
        <v>29.971541354364813</v>
      </c>
      <c r="O21" s="58">
        <f t="shared" si="43"/>
        <v>29.971541354364813</v>
      </c>
      <c r="P21" s="58">
        <f t="shared" si="43"/>
        <v>29.971541354364813</v>
      </c>
      <c r="Q21" s="58">
        <f t="shared" si="43"/>
        <v>30.272721701699894</v>
      </c>
      <c r="R21" s="58">
        <f t="shared" si="43"/>
        <v>30.272721701699894</v>
      </c>
      <c r="S21" s="58">
        <f t="shared" si="43"/>
        <v>30.272721701699894</v>
      </c>
      <c r="T21" s="58">
        <f t="shared" si="43"/>
        <v>30.272721701699894</v>
      </c>
      <c r="U21" s="58">
        <f t="shared" si="43"/>
        <v>30.02791530548329</v>
      </c>
      <c r="V21" s="58">
        <f t="shared" si="43"/>
        <v>30.02791530548329</v>
      </c>
      <c r="W21" s="58">
        <f t="shared" si="43"/>
        <v>30.02791530548329</v>
      </c>
      <c r="X21" s="58">
        <f t="shared" si="43"/>
        <v>30.02791530548329</v>
      </c>
      <c r="Y21" s="58">
        <f t="shared" si="43"/>
        <v>30.02791530548329</v>
      </c>
      <c r="Z21" s="58">
        <f t="shared" si="43"/>
        <v>30.21036590947103</v>
      </c>
      <c r="AA21" s="58">
        <f t="shared" si="43"/>
        <v>30.21036590947103</v>
      </c>
      <c r="AB21" s="58">
        <f t="shared" si="43"/>
        <v>30.21036590947103</v>
      </c>
      <c r="AC21" s="58">
        <f t="shared" si="43"/>
        <v>30.21036590947103</v>
      </c>
      <c r="AD21" s="58">
        <f t="shared" si="43"/>
        <v>29.936359755771985</v>
      </c>
      <c r="AE21" s="58">
        <f t="shared" si="43"/>
        <v>29.936359755771985</v>
      </c>
      <c r="AF21" s="58">
        <f t="shared" si="43"/>
        <v>29.936359755771985</v>
      </c>
      <c r="AG21" s="58">
        <f t="shared" si="43"/>
        <v>29.936359755771985</v>
      </c>
      <c r="AH21" s="58">
        <f t="shared" si="43"/>
        <v>29.936359755771985</v>
      </c>
      <c r="AI21" s="58">
        <f t="shared" si="43"/>
        <v>30.209582753845915</v>
      </c>
      <c r="AJ21" s="58">
        <f t="shared" ref="AJ21:BC21" si="44">IFERROR(AJ5/AJ13," ")</f>
        <v>30.209582753845915</v>
      </c>
      <c r="AK21" s="58">
        <f t="shared" si="44"/>
        <v>30.209582753845915</v>
      </c>
      <c r="AL21" s="58">
        <f t="shared" si="44"/>
        <v>30.209582753845915</v>
      </c>
      <c r="AM21" s="58">
        <f t="shared" si="44"/>
        <v>29.733901356268927</v>
      </c>
      <c r="AN21" s="58">
        <f t="shared" si="44"/>
        <v>29.733901356268927</v>
      </c>
      <c r="AO21" s="58">
        <f t="shared" si="44"/>
        <v>29.733901356268927</v>
      </c>
      <c r="AP21" s="58">
        <f t="shared" si="44"/>
        <v>29.733901356268927</v>
      </c>
      <c r="AQ21" s="58">
        <f t="shared" si="44"/>
        <v>30.120070657981458</v>
      </c>
      <c r="AR21" s="58">
        <f t="shared" si="44"/>
        <v>30.120070657981458</v>
      </c>
      <c r="AS21" s="58">
        <f t="shared" si="44"/>
        <v>30.120070657981458</v>
      </c>
      <c r="AT21" s="58">
        <f t="shared" si="44"/>
        <v>30.120070657981458</v>
      </c>
      <c r="AU21" s="58">
        <f t="shared" si="44"/>
        <v>30.120070657981458</v>
      </c>
      <c r="AV21" s="58">
        <f t="shared" si="44"/>
        <v>29.81182158378239</v>
      </c>
      <c r="AW21" s="58">
        <f t="shared" si="44"/>
        <v>29.81182158378239</v>
      </c>
      <c r="AX21" s="58">
        <f t="shared" si="44"/>
        <v>29.81182158378239</v>
      </c>
      <c r="AY21" s="58">
        <f t="shared" si="44"/>
        <v>29.81182158378239</v>
      </c>
      <c r="AZ21" s="58">
        <f t="shared" si="44"/>
        <v>29.971081352089712</v>
      </c>
      <c r="BA21" s="58">
        <f t="shared" si="44"/>
        <v>29.971081352089712</v>
      </c>
      <c r="BB21" s="58">
        <f t="shared" si="44"/>
        <v>29.971081352089712</v>
      </c>
      <c r="BC21" s="58">
        <f t="shared" si="44"/>
        <v>29.971081352089712</v>
      </c>
    </row>
    <row r="22" spans="2:58" x14ac:dyDescent="0.45">
      <c r="B22" s="2"/>
      <c r="C22" s="3" t="s">
        <v>4</v>
      </c>
      <c r="D22" s="58" t="str">
        <f t="shared" ref="D22:AI22" si="45">IFERROR(D6/D14," ")</f>
        <v xml:space="preserve"> </v>
      </c>
      <c r="E22" s="58">
        <f t="shared" si="45"/>
        <v>29.519984848484853</v>
      </c>
      <c r="F22" s="58">
        <f t="shared" si="45"/>
        <v>28.77809090909091</v>
      </c>
      <c r="G22" s="58">
        <f t="shared" si="45"/>
        <v>25.928059405940594</v>
      </c>
      <c r="H22" s="58">
        <f t="shared" si="45"/>
        <v>27.966029411764705</v>
      </c>
      <c r="I22" s="58">
        <f t="shared" ref="I22:K22" si="46">IFERROR(I6/I14," ")</f>
        <v>30.836125352434653</v>
      </c>
      <c r="J22" s="58">
        <f t="shared" si="46"/>
        <v>30.836125352434653</v>
      </c>
      <c r="K22" s="58">
        <f t="shared" si="46"/>
        <v>30.836125352434653</v>
      </c>
      <c r="L22" s="58">
        <f t="shared" si="45"/>
        <v>30.836125352434653</v>
      </c>
      <c r="M22" s="58">
        <f t="shared" si="45"/>
        <v>31.266444355350636</v>
      </c>
      <c r="N22" s="58">
        <f t="shared" si="45"/>
        <v>31.266444355350636</v>
      </c>
      <c r="O22" s="58">
        <f t="shared" si="45"/>
        <v>31.266444355350636</v>
      </c>
      <c r="P22" s="58">
        <f t="shared" si="45"/>
        <v>31.266444355350636</v>
      </c>
      <c r="Q22" s="58">
        <f t="shared" si="45"/>
        <v>30.63192954449519</v>
      </c>
      <c r="R22" s="58">
        <f t="shared" si="45"/>
        <v>30.63192954449519</v>
      </c>
      <c r="S22" s="58">
        <f t="shared" si="45"/>
        <v>30.63192954449519</v>
      </c>
      <c r="T22" s="58">
        <f t="shared" si="45"/>
        <v>30.63192954449519</v>
      </c>
      <c r="U22" s="58">
        <f t="shared" si="45"/>
        <v>30.944138561361889</v>
      </c>
      <c r="V22" s="58">
        <f t="shared" si="45"/>
        <v>30.944138561361889</v>
      </c>
      <c r="W22" s="58">
        <f t="shared" si="45"/>
        <v>30.944138561361889</v>
      </c>
      <c r="X22" s="58">
        <f t="shared" si="45"/>
        <v>30.944138561361889</v>
      </c>
      <c r="Y22" s="58">
        <f t="shared" si="45"/>
        <v>30.944138561361889</v>
      </c>
      <c r="Z22" s="58">
        <f t="shared" si="45"/>
        <v>30.853924987580726</v>
      </c>
      <c r="AA22" s="58">
        <f t="shared" si="45"/>
        <v>30.853924987580726</v>
      </c>
      <c r="AB22" s="58">
        <f t="shared" si="45"/>
        <v>30.853924987580726</v>
      </c>
      <c r="AC22" s="58">
        <f t="shared" si="45"/>
        <v>30.853924987580726</v>
      </c>
      <c r="AD22" s="58">
        <f t="shared" si="45"/>
        <v>30.770894104202092</v>
      </c>
      <c r="AE22" s="58">
        <f t="shared" si="45"/>
        <v>30.770894104202092</v>
      </c>
      <c r="AF22" s="58">
        <f t="shared" si="45"/>
        <v>30.770894104202092</v>
      </c>
      <c r="AG22" s="58">
        <f t="shared" si="45"/>
        <v>30.770894104202092</v>
      </c>
      <c r="AH22" s="58">
        <f t="shared" si="45"/>
        <v>30.770894104202092</v>
      </c>
      <c r="AI22" s="58">
        <f t="shared" si="45"/>
        <v>30.438503702601121</v>
      </c>
      <c r="AJ22" s="58">
        <f t="shared" ref="AJ22:BC22" si="47">IFERROR(AJ6/AJ14," ")</f>
        <v>30.438503702601121</v>
      </c>
      <c r="AK22" s="58">
        <f t="shared" si="47"/>
        <v>30.438503702601121</v>
      </c>
      <c r="AL22" s="58">
        <f t="shared" si="47"/>
        <v>30.438503702601121</v>
      </c>
      <c r="AM22" s="58">
        <f t="shared" si="47"/>
        <v>30.914438119122256</v>
      </c>
      <c r="AN22" s="58">
        <f t="shared" si="47"/>
        <v>30.914438119122256</v>
      </c>
      <c r="AO22" s="58">
        <f t="shared" si="47"/>
        <v>30.914438119122256</v>
      </c>
      <c r="AP22" s="58">
        <f t="shared" si="47"/>
        <v>30.914438119122256</v>
      </c>
      <c r="AQ22" s="58">
        <f t="shared" si="47"/>
        <v>30.326108696446177</v>
      </c>
      <c r="AR22" s="58">
        <f t="shared" si="47"/>
        <v>30.326108696446177</v>
      </c>
      <c r="AS22" s="58">
        <f t="shared" si="47"/>
        <v>30.326108696446177</v>
      </c>
      <c r="AT22" s="58">
        <f t="shared" si="47"/>
        <v>30.326108696446177</v>
      </c>
      <c r="AU22" s="58">
        <f t="shared" si="47"/>
        <v>30.326108696446177</v>
      </c>
      <c r="AV22" s="58">
        <f t="shared" si="47"/>
        <v>30.710587516960651</v>
      </c>
      <c r="AW22" s="58">
        <f t="shared" si="47"/>
        <v>30.710587516960651</v>
      </c>
      <c r="AX22" s="58">
        <f t="shared" si="47"/>
        <v>30.710587516960651</v>
      </c>
      <c r="AY22" s="58">
        <f t="shared" si="47"/>
        <v>30.710587516960651</v>
      </c>
      <c r="AZ22" s="58">
        <f t="shared" si="47"/>
        <v>30.405626725324918</v>
      </c>
      <c r="BA22" s="58">
        <f t="shared" si="47"/>
        <v>30.405626725324918</v>
      </c>
      <c r="BB22" s="58">
        <f t="shared" si="47"/>
        <v>30.405626725324918</v>
      </c>
      <c r="BC22" s="58">
        <f t="shared" si="47"/>
        <v>30.405626725324918</v>
      </c>
    </row>
    <row r="23" spans="2:58" x14ac:dyDescent="0.45">
      <c r="B23" s="29"/>
      <c r="C23" s="30" t="s">
        <v>5</v>
      </c>
      <c r="D23" s="58" t="str">
        <f t="shared" ref="D23:G23" si="48">IFERROR(D7/D15,"")</f>
        <v/>
      </c>
      <c r="E23" s="58">
        <f t="shared" si="48"/>
        <v>32.842424242424237</v>
      </c>
      <c r="F23" s="58">
        <f t="shared" si="48"/>
        <v>34.585714285714282</v>
      </c>
      <c r="G23" s="58">
        <f t="shared" si="48"/>
        <v>32.170936251064667</v>
      </c>
      <c r="H23" s="58">
        <f>IFERROR(H7/H15,"")</f>
        <v>31.437840872633945</v>
      </c>
      <c r="I23" s="58">
        <f t="shared" ref="I23:BC23" si="49">IFERROR(I7/I15,"")</f>
        <v>30.475000000000001</v>
      </c>
      <c r="J23" s="58">
        <f t="shared" si="49"/>
        <v>30.475000000000001</v>
      </c>
      <c r="K23" s="58">
        <f t="shared" si="49"/>
        <v>30.475000000000001</v>
      </c>
      <c r="L23" s="58">
        <f t="shared" si="49"/>
        <v>30.475000000000001</v>
      </c>
      <c r="M23" s="58">
        <f t="shared" si="49"/>
        <v>30.475000000000001</v>
      </c>
      <c r="N23" s="58">
        <f t="shared" si="49"/>
        <v>30.475000000000001</v>
      </c>
      <c r="O23" s="58">
        <f t="shared" si="49"/>
        <v>30.475000000000001</v>
      </c>
      <c r="P23" s="58">
        <f t="shared" si="49"/>
        <v>30.475000000000001</v>
      </c>
      <c r="Q23" s="58">
        <f t="shared" si="49"/>
        <v>30.475000000000001</v>
      </c>
      <c r="R23" s="58">
        <f t="shared" si="49"/>
        <v>30.475000000000001</v>
      </c>
      <c r="S23" s="58">
        <f t="shared" si="49"/>
        <v>30.475000000000001</v>
      </c>
      <c r="T23" s="58">
        <f t="shared" si="49"/>
        <v>30.475000000000001</v>
      </c>
      <c r="U23" s="58">
        <f t="shared" si="49"/>
        <v>30.474999999999998</v>
      </c>
      <c r="V23" s="58">
        <f t="shared" si="49"/>
        <v>30.474999999999998</v>
      </c>
      <c r="W23" s="58">
        <f t="shared" si="49"/>
        <v>30.474999999999998</v>
      </c>
      <c r="X23" s="58">
        <f t="shared" si="49"/>
        <v>30.474999999999998</v>
      </c>
      <c r="Y23" s="58">
        <f t="shared" si="49"/>
        <v>30.474999999999998</v>
      </c>
      <c r="Z23" s="58">
        <f t="shared" si="49"/>
        <v>30.475000000000001</v>
      </c>
      <c r="AA23" s="58">
        <f t="shared" si="49"/>
        <v>30.475000000000001</v>
      </c>
      <c r="AB23" s="58">
        <f t="shared" si="49"/>
        <v>30.475000000000001</v>
      </c>
      <c r="AC23" s="58">
        <f t="shared" si="49"/>
        <v>30.475000000000001</v>
      </c>
      <c r="AD23" s="58">
        <f t="shared" si="49"/>
        <v>30.474999999999998</v>
      </c>
      <c r="AE23" s="58">
        <f t="shared" si="49"/>
        <v>30.474999999999998</v>
      </c>
      <c r="AF23" s="58">
        <f t="shared" si="49"/>
        <v>30.474999999999998</v>
      </c>
      <c r="AG23" s="58">
        <f t="shared" si="49"/>
        <v>30.474999999999998</v>
      </c>
      <c r="AH23" s="58">
        <f t="shared" si="49"/>
        <v>30.474999999999998</v>
      </c>
      <c r="AI23" s="58">
        <f t="shared" si="49"/>
        <v>30.475000000000001</v>
      </c>
      <c r="AJ23" s="58">
        <f t="shared" si="49"/>
        <v>30.475000000000001</v>
      </c>
      <c r="AK23" s="58">
        <f t="shared" si="49"/>
        <v>30.475000000000001</v>
      </c>
      <c r="AL23" s="58">
        <f t="shared" si="49"/>
        <v>30.475000000000001</v>
      </c>
      <c r="AM23" s="58">
        <f t="shared" si="49"/>
        <v>30.475000000000001</v>
      </c>
      <c r="AN23" s="58">
        <f t="shared" si="49"/>
        <v>30.475000000000001</v>
      </c>
      <c r="AO23" s="58">
        <f t="shared" si="49"/>
        <v>30.475000000000001</v>
      </c>
      <c r="AP23" s="58">
        <f t="shared" si="49"/>
        <v>30.475000000000001</v>
      </c>
      <c r="AQ23" s="58">
        <f t="shared" si="49"/>
        <v>30.474999999999998</v>
      </c>
      <c r="AR23" s="58">
        <f t="shared" si="49"/>
        <v>30.474999999999998</v>
      </c>
      <c r="AS23" s="58">
        <f t="shared" si="49"/>
        <v>30.474999999999998</v>
      </c>
      <c r="AT23" s="58">
        <f t="shared" si="49"/>
        <v>30.474999999999998</v>
      </c>
      <c r="AU23" s="58">
        <f t="shared" si="49"/>
        <v>30.474999999999998</v>
      </c>
      <c r="AV23" s="58">
        <f t="shared" si="49"/>
        <v>30.475000000000001</v>
      </c>
      <c r="AW23" s="58">
        <f t="shared" si="49"/>
        <v>30.475000000000001</v>
      </c>
      <c r="AX23" s="58">
        <f t="shared" si="49"/>
        <v>30.475000000000001</v>
      </c>
      <c r="AY23" s="58">
        <f t="shared" si="49"/>
        <v>30.475000000000001</v>
      </c>
      <c r="AZ23" s="58">
        <f t="shared" si="49"/>
        <v>30.475000000000001</v>
      </c>
      <c r="BA23" s="58">
        <f t="shared" si="49"/>
        <v>30.475000000000001</v>
      </c>
      <c r="BB23" s="58">
        <f t="shared" si="49"/>
        <v>30.475000000000001</v>
      </c>
      <c r="BC23" s="58">
        <f t="shared" si="49"/>
        <v>30.475000000000001</v>
      </c>
    </row>
    <row r="24" spans="2:58" ht="16.5" thickBot="1" x14ac:dyDescent="0.5">
      <c r="B24" s="70"/>
      <c r="C24" s="71" t="s">
        <v>2</v>
      </c>
      <c r="D24" s="78" t="e">
        <f>SUM(D5:D6)/SUM(D13:D14)</f>
        <v>#DIV/0!</v>
      </c>
      <c r="E24" s="78">
        <f>SUM(E5:E6)/SUM(E13:E14)</f>
        <v>30.132621171264613</v>
      </c>
      <c r="F24" s="78">
        <f>SUM(F5:F6)/SUM(F13:F14)</f>
        <v>30.177781736250196</v>
      </c>
      <c r="G24" s="78">
        <f>IFERROR(SUM(G5:G6)/SUM(G13:G14),"")</f>
        <v>29.091072933245947</v>
      </c>
      <c r="H24" s="78">
        <f>IFERROR(SUM(H5:H6)/SUM(H13:H14),"")</f>
        <v>30.91011209636941</v>
      </c>
      <c r="I24" s="78">
        <f t="shared" ref="I24:AP24" si="50">SUM(I5:I6)/SUM(I13:I14)</f>
        <v>30.576817933706625</v>
      </c>
      <c r="J24" s="78">
        <f t="shared" si="50"/>
        <v>30.576817933706625</v>
      </c>
      <c r="K24" s="78">
        <f t="shared" si="50"/>
        <v>30.576817933706625</v>
      </c>
      <c r="L24" s="78">
        <f t="shared" si="50"/>
        <v>30.576817933706625</v>
      </c>
      <c r="M24" s="78">
        <f t="shared" si="50"/>
        <v>30.726418212024594</v>
      </c>
      <c r="N24" s="78">
        <f t="shared" si="50"/>
        <v>30.726418212024594</v>
      </c>
      <c r="O24" s="78">
        <f t="shared" si="50"/>
        <v>30.726418212024594</v>
      </c>
      <c r="P24" s="78">
        <f t="shared" si="50"/>
        <v>30.726418212024594</v>
      </c>
      <c r="Q24" s="78">
        <f t="shared" si="50"/>
        <v>30.466862343360305</v>
      </c>
      <c r="R24" s="78">
        <f t="shared" si="50"/>
        <v>30.466862343360305</v>
      </c>
      <c r="S24" s="78">
        <f t="shared" si="50"/>
        <v>30.466862343360305</v>
      </c>
      <c r="T24" s="78">
        <f t="shared" si="50"/>
        <v>30.466862343360305</v>
      </c>
      <c r="U24" s="78">
        <f t="shared" si="50"/>
        <v>30.541125498901678</v>
      </c>
      <c r="V24" s="78">
        <f t="shared" si="50"/>
        <v>30.541125498901678</v>
      </c>
      <c r="W24" s="78">
        <f t="shared" si="50"/>
        <v>30.541125498901678</v>
      </c>
      <c r="X24" s="78">
        <f t="shared" si="50"/>
        <v>30.541125498901678</v>
      </c>
      <c r="Y24" s="78">
        <f t="shared" si="50"/>
        <v>30.541125498901678</v>
      </c>
      <c r="Z24" s="78">
        <f t="shared" si="50"/>
        <v>30.587761277045676</v>
      </c>
      <c r="AA24" s="78">
        <f t="shared" si="50"/>
        <v>30.587761277045676</v>
      </c>
      <c r="AB24" s="78">
        <f t="shared" si="50"/>
        <v>30.587761277045676</v>
      </c>
      <c r="AC24" s="78">
        <f t="shared" si="50"/>
        <v>30.587761277045676</v>
      </c>
      <c r="AD24" s="78">
        <f t="shared" si="50"/>
        <v>30.41029606706061</v>
      </c>
      <c r="AE24" s="78">
        <f t="shared" si="50"/>
        <v>30.41029606706061</v>
      </c>
      <c r="AF24" s="78">
        <f t="shared" si="50"/>
        <v>30.41029606706061</v>
      </c>
      <c r="AG24" s="78">
        <f t="shared" si="50"/>
        <v>30.41029606706061</v>
      </c>
      <c r="AH24" s="78">
        <f t="shared" si="50"/>
        <v>30.41029606706061</v>
      </c>
      <c r="AI24" s="78">
        <f t="shared" si="50"/>
        <v>30.332445752269535</v>
      </c>
      <c r="AJ24" s="78">
        <f t="shared" si="50"/>
        <v>30.332445752269535</v>
      </c>
      <c r="AK24" s="78">
        <f t="shared" si="50"/>
        <v>30.332445752269535</v>
      </c>
      <c r="AL24" s="78">
        <f t="shared" si="50"/>
        <v>30.332445752269535</v>
      </c>
      <c r="AM24" s="78">
        <f t="shared" si="50"/>
        <v>30.452588905440717</v>
      </c>
      <c r="AN24" s="78">
        <f t="shared" si="50"/>
        <v>30.452588905440717</v>
      </c>
      <c r="AO24" s="78">
        <f t="shared" si="50"/>
        <v>30.452588905440717</v>
      </c>
      <c r="AP24" s="78">
        <f t="shared" si="50"/>
        <v>30.452588905440717</v>
      </c>
      <c r="AQ24" s="78">
        <f t="shared" ref="AQ24:BC24" si="51">SUM(AQ5:AQ6)/SUM(AQ13:AQ14)</f>
        <v>30.235115895854921</v>
      </c>
      <c r="AR24" s="78">
        <f t="shared" si="51"/>
        <v>30.235115895854921</v>
      </c>
      <c r="AS24" s="78">
        <f t="shared" si="51"/>
        <v>30.235115895854921</v>
      </c>
      <c r="AT24" s="78">
        <f t="shared" si="51"/>
        <v>30.235115895854921</v>
      </c>
      <c r="AU24" s="78">
        <f t="shared" si="51"/>
        <v>30.235115895854921</v>
      </c>
      <c r="AV24" s="78">
        <f t="shared" si="51"/>
        <v>30.323303500793827</v>
      </c>
      <c r="AW24" s="78">
        <f t="shared" si="51"/>
        <v>30.323303500793827</v>
      </c>
      <c r="AX24" s="78">
        <f t="shared" si="51"/>
        <v>30.323303500793827</v>
      </c>
      <c r="AY24" s="78">
        <f t="shared" si="51"/>
        <v>30.323303500793827</v>
      </c>
      <c r="AZ24" s="78">
        <f t="shared" si="51"/>
        <v>30.217506259118821</v>
      </c>
      <c r="BA24" s="78">
        <f t="shared" si="51"/>
        <v>30.217506259118821</v>
      </c>
      <c r="BB24" s="78">
        <f t="shared" si="51"/>
        <v>30.217506259118821</v>
      </c>
      <c r="BC24" s="78">
        <f t="shared" si="51"/>
        <v>30.217506259118821</v>
      </c>
    </row>
    <row r="25" spans="2:58" s="27" customFormat="1" ht="16.5" thickTop="1" x14ac:dyDescent="0.45">
      <c r="B25" s="56"/>
      <c r="C25" s="105" t="str">
        <f>IF(B1="EN","AVG Weekly Actual","BQ Thực tế hàng tuần")</f>
        <v>BQ Thực tế hàng tuần</v>
      </c>
      <c r="D25" s="111" t="e">
        <f t="shared" ref="D25:AI25" si="52">SUM($D$8:$BC$8)/$C$1</f>
        <v>#VALUE!</v>
      </c>
      <c r="E25" s="111" t="e">
        <f t="shared" si="52"/>
        <v>#VALUE!</v>
      </c>
      <c r="F25" s="111" t="e">
        <f t="shared" si="52"/>
        <v>#VALUE!</v>
      </c>
      <c r="G25" s="111" t="e">
        <f t="shared" si="52"/>
        <v>#VALUE!</v>
      </c>
      <c r="H25" s="111" t="e">
        <f t="shared" si="52"/>
        <v>#VALUE!</v>
      </c>
      <c r="I25" s="111" t="e">
        <f t="shared" si="52"/>
        <v>#VALUE!</v>
      </c>
      <c r="J25" s="111" t="e">
        <f t="shared" si="52"/>
        <v>#VALUE!</v>
      </c>
      <c r="K25" s="111" t="e">
        <f t="shared" si="52"/>
        <v>#VALUE!</v>
      </c>
      <c r="L25" s="111" t="e">
        <f t="shared" si="52"/>
        <v>#VALUE!</v>
      </c>
      <c r="M25" s="111" t="e">
        <f t="shared" si="52"/>
        <v>#VALUE!</v>
      </c>
      <c r="N25" s="111" t="e">
        <f t="shared" si="52"/>
        <v>#VALUE!</v>
      </c>
      <c r="O25" s="111" t="e">
        <f t="shared" si="52"/>
        <v>#VALUE!</v>
      </c>
      <c r="P25" s="111" t="e">
        <f t="shared" si="52"/>
        <v>#VALUE!</v>
      </c>
      <c r="Q25" s="111" t="e">
        <f t="shared" si="52"/>
        <v>#VALUE!</v>
      </c>
      <c r="R25" s="111" t="e">
        <f t="shared" si="52"/>
        <v>#VALUE!</v>
      </c>
      <c r="S25" s="111" t="e">
        <f t="shared" si="52"/>
        <v>#VALUE!</v>
      </c>
      <c r="T25" s="111" t="e">
        <f t="shared" si="52"/>
        <v>#VALUE!</v>
      </c>
      <c r="U25" s="111" t="e">
        <f t="shared" si="52"/>
        <v>#VALUE!</v>
      </c>
      <c r="V25" s="111" t="e">
        <f t="shared" si="52"/>
        <v>#VALUE!</v>
      </c>
      <c r="W25" s="111" t="e">
        <f t="shared" si="52"/>
        <v>#VALUE!</v>
      </c>
      <c r="X25" s="111" t="e">
        <f t="shared" si="52"/>
        <v>#VALUE!</v>
      </c>
      <c r="Y25" s="111" t="e">
        <f t="shared" si="52"/>
        <v>#VALUE!</v>
      </c>
      <c r="Z25" s="111" t="e">
        <f t="shared" si="52"/>
        <v>#VALUE!</v>
      </c>
      <c r="AA25" s="111" t="e">
        <f t="shared" si="52"/>
        <v>#VALUE!</v>
      </c>
      <c r="AB25" s="111" t="e">
        <f t="shared" si="52"/>
        <v>#VALUE!</v>
      </c>
      <c r="AC25" s="111" t="e">
        <f t="shared" si="52"/>
        <v>#VALUE!</v>
      </c>
      <c r="AD25" s="111" t="e">
        <f t="shared" si="52"/>
        <v>#VALUE!</v>
      </c>
      <c r="AE25" s="111" t="e">
        <f t="shared" si="52"/>
        <v>#VALUE!</v>
      </c>
      <c r="AF25" s="111" t="e">
        <f t="shared" si="52"/>
        <v>#VALUE!</v>
      </c>
      <c r="AG25" s="111" t="e">
        <f t="shared" si="52"/>
        <v>#VALUE!</v>
      </c>
      <c r="AH25" s="111" t="e">
        <f t="shared" si="52"/>
        <v>#VALUE!</v>
      </c>
      <c r="AI25" s="111" t="e">
        <f t="shared" si="52"/>
        <v>#VALUE!</v>
      </c>
      <c r="AJ25" s="111" t="e">
        <f t="shared" ref="AJ25:BC25" si="53">SUM($D$8:$BC$8)/$C$1</f>
        <v>#VALUE!</v>
      </c>
      <c r="AK25" s="111" t="e">
        <f t="shared" si="53"/>
        <v>#VALUE!</v>
      </c>
      <c r="AL25" s="111" t="e">
        <f t="shared" si="53"/>
        <v>#VALUE!</v>
      </c>
      <c r="AM25" s="111" t="e">
        <f t="shared" si="53"/>
        <v>#VALUE!</v>
      </c>
      <c r="AN25" s="111" t="e">
        <f t="shared" si="53"/>
        <v>#VALUE!</v>
      </c>
      <c r="AO25" s="111" t="e">
        <f t="shared" si="53"/>
        <v>#VALUE!</v>
      </c>
      <c r="AP25" s="111" t="e">
        <f t="shared" si="53"/>
        <v>#VALUE!</v>
      </c>
      <c r="AQ25" s="111" t="e">
        <f t="shared" si="53"/>
        <v>#VALUE!</v>
      </c>
      <c r="AR25" s="111" t="e">
        <f t="shared" si="53"/>
        <v>#VALUE!</v>
      </c>
      <c r="AS25" s="111" t="e">
        <f t="shared" si="53"/>
        <v>#VALUE!</v>
      </c>
      <c r="AT25" s="111" t="e">
        <f t="shared" si="53"/>
        <v>#VALUE!</v>
      </c>
      <c r="AU25" s="111" t="e">
        <f t="shared" si="53"/>
        <v>#VALUE!</v>
      </c>
      <c r="AV25" s="111" t="e">
        <f t="shared" si="53"/>
        <v>#VALUE!</v>
      </c>
      <c r="AW25" s="111" t="e">
        <f t="shared" si="53"/>
        <v>#VALUE!</v>
      </c>
      <c r="AX25" s="111" t="e">
        <f t="shared" si="53"/>
        <v>#VALUE!</v>
      </c>
      <c r="AY25" s="111" t="e">
        <f t="shared" si="53"/>
        <v>#VALUE!</v>
      </c>
      <c r="AZ25" s="111" t="e">
        <f t="shared" si="53"/>
        <v>#VALUE!</v>
      </c>
      <c r="BA25" s="111" t="e">
        <f t="shared" si="53"/>
        <v>#VALUE!</v>
      </c>
      <c r="BB25" s="111" t="e">
        <f t="shared" si="53"/>
        <v>#VALUE!</v>
      </c>
      <c r="BC25" s="111" t="e">
        <f t="shared" si="53"/>
        <v>#VALUE!</v>
      </c>
      <c r="BD25" s="50"/>
    </row>
    <row r="26" spans="2:58" x14ac:dyDescent="0.45">
      <c r="B26" s="33"/>
      <c r="C26" s="37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</row>
    <row r="27" spans="2:58" x14ac:dyDescent="0.45">
      <c r="B27" s="33"/>
      <c r="C27" s="37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2:58" x14ac:dyDescent="0.45">
      <c r="B28" s="33"/>
      <c r="C28" s="37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</row>
    <row r="29" spans="2:58" x14ac:dyDescent="0.45">
      <c r="B29" s="33"/>
      <c r="C29" s="3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2:58" x14ac:dyDescent="0.45">
      <c r="B30" s="33"/>
      <c r="C30" s="37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2:58" x14ac:dyDescent="0.45">
      <c r="B31" s="33"/>
      <c r="C31" s="37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2:58" x14ac:dyDescent="0.45">
      <c r="B32" s="33"/>
      <c r="C32" s="37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  <row r="33" spans="2:55" x14ac:dyDescent="0.45">
      <c r="B33" s="33"/>
      <c r="C33" s="37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</row>
    <row r="34" spans="2:55" x14ac:dyDescent="0.45">
      <c r="B34" s="33"/>
      <c r="C34" s="37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</row>
    <row r="35" spans="2:55" x14ac:dyDescent="0.45">
      <c r="B35" s="33"/>
      <c r="C35" s="37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2:55" x14ac:dyDescent="0.45">
      <c r="B36" s="33"/>
      <c r="C36" s="37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</row>
    <row r="37" spans="2:55" x14ac:dyDescent="0.45">
      <c r="B37" s="33"/>
      <c r="C37" s="37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</row>
    <row r="38" spans="2:55" x14ac:dyDescent="0.45">
      <c r="B38" s="33"/>
      <c r="C38" s="37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</row>
    <row r="39" spans="2:55" s="50" customFormat="1" x14ac:dyDescent="0.45">
      <c r="B39" s="59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2:55" s="50" customFormat="1" x14ac:dyDescent="0.45">
      <c r="B40" s="59"/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2A8-1C4D-412C-B648-5DC81EF46E15}">
  <dimension ref="B1:Q54"/>
  <sheetViews>
    <sheetView showGridLines="0" zoomScale="98" zoomScaleNormal="98" workbookViewId="0">
      <pane xSplit="3" ySplit="3" topLeftCell="D82" activePane="bottomRight" state="frozen"/>
      <selection pane="topRight" activeCell="D1" sqref="D1"/>
      <selection pane="bottomLeft" activeCell="A4" sqref="A4"/>
      <selection pane="bottomRight" activeCell="G20" sqref="G20"/>
    </sheetView>
  </sheetViews>
  <sheetFormatPr defaultRowHeight="16" x14ac:dyDescent="0.45"/>
  <cols>
    <col min="1" max="1" width="1.90625" customWidth="1"/>
    <col min="2" max="2" width="4.08984375" customWidth="1"/>
    <col min="3" max="3" width="28.6328125" customWidth="1"/>
    <col min="4" max="4" width="9.453125" bestFit="1" customWidth="1"/>
    <col min="5" max="5" width="9.36328125" bestFit="1" customWidth="1"/>
    <col min="6" max="13" width="9.54296875" bestFit="1" customWidth="1"/>
    <col min="14" max="15" width="10.6328125" customWidth="1"/>
    <col min="16" max="16" width="12.36328125" customWidth="1"/>
    <col min="17" max="17" width="9.54296875" bestFit="1" customWidth="1"/>
  </cols>
  <sheetData>
    <row r="1" spans="2:17" ht="12.75" customHeight="1" x14ac:dyDescent="0.45">
      <c r="B1" t="str">
        <f>Daily!B1</f>
        <v>VN</v>
      </c>
    </row>
    <row r="2" spans="2:17" ht="16.5" x14ac:dyDescent="0.45">
      <c r="B2" s="10" t="str">
        <f>IF(B1="EN","MONTHLY NET SALES ","DOANH THU HÀNG THÁNG")</f>
        <v>DOANH THU HÀNG THÁNG</v>
      </c>
    </row>
    <row r="3" spans="2:17" x14ac:dyDescent="0.45">
      <c r="B3" s="9"/>
      <c r="C3" s="101" t="str">
        <f>IF(B1="EN","Net sales plan","Doanh thu kế hoạch")</f>
        <v>Doanh thu kế hoạch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</v>
      </c>
    </row>
    <row r="4" spans="2:17" x14ac:dyDescent="0.45">
      <c r="B4" s="4">
        <v>1</v>
      </c>
      <c r="C4" s="5" t="str">
        <f>IF(B1="EN","Net sales plan [mVND]","Doanh thu kế hoạch [Triệu đồng]")</f>
        <v>Doanh thu kế hoạch [Triệu đồng]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7" x14ac:dyDescent="0.45">
      <c r="B5" s="2"/>
      <c r="C5" s="3" t="s">
        <v>0</v>
      </c>
      <c r="D5" s="8">
        <v>60334.1510259477</v>
      </c>
      <c r="E5" s="8">
        <v>56141.485066957677</v>
      </c>
      <c r="F5" s="8">
        <v>58341.325716918152</v>
      </c>
      <c r="G5" s="8">
        <v>60976.270207692702</v>
      </c>
      <c r="H5" s="8">
        <v>61450.220073827979</v>
      </c>
      <c r="I5" s="8">
        <v>58485.82380833455</v>
      </c>
      <c r="J5" s="8">
        <v>60517.02532250544</v>
      </c>
      <c r="K5" s="8">
        <v>63707.46345269007</v>
      </c>
      <c r="L5" s="8">
        <v>55412.785476828023</v>
      </c>
      <c r="M5" s="8">
        <v>59295.163177709081</v>
      </c>
      <c r="N5" s="8">
        <v>60495.433973372383</v>
      </c>
      <c r="O5" s="8">
        <v>61935.851580716881</v>
      </c>
      <c r="P5" s="8">
        <f t="shared" ref="P5:P7" si="0">SUM(D5:O5)</f>
        <v>717092.99888350058</v>
      </c>
    </row>
    <row r="6" spans="2:17" x14ac:dyDescent="0.45">
      <c r="B6" s="2"/>
      <c r="C6" s="3" t="s">
        <v>4</v>
      </c>
      <c r="D6" s="8">
        <v>70989.019090909074</v>
      </c>
      <c r="E6" s="8">
        <v>73574.995090909084</v>
      </c>
      <c r="F6" s="8">
        <v>85075.995090909084</v>
      </c>
      <c r="G6" s="8">
        <v>72567.041090909101</v>
      </c>
      <c r="H6" s="8">
        <v>80640.425090909092</v>
      </c>
      <c r="I6" s="8">
        <v>84694.024090909094</v>
      </c>
      <c r="J6" s="8">
        <v>81755.188545454541</v>
      </c>
      <c r="K6" s="8">
        <v>74361.264545454542</v>
      </c>
      <c r="L6" s="8">
        <v>89651.870545454542</v>
      </c>
      <c r="M6" s="8">
        <v>75481.68454545454</v>
      </c>
      <c r="N6" s="8">
        <v>82304.374545454542</v>
      </c>
      <c r="O6" s="8">
        <v>82308.031545454549</v>
      </c>
      <c r="P6" s="8">
        <f t="shared" si="0"/>
        <v>953403.91381818184</v>
      </c>
    </row>
    <row r="7" spans="2:17" x14ac:dyDescent="0.45">
      <c r="B7" s="29"/>
      <c r="C7" s="30" t="s">
        <v>5</v>
      </c>
      <c r="D7" s="31">
        <v>335.22500000000002</v>
      </c>
      <c r="E7" s="31">
        <v>335.22500000000002</v>
      </c>
      <c r="F7" s="31">
        <v>335.22500000000002</v>
      </c>
      <c r="G7" s="31">
        <v>335.22500000000002</v>
      </c>
      <c r="H7" s="31">
        <v>335.22500000000002</v>
      </c>
      <c r="I7" s="31">
        <v>335.22500000000002</v>
      </c>
      <c r="J7" s="31">
        <v>335.22500000000002</v>
      </c>
      <c r="K7" s="31">
        <v>335.22500000000002</v>
      </c>
      <c r="L7" s="31">
        <v>335.22500000000002</v>
      </c>
      <c r="M7" s="31">
        <v>335.22500000000002</v>
      </c>
      <c r="N7" s="31">
        <v>335.22500000000002</v>
      </c>
      <c r="O7" s="31">
        <v>335.22500000000002</v>
      </c>
      <c r="P7" s="8">
        <f t="shared" si="0"/>
        <v>4022.6999999999994</v>
      </c>
      <c r="Q7" s="79"/>
    </row>
    <row r="8" spans="2:17" ht="16.5" thickBot="1" x14ac:dyDescent="0.5">
      <c r="B8" s="70"/>
      <c r="C8" s="71" t="str">
        <f>IF(B1="EN","Total: ","Tổng cộng:")</f>
        <v>Tổng cộng:</v>
      </c>
      <c r="D8" s="72">
        <f t="shared" ref="D8:P8" si="1">SUM(D5:D7)</f>
        <v>131658.39511685679</v>
      </c>
      <c r="E8" s="72">
        <f t="shared" si="1"/>
        <v>130051.70515786676</v>
      </c>
      <c r="F8" s="72">
        <f t="shared" si="1"/>
        <v>143752.54580782723</v>
      </c>
      <c r="G8" s="72">
        <f t="shared" si="1"/>
        <v>133878.5362986018</v>
      </c>
      <c r="H8" s="72">
        <f t="shared" si="1"/>
        <v>142425.87016473708</v>
      </c>
      <c r="I8" s="72">
        <f t="shared" si="1"/>
        <v>143515.07289924365</v>
      </c>
      <c r="J8" s="72">
        <f t="shared" si="1"/>
        <v>142607.43886795998</v>
      </c>
      <c r="K8" s="72">
        <f t="shared" si="1"/>
        <v>138403.95299814461</v>
      </c>
      <c r="L8" s="72">
        <f t="shared" si="1"/>
        <v>145399.88102228256</v>
      </c>
      <c r="M8" s="72">
        <f t="shared" si="1"/>
        <v>135112.07272316361</v>
      </c>
      <c r="N8" s="72">
        <f t="shared" si="1"/>
        <v>143135.03351882694</v>
      </c>
      <c r="O8" s="72">
        <f t="shared" si="1"/>
        <v>144579.10812617143</v>
      </c>
      <c r="P8" s="72">
        <f t="shared" si="1"/>
        <v>1674519.6127016824</v>
      </c>
      <c r="Q8" s="79"/>
    </row>
    <row r="9" spans="2:17" s="23" customFormat="1" ht="16.5" thickTop="1" x14ac:dyDescent="0.45">
      <c r="C9" s="68" t="s">
        <v>6</v>
      </c>
      <c r="D9" s="69">
        <f>D8</f>
        <v>131658.39511685679</v>
      </c>
      <c r="E9" s="69">
        <f>D9+E8</f>
        <v>261710.10027472355</v>
      </c>
      <c r="F9" s="69">
        <f t="shared" ref="F9:M9" si="2">E9+F8</f>
        <v>405462.64608255075</v>
      </c>
      <c r="G9" s="69">
        <f t="shared" si="2"/>
        <v>539341.18238115252</v>
      </c>
      <c r="H9" s="69">
        <f t="shared" si="2"/>
        <v>681767.05254588963</v>
      </c>
      <c r="I9" s="69">
        <f t="shared" si="2"/>
        <v>825282.12544513331</v>
      </c>
      <c r="J9" s="69">
        <f t="shared" si="2"/>
        <v>967889.56431309332</v>
      </c>
      <c r="K9" s="69">
        <f t="shared" si="2"/>
        <v>1106293.517311238</v>
      </c>
      <c r="L9" s="69">
        <f t="shared" si="2"/>
        <v>1251693.3983335206</v>
      </c>
      <c r="M9" s="69">
        <f t="shared" si="2"/>
        <v>1386805.4710566842</v>
      </c>
      <c r="N9" s="69">
        <f t="shared" ref="N9" si="3">M9+N8</f>
        <v>1529940.504575511</v>
      </c>
      <c r="O9" s="69">
        <f t="shared" ref="O9" si="4">N9+O8</f>
        <v>1674519.6127016824</v>
      </c>
      <c r="P9" s="69"/>
    </row>
    <row r="10" spans="2:17" x14ac:dyDescent="0.45">
      <c r="B10" s="9"/>
      <c r="C10" s="101"/>
      <c r="D10" s="1" t="str">
        <f t="shared" ref="D10:O10" si="5">D3</f>
        <v>T01</v>
      </c>
      <c r="E10" s="1" t="str">
        <f t="shared" si="5"/>
        <v>T02</v>
      </c>
      <c r="F10" s="1" t="str">
        <f t="shared" si="5"/>
        <v>T03</v>
      </c>
      <c r="G10" s="1" t="str">
        <f t="shared" si="5"/>
        <v>T04</v>
      </c>
      <c r="H10" s="1" t="str">
        <f t="shared" si="5"/>
        <v>T05</v>
      </c>
      <c r="I10" s="1" t="str">
        <f t="shared" si="5"/>
        <v>T06</v>
      </c>
      <c r="J10" s="1" t="str">
        <f t="shared" si="5"/>
        <v>T07</v>
      </c>
      <c r="K10" s="1" t="str">
        <f t="shared" si="5"/>
        <v>T08</v>
      </c>
      <c r="L10" s="1" t="str">
        <f t="shared" si="5"/>
        <v>T09</v>
      </c>
      <c r="M10" s="1" t="str">
        <f t="shared" si="5"/>
        <v>T10</v>
      </c>
      <c r="N10" s="1" t="str">
        <f t="shared" si="5"/>
        <v>T11</v>
      </c>
      <c r="O10" s="1" t="str">
        <f t="shared" si="5"/>
        <v>T12</v>
      </c>
      <c r="P10" s="1" t="s">
        <v>3</v>
      </c>
    </row>
    <row r="11" spans="2:17" x14ac:dyDescent="0.45">
      <c r="B11" s="4">
        <v>2</v>
      </c>
      <c r="C11" s="5" t="str">
        <f>IF(B1="EN","Sales Volume plan [Ton]","Sản lượng bán kế hoạch[Tấn]")</f>
        <v>Sản lượng bán kế hoạch[Tấn]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7" x14ac:dyDescent="0.45">
      <c r="B12" s="2"/>
      <c r="C12" s="3" t="s">
        <v>0</v>
      </c>
      <c r="D12" s="8">
        <v>2004.2229326761383</v>
      </c>
      <c r="E12" s="8">
        <v>1856.3145678240328</v>
      </c>
      <c r="F12" s="8">
        <v>1946.5574034757406</v>
      </c>
      <c r="G12" s="8">
        <v>2014.231518676721</v>
      </c>
      <c r="H12" s="8">
        <v>2046.4364391825352</v>
      </c>
      <c r="I12" s="8">
        <v>1935.952182227594</v>
      </c>
      <c r="J12" s="8">
        <v>2021.5225169732685</v>
      </c>
      <c r="K12" s="8">
        <v>2108.8494989087399</v>
      </c>
      <c r="L12" s="8">
        <v>1863.623101888885</v>
      </c>
      <c r="M12" s="8">
        <v>1968.6262974285746</v>
      </c>
      <c r="N12" s="8">
        <v>2029.2431243544627</v>
      </c>
      <c r="O12" s="8">
        <v>2066.5204185700309</v>
      </c>
      <c r="P12" s="8">
        <f t="shared" ref="P12:P14" si="6">SUM(D12:O12)</f>
        <v>23862.100002186726</v>
      </c>
    </row>
    <row r="13" spans="2:17" x14ac:dyDescent="0.45">
      <c r="B13" s="2"/>
      <c r="C13" s="3" t="s">
        <v>4</v>
      </c>
      <c r="D13" s="8">
        <v>2303</v>
      </c>
      <c r="E13" s="8">
        <v>2386</v>
      </c>
      <c r="F13" s="8">
        <v>2721</v>
      </c>
      <c r="G13" s="8">
        <v>2369</v>
      </c>
      <c r="H13" s="8">
        <v>2606</v>
      </c>
      <c r="I13" s="8">
        <v>2745</v>
      </c>
      <c r="J13" s="8">
        <v>2656.9</v>
      </c>
      <c r="K13" s="8">
        <v>2443</v>
      </c>
      <c r="L13" s="8">
        <v>2900</v>
      </c>
      <c r="M13" s="8">
        <v>2489</v>
      </c>
      <c r="N13" s="8">
        <v>2680</v>
      </c>
      <c r="O13" s="8">
        <v>2707</v>
      </c>
      <c r="P13" s="8">
        <f t="shared" si="6"/>
        <v>31005.9</v>
      </c>
    </row>
    <row r="14" spans="2:17" x14ac:dyDescent="0.45">
      <c r="B14" s="2"/>
      <c r="C14" s="3" t="s">
        <v>5</v>
      </c>
      <c r="D14" s="31">
        <v>11</v>
      </c>
      <c r="E14" s="31">
        <v>11</v>
      </c>
      <c r="F14" s="31">
        <v>11</v>
      </c>
      <c r="G14" s="31">
        <v>11</v>
      </c>
      <c r="H14" s="31">
        <v>11</v>
      </c>
      <c r="I14" s="31">
        <v>11</v>
      </c>
      <c r="J14" s="31">
        <v>11</v>
      </c>
      <c r="K14" s="31">
        <v>11</v>
      </c>
      <c r="L14" s="31">
        <v>11</v>
      </c>
      <c r="M14" s="31">
        <v>11</v>
      </c>
      <c r="N14" s="31">
        <v>11</v>
      </c>
      <c r="O14" s="31">
        <v>11</v>
      </c>
      <c r="P14" s="8">
        <f t="shared" si="6"/>
        <v>132</v>
      </c>
    </row>
    <row r="15" spans="2:17" ht="16.5" thickBot="1" x14ac:dyDescent="0.5">
      <c r="B15" s="70"/>
      <c r="C15" s="71" t="str">
        <f>IF(B1="EN","Total: ","Tổng cộng:")</f>
        <v>Tổng cộng:</v>
      </c>
      <c r="D15" s="72">
        <f t="shared" ref="D15:P15" si="7">SUM(D12:D14)</f>
        <v>4318.222932676138</v>
      </c>
      <c r="E15" s="72">
        <f t="shared" si="7"/>
        <v>4253.3145678240326</v>
      </c>
      <c r="F15" s="72">
        <f t="shared" si="7"/>
        <v>4678.557403475741</v>
      </c>
      <c r="G15" s="72">
        <f t="shared" si="7"/>
        <v>4394.231518676721</v>
      </c>
      <c r="H15" s="72">
        <f t="shared" si="7"/>
        <v>4663.4364391825347</v>
      </c>
      <c r="I15" s="72">
        <f t="shared" si="7"/>
        <v>4691.9521822275938</v>
      </c>
      <c r="J15" s="72">
        <f t="shared" si="7"/>
        <v>4689.422516973269</v>
      </c>
      <c r="K15" s="72">
        <f t="shared" si="7"/>
        <v>4562.8494989087394</v>
      </c>
      <c r="L15" s="72">
        <f t="shared" si="7"/>
        <v>4774.6231018888848</v>
      </c>
      <c r="M15" s="72">
        <f t="shared" si="7"/>
        <v>4468.6262974285746</v>
      </c>
      <c r="N15" s="72">
        <f t="shared" si="7"/>
        <v>4720.2431243544625</v>
      </c>
      <c r="O15" s="72">
        <f t="shared" si="7"/>
        <v>4784.5204185700313</v>
      </c>
      <c r="P15" s="72">
        <f t="shared" si="7"/>
        <v>55000.000002186731</v>
      </c>
    </row>
    <row r="16" spans="2:17" ht="16.5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2:17" x14ac:dyDescent="0.45">
      <c r="B17" s="9"/>
      <c r="C17" s="101" t="str">
        <f>IF(B1="EN","Net sales","Doanh thu thực tế ")</f>
        <v xml:space="preserve">Doanh thu thực tế </v>
      </c>
      <c r="D17" s="136" t="s">
        <v>28</v>
      </c>
      <c r="E17" s="1" t="s">
        <v>29</v>
      </c>
      <c r="F17" s="1" t="s">
        <v>30</v>
      </c>
      <c r="G17" s="1" t="s">
        <v>31</v>
      </c>
      <c r="H17" s="1" t="s">
        <v>32</v>
      </c>
      <c r="I17" s="1" t="s">
        <v>33</v>
      </c>
      <c r="J17" s="1" t="s">
        <v>34</v>
      </c>
      <c r="K17" s="1" t="s">
        <v>35</v>
      </c>
      <c r="L17" s="1" t="s">
        <v>36</v>
      </c>
      <c r="M17" s="1" t="s">
        <v>37</v>
      </c>
      <c r="N17" s="1" t="s">
        <v>38</v>
      </c>
      <c r="O17" s="1" t="s">
        <v>39</v>
      </c>
      <c r="P17" s="1" t="str">
        <f>P3</f>
        <v>TOTAL</v>
      </c>
    </row>
    <row r="18" spans="2:17" x14ac:dyDescent="0.45">
      <c r="B18" s="6">
        <v>3</v>
      </c>
      <c r="C18" s="63" t="str">
        <f>IF(B1="EN","Net sales Estimate [mVND]","Doanh thu thực tế [Triệu đồng]")</f>
        <v>Doanh thu thực tế [Triệu đồng]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7" x14ac:dyDescent="0.45">
      <c r="B19" s="2"/>
      <c r="C19" s="3" t="s">
        <v>0</v>
      </c>
      <c r="D19" s="8">
        <f>Daily!AI6</f>
        <v>38113.06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>
        <f t="shared" ref="P19:P20" si="8">SUM(D19:O19)</f>
        <v>38113.06</v>
      </c>
    </row>
    <row r="20" spans="2:17" x14ac:dyDescent="0.45">
      <c r="B20" s="2"/>
      <c r="C20" s="3" t="s">
        <v>4</v>
      </c>
      <c r="D20" s="8">
        <f>Daily!AI7</f>
        <v>53472.090000000011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>
        <f t="shared" si="8"/>
        <v>53472.090000000011</v>
      </c>
    </row>
    <row r="21" spans="2:17" x14ac:dyDescent="0.45">
      <c r="B21" s="29"/>
      <c r="C21" s="30" t="s">
        <v>5</v>
      </c>
      <c r="D21" s="8">
        <f>Daily!AI8</f>
        <v>14744.419999999998</v>
      </c>
      <c r="E21" s="8"/>
      <c r="F21" s="8"/>
      <c r="G21" s="31"/>
      <c r="H21" s="8"/>
      <c r="I21" s="31"/>
      <c r="J21" s="31"/>
      <c r="K21" s="31"/>
      <c r="L21" s="8"/>
      <c r="M21" s="8"/>
      <c r="N21" s="8"/>
      <c r="O21" s="8"/>
      <c r="P21" s="31">
        <f>SUM(D21:O21)</f>
        <v>14744.419999999998</v>
      </c>
      <c r="Q21" s="79"/>
    </row>
    <row r="22" spans="2:17" ht="16.5" thickBot="1" x14ac:dyDescent="0.5">
      <c r="B22" s="73"/>
      <c r="C22" s="74" t="str">
        <f>IF(B1="EN","Total: ","Tổng cộng:")</f>
        <v>Tổng cộng:</v>
      </c>
      <c r="D22" s="75">
        <f t="shared" ref="D22:P22" si="9">SUM(D19:D21)</f>
        <v>106329.57</v>
      </c>
      <c r="E22" s="75">
        <f t="shared" si="9"/>
        <v>0</v>
      </c>
      <c r="F22" s="75">
        <f t="shared" si="9"/>
        <v>0</v>
      </c>
      <c r="G22" s="75">
        <f t="shared" si="9"/>
        <v>0</v>
      </c>
      <c r="H22" s="75">
        <f t="shared" si="9"/>
        <v>0</v>
      </c>
      <c r="I22" s="75">
        <f t="shared" si="9"/>
        <v>0</v>
      </c>
      <c r="J22" s="75">
        <f t="shared" si="9"/>
        <v>0</v>
      </c>
      <c r="K22" s="75">
        <f t="shared" si="9"/>
        <v>0</v>
      </c>
      <c r="L22" s="75">
        <f t="shared" si="9"/>
        <v>0</v>
      </c>
      <c r="M22" s="75">
        <f t="shared" si="9"/>
        <v>0</v>
      </c>
      <c r="N22" s="75">
        <f t="shared" si="9"/>
        <v>0</v>
      </c>
      <c r="O22" s="75">
        <f t="shared" si="9"/>
        <v>0</v>
      </c>
      <c r="P22" s="76">
        <f t="shared" si="9"/>
        <v>106329.57</v>
      </c>
    </row>
    <row r="23" spans="2:17" ht="16.5" thickTop="1" x14ac:dyDescent="0.45">
      <c r="B23" s="33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7" x14ac:dyDescent="0.45">
      <c r="B24" s="9"/>
      <c r="C24" s="9"/>
      <c r="D24" s="136" t="str">
        <f t="shared" ref="D24:O24" si="10">D17</f>
        <v>T01</v>
      </c>
      <c r="E24" s="1" t="str">
        <f>E17</f>
        <v>T02</v>
      </c>
      <c r="F24" s="1" t="str">
        <f t="shared" si="10"/>
        <v>T03</v>
      </c>
      <c r="G24" s="1" t="str">
        <f t="shared" si="10"/>
        <v>T04</v>
      </c>
      <c r="H24" s="1" t="str">
        <f t="shared" si="10"/>
        <v>T05</v>
      </c>
      <c r="I24" s="1" t="str">
        <f>I17</f>
        <v>T06</v>
      </c>
      <c r="J24" s="1" t="str">
        <f t="shared" si="10"/>
        <v>T07</v>
      </c>
      <c r="K24" s="1" t="str">
        <f>K17</f>
        <v>T08</v>
      </c>
      <c r="L24" s="1" t="str">
        <f t="shared" si="10"/>
        <v>T09</v>
      </c>
      <c r="M24" s="1" t="str">
        <f t="shared" si="10"/>
        <v>T10</v>
      </c>
      <c r="N24" s="1" t="str">
        <f t="shared" si="10"/>
        <v>T11</v>
      </c>
      <c r="O24" s="1" t="str">
        <f t="shared" si="10"/>
        <v>T12</v>
      </c>
      <c r="P24" s="1" t="s">
        <v>3</v>
      </c>
    </row>
    <row r="25" spans="2:17" x14ac:dyDescent="0.45">
      <c r="B25" s="4">
        <v>4</v>
      </c>
      <c r="C25" s="62" t="str">
        <f>IF(B1="EN","Sales Volume Estimate [Ton]","Sản lượng bán thực tế [Tấn]")</f>
        <v>Sản lượng bán thực tế [Tấn]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7" x14ac:dyDescent="0.45">
      <c r="B26" s="2"/>
      <c r="C26" s="3" t="s">
        <v>0</v>
      </c>
      <c r="D26" s="8">
        <f>Daily!AI21</f>
        <v>1166.6699999999998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f>SUM(D26:O26)</f>
        <v>1166.6699999999998</v>
      </c>
    </row>
    <row r="27" spans="2:17" x14ac:dyDescent="0.45">
      <c r="B27" s="2"/>
      <c r="C27" s="3" t="s">
        <v>4</v>
      </c>
      <c r="D27" s="8">
        <f>Daily!AI22</f>
        <v>1893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f t="shared" ref="P27:P28" si="11">SUM(D27:O27)</f>
        <v>1893</v>
      </c>
    </row>
    <row r="28" spans="2:17" x14ac:dyDescent="0.45">
      <c r="B28" s="29"/>
      <c r="C28" s="30" t="s">
        <v>5</v>
      </c>
      <c r="D28" s="8">
        <f>Daily!AI23</f>
        <v>453.31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>
        <f t="shared" si="11"/>
        <v>453.31</v>
      </c>
    </row>
    <row r="29" spans="2:17" ht="16.5" thickBot="1" x14ac:dyDescent="0.5">
      <c r="B29" s="70"/>
      <c r="C29" s="71" t="str">
        <f>IF(B1="EN","Total: ","Tổng cộng:")</f>
        <v>Tổng cộng:</v>
      </c>
      <c r="D29" s="75">
        <f t="shared" ref="D29:P29" si="12">SUM(D26:D28)</f>
        <v>3512.98</v>
      </c>
      <c r="E29" s="75">
        <f t="shared" si="12"/>
        <v>0</v>
      </c>
      <c r="F29" s="75">
        <f t="shared" si="12"/>
        <v>0</v>
      </c>
      <c r="G29" s="75">
        <f t="shared" si="12"/>
        <v>0</v>
      </c>
      <c r="H29" s="75">
        <f t="shared" si="12"/>
        <v>0</v>
      </c>
      <c r="I29" s="75">
        <f t="shared" si="12"/>
        <v>0</v>
      </c>
      <c r="J29" s="75">
        <f t="shared" si="12"/>
        <v>0</v>
      </c>
      <c r="K29" s="75">
        <f t="shared" si="12"/>
        <v>0</v>
      </c>
      <c r="L29" s="75">
        <f t="shared" si="12"/>
        <v>0</v>
      </c>
      <c r="M29" s="75">
        <f t="shared" si="12"/>
        <v>0</v>
      </c>
      <c r="N29" s="75">
        <f t="shared" si="12"/>
        <v>0</v>
      </c>
      <c r="O29" s="75">
        <f t="shared" si="12"/>
        <v>0</v>
      </c>
      <c r="P29" s="76">
        <f t="shared" si="12"/>
        <v>3512.98</v>
      </c>
    </row>
    <row r="30" spans="2:17" ht="16.5" thickTop="1" x14ac:dyDescent="0.45">
      <c r="B30" s="33"/>
      <c r="C30" s="37"/>
      <c r="D30" s="193"/>
      <c r="E30" s="193"/>
      <c r="F30" s="193"/>
      <c r="G30" s="193"/>
      <c r="H30" s="193"/>
      <c r="I30" s="193"/>
      <c r="J30" s="193"/>
      <c r="K30" s="192"/>
      <c r="L30" s="34"/>
      <c r="M30" s="34"/>
      <c r="N30" s="34"/>
      <c r="O30" s="34"/>
      <c r="P30" s="34"/>
    </row>
    <row r="31" spans="2:17" x14ac:dyDescent="0.45">
      <c r="B31" s="9"/>
      <c r="C31" s="9"/>
      <c r="D31" s="136" t="str">
        <f t="shared" ref="D31:O31" si="13">D24</f>
        <v>T01</v>
      </c>
      <c r="E31" s="1" t="str">
        <f t="shared" si="13"/>
        <v>T02</v>
      </c>
      <c r="F31" s="1" t="str">
        <f t="shared" si="13"/>
        <v>T03</v>
      </c>
      <c r="G31" s="1" t="str">
        <f t="shared" si="13"/>
        <v>T04</v>
      </c>
      <c r="H31" s="1" t="str">
        <f t="shared" si="13"/>
        <v>T05</v>
      </c>
      <c r="I31" s="1" t="str">
        <f t="shared" si="13"/>
        <v>T06</v>
      </c>
      <c r="J31" s="1" t="str">
        <f t="shared" si="13"/>
        <v>T07</v>
      </c>
      <c r="K31" s="1" t="str">
        <f t="shared" si="13"/>
        <v>T08</v>
      </c>
      <c r="L31" s="1" t="str">
        <f t="shared" si="13"/>
        <v>T09</v>
      </c>
      <c r="M31" s="1" t="str">
        <f t="shared" si="13"/>
        <v>T10</v>
      </c>
      <c r="N31" s="1" t="str">
        <f>N24</f>
        <v>T11</v>
      </c>
      <c r="O31" s="1" t="str">
        <f t="shared" si="13"/>
        <v>T12</v>
      </c>
      <c r="P31" s="1" t="s">
        <v>3</v>
      </c>
    </row>
    <row r="32" spans="2:17" x14ac:dyDescent="0.45">
      <c r="B32" s="4">
        <v>5</v>
      </c>
      <c r="C32" s="62" t="str">
        <f>IF(B1="EN","Net sales / Ton Estimate [m VND / Ton]","Doanh thu thực tế/ Tấn [triệu đồng / tấn]")</f>
        <v>Doanh thu thực tế/ Tấn [triệu đồng / tấn]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2:16" x14ac:dyDescent="0.45">
      <c r="B33" s="2"/>
      <c r="C33" s="3" t="s">
        <v>0</v>
      </c>
      <c r="D33" s="58">
        <f t="shared" ref="D33:P35" si="14">IFERROR(D19/D26," ")</f>
        <v>32.668243805017703</v>
      </c>
      <c r="E33" s="58" t="str">
        <f t="shared" ref="E33:F33" si="15">IFERROR(E19/E26," ")</f>
        <v xml:space="preserve"> </v>
      </c>
      <c r="F33" s="58" t="str">
        <f t="shared" si="15"/>
        <v xml:space="preserve"> </v>
      </c>
      <c r="G33" s="58" t="str">
        <f t="shared" si="14"/>
        <v xml:space="preserve"> </v>
      </c>
      <c r="H33" s="58" t="str">
        <f t="shared" si="14"/>
        <v xml:space="preserve"> </v>
      </c>
      <c r="I33" s="58" t="str">
        <f t="shared" si="14"/>
        <v xml:space="preserve"> </v>
      </c>
      <c r="J33" s="58" t="str">
        <f t="shared" si="14"/>
        <v xml:space="preserve"> </v>
      </c>
      <c r="K33" s="58" t="str">
        <f t="shared" si="14"/>
        <v xml:space="preserve"> </v>
      </c>
      <c r="L33" s="58" t="str">
        <f t="shared" si="14"/>
        <v xml:space="preserve"> </v>
      </c>
      <c r="M33" s="58" t="str">
        <f t="shared" ref="M33" si="16">IFERROR(M19/M26," ")</f>
        <v xml:space="preserve"> </v>
      </c>
      <c r="N33" s="58" t="str">
        <f t="shared" si="14"/>
        <v xml:space="preserve"> </v>
      </c>
      <c r="O33" s="58" t="str">
        <f t="shared" si="14"/>
        <v xml:space="preserve"> </v>
      </c>
      <c r="P33" s="58">
        <f t="shared" si="14"/>
        <v>32.668243805017703</v>
      </c>
    </row>
    <row r="34" spans="2:16" x14ac:dyDescent="0.45">
      <c r="B34" s="2"/>
      <c r="C34" s="3" t="s">
        <v>4</v>
      </c>
      <c r="D34" s="58">
        <f t="shared" si="14"/>
        <v>28.247274167987328</v>
      </c>
      <c r="E34" s="58" t="str">
        <f t="shared" ref="E34:F34" si="17">IFERROR(E20/E27," ")</f>
        <v xml:space="preserve"> </v>
      </c>
      <c r="F34" s="58" t="str">
        <f t="shared" si="17"/>
        <v xml:space="preserve"> </v>
      </c>
      <c r="G34" s="58" t="str">
        <f t="shared" si="14"/>
        <v xml:space="preserve"> </v>
      </c>
      <c r="H34" s="58" t="str">
        <f t="shared" si="14"/>
        <v xml:space="preserve"> </v>
      </c>
      <c r="I34" s="58" t="str">
        <f t="shared" si="14"/>
        <v xml:space="preserve"> </v>
      </c>
      <c r="J34" s="58" t="str">
        <f t="shared" si="14"/>
        <v xml:space="preserve"> </v>
      </c>
      <c r="K34" s="58" t="str">
        <f t="shared" si="14"/>
        <v xml:space="preserve"> </v>
      </c>
      <c r="L34" s="58" t="str">
        <f t="shared" si="14"/>
        <v xml:space="preserve"> </v>
      </c>
      <c r="M34" s="58" t="str">
        <f t="shared" ref="M34" si="18">IFERROR(M20/M27," ")</f>
        <v xml:space="preserve"> </v>
      </c>
      <c r="N34" s="58" t="str">
        <f t="shared" si="14"/>
        <v xml:space="preserve"> </v>
      </c>
      <c r="O34" s="58" t="str">
        <f t="shared" si="14"/>
        <v xml:space="preserve"> </v>
      </c>
      <c r="P34" s="58">
        <f t="shared" si="14"/>
        <v>28.247274167987328</v>
      </c>
    </row>
    <row r="35" spans="2:16" x14ac:dyDescent="0.45">
      <c r="B35" s="29"/>
      <c r="C35" s="30" t="s">
        <v>5</v>
      </c>
      <c r="D35" s="58">
        <f t="shared" si="14"/>
        <v>32.526130021398153</v>
      </c>
      <c r="E35" s="58" t="str">
        <f t="shared" ref="E35:F35" si="19">IFERROR(E21/E28," ")</f>
        <v xml:space="preserve"> </v>
      </c>
      <c r="F35" s="58" t="str">
        <f t="shared" si="19"/>
        <v xml:space="preserve"> </v>
      </c>
      <c r="G35" s="58" t="str">
        <f t="shared" si="14"/>
        <v xml:space="preserve"> </v>
      </c>
      <c r="H35" s="58" t="str">
        <f t="shared" si="14"/>
        <v xml:space="preserve"> </v>
      </c>
      <c r="I35" s="58" t="str">
        <f t="shared" si="14"/>
        <v xml:space="preserve"> </v>
      </c>
      <c r="J35" s="58" t="str">
        <f t="shared" si="14"/>
        <v xml:space="preserve"> </v>
      </c>
      <c r="K35" s="58" t="str">
        <f t="shared" si="14"/>
        <v xml:space="preserve"> </v>
      </c>
      <c r="L35" s="58" t="str">
        <f t="shared" si="14"/>
        <v xml:space="preserve"> </v>
      </c>
      <c r="M35" s="58" t="str">
        <f t="shared" ref="M35" si="20">IFERROR(M21/M28," ")</f>
        <v xml:space="preserve"> </v>
      </c>
      <c r="N35" s="58" t="str">
        <f t="shared" si="14"/>
        <v xml:space="preserve"> </v>
      </c>
      <c r="O35" s="58" t="str">
        <f t="shared" si="14"/>
        <v xml:space="preserve"> </v>
      </c>
      <c r="P35" s="58">
        <f t="shared" si="14"/>
        <v>32.526130021398153</v>
      </c>
    </row>
    <row r="36" spans="2:16" ht="16.5" thickBot="1" x14ac:dyDescent="0.5">
      <c r="B36" s="70"/>
      <c r="C36" s="71" t="str">
        <f>IF(B1="EN","Total: ","Tổng cộng:")</f>
        <v>Tổng cộng:</v>
      </c>
      <c r="D36" s="77">
        <f>IFERROR(SUM(D19:D20)/SUM(D26:D27),"")</f>
        <v>29.933015652014763</v>
      </c>
      <c r="E36" s="77" t="str">
        <f>IFERROR(SUM(E19:E20)/SUM(E26:E27),"")</f>
        <v/>
      </c>
      <c r="F36" s="77" t="str">
        <f>IFERROR(SUM(F19:F20)/SUM(F26:F27),"")</f>
        <v/>
      </c>
      <c r="G36" s="77" t="str">
        <f>IFERROR(SUM(G19:G20)/SUM(G26:G27),"")</f>
        <v/>
      </c>
      <c r="H36" s="77" t="str">
        <f t="shared" ref="H36:O36" si="21">IFERROR(SUM(H19:H20)/SUM(H26:H27),"")</f>
        <v/>
      </c>
      <c r="I36" s="77" t="str">
        <f t="shared" si="21"/>
        <v/>
      </c>
      <c r="J36" s="77" t="str">
        <f t="shared" si="21"/>
        <v/>
      </c>
      <c r="K36" s="77" t="str">
        <f t="shared" si="21"/>
        <v/>
      </c>
      <c r="L36" s="77" t="str">
        <f t="shared" si="21"/>
        <v/>
      </c>
      <c r="M36" s="77" t="str">
        <f t="shared" si="21"/>
        <v/>
      </c>
      <c r="N36" s="77" t="str">
        <f t="shared" si="21"/>
        <v/>
      </c>
      <c r="O36" s="77" t="str">
        <f t="shared" si="21"/>
        <v/>
      </c>
      <c r="P36" s="78">
        <f>IFERROR(SUM(P19:P20)/SUM(P26:P27),"")</f>
        <v>29.933015652014763</v>
      </c>
    </row>
    <row r="37" spans="2:16" s="50" customFormat="1" ht="16.5" thickTop="1" x14ac:dyDescent="0.4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16" x14ac:dyDescent="0.45">
      <c r="B38" s="33"/>
      <c r="C38" s="35" t="str">
        <f>IF(B1="EN","YTD Net Sales - Estimate","Luỹ kế doanh thu thực tế")</f>
        <v>Luỹ kế doanh thu thực tế</v>
      </c>
      <c r="D38" s="36">
        <f>D22</f>
        <v>106329.57</v>
      </c>
      <c r="E38" s="36">
        <f t="shared" ref="E38:O38" si="22">D38+E22</f>
        <v>106329.57</v>
      </c>
      <c r="F38" s="36">
        <f t="shared" si="22"/>
        <v>106329.57</v>
      </c>
      <c r="G38" s="36">
        <f t="shared" si="22"/>
        <v>106329.57</v>
      </c>
      <c r="H38" s="36">
        <f t="shared" si="22"/>
        <v>106329.57</v>
      </c>
      <c r="I38" s="36">
        <f t="shared" si="22"/>
        <v>106329.57</v>
      </c>
      <c r="J38" s="36">
        <f t="shared" si="22"/>
        <v>106329.57</v>
      </c>
      <c r="K38" s="36">
        <f t="shared" si="22"/>
        <v>106329.57</v>
      </c>
      <c r="L38" s="36">
        <f t="shared" si="22"/>
        <v>106329.57</v>
      </c>
      <c r="M38" s="36">
        <f t="shared" si="22"/>
        <v>106329.57</v>
      </c>
      <c r="N38" s="36">
        <f t="shared" si="22"/>
        <v>106329.57</v>
      </c>
      <c r="O38" s="36">
        <f t="shared" si="22"/>
        <v>106329.57</v>
      </c>
      <c r="P38" s="34"/>
    </row>
    <row r="39" spans="2:16" s="50" customFormat="1" x14ac:dyDescent="0.45">
      <c r="C39" s="65" t="str">
        <f>IF(B1="EN","YTD Net Sales - Plan","Luỹ kế doanh thu kế hoạch")</f>
        <v>Luỹ kế doanh thu kế hoạch</v>
      </c>
      <c r="D39" s="66">
        <f>D8</f>
        <v>131658.39511685679</v>
      </c>
      <c r="E39" s="66">
        <f t="shared" ref="E39:O39" si="23">D39+E8</f>
        <v>261710.10027472355</v>
      </c>
      <c r="F39" s="66">
        <f t="shared" si="23"/>
        <v>405462.64608255075</v>
      </c>
      <c r="G39" s="66">
        <f t="shared" si="23"/>
        <v>539341.18238115252</v>
      </c>
      <c r="H39" s="66">
        <f t="shared" si="23"/>
        <v>681767.05254588963</v>
      </c>
      <c r="I39" s="66">
        <f t="shared" si="23"/>
        <v>825282.12544513331</v>
      </c>
      <c r="J39" s="66">
        <f t="shared" si="23"/>
        <v>967889.56431309332</v>
      </c>
      <c r="K39" s="66">
        <f t="shared" si="23"/>
        <v>1106293.517311238</v>
      </c>
      <c r="L39" s="66">
        <f t="shared" si="23"/>
        <v>1251693.3983335206</v>
      </c>
      <c r="M39" s="66">
        <f t="shared" si="23"/>
        <v>1386805.4710566842</v>
      </c>
      <c r="N39" s="66">
        <f t="shared" si="23"/>
        <v>1529940.504575511</v>
      </c>
      <c r="O39" s="66">
        <f t="shared" si="23"/>
        <v>1674519.6127016824</v>
      </c>
      <c r="P39" s="66"/>
    </row>
    <row r="40" spans="2:16" s="50" customFormat="1" x14ac:dyDescent="0.45">
      <c r="C40" s="120" t="str">
        <f>IF(B1="EN","Net sales (M VND)","Doanh thu thuần (Triệu đồng)")</f>
        <v>Doanh thu thuần (Triệu đồng)</v>
      </c>
      <c r="D40" s="136" t="str">
        <f t="shared" ref="D40:O40" si="24">D31</f>
        <v>T01</v>
      </c>
      <c r="E40" s="1" t="str">
        <f t="shared" si="24"/>
        <v>T02</v>
      </c>
      <c r="F40" s="1" t="str">
        <f t="shared" si="24"/>
        <v>T03</v>
      </c>
      <c r="G40" s="1" t="str">
        <f t="shared" si="24"/>
        <v>T04</v>
      </c>
      <c r="H40" s="1" t="str">
        <f t="shared" si="24"/>
        <v>T05</v>
      </c>
      <c r="I40" s="1" t="str">
        <f t="shared" si="24"/>
        <v>T06</v>
      </c>
      <c r="J40" s="1" t="str">
        <f t="shared" si="24"/>
        <v>T07</v>
      </c>
      <c r="K40" s="1" t="str">
        <f t="shared" si="24"/>
        <v>T08</v>
      </c>
      <c r="L40" s="1" t="str">
        <f t="shared" si="24"/>
        <v>T09</v>
      </c>
      <c r="M40" s="1" t="str">
        <f t="shared" si="24"/>
        <v>T10</v>
      </c>
      <c r="N40" s="1" t="str">
        <f t="shared" si="24"/>
        <v>T11</v>
      </c>
      <c r="O40" s="1" t="str">
        <f t="shared" si="24"/>
        <v>T12</v>
      </c>
      <c r="P40" s="66"/>
    </row>
    <row r="41" spans="2:16" s="94" customFormat="1" x14ac:dyDescent="0.45">
      <c r="C41" s="104" t="str">
        <f>IF(B1="EN","% Monthly performance","% Thực hiện hàng tháng")</f>
        <v>% Thực hiện hàng tháng</v>
      </c>
      <c r="D41" s="116">
        <f t="shared" ref="D41:O41" si="25">D22/D8</f>
        <v>0.807617090468287</v>
      </c>
      <c r="E41" s="116">
        <f t="shared" si="25"/>
        <v>0</v>
      </c>
      <c r="F41" s="116">
        <f t="shared" si="25"/>
        <v>0</v>
      </c>
      <c r="G41" s="116">
        <f t="shared" si="25"/>
        <v>0</v>
      </c>
      <c r="H41" s="116">
        <f t="shared" si="25"/>
        <v>0</v>
      </c>
      <c r="I41" s="116">
        <f t="shared" si="25"/>
        <v>0</v>
      </c>
      <c r="J41" s="116">
        <f t="shared" si="25"/>
        <v>0</v>
      </c>
      <c r="K41" s="116">
        <f t="shared" si="25"/>
        <v>0</v>
      </c>
      <c r="L41" s="116">
        <f t="shared" si="25"/>
        <v>0</v>
      </c>
      <c r="M41" s="116">
        <f t="shared" si="25"/>
        <v>0</v>
      </c>
      <c r="N41" s="116">
        <f t="shared" si="25"/>
        <v>0</v>
      </c>
      <c r="O41" s="116">
        <f t="shared" si="25"/>
        <v>0</v>
      </c>
    </row>
    <row r="42" spans="2:16" s="83" customFormat="1" x14ac:dyDescent="0.45">
      <c r="C42" s="102" t="s">
        <v>0</v>
      </c>
      <c r="D42" s="114">
        <f t="shared" ref="D42:O42" si="26">D19/D5</f>
        <v>0.63169961542359065</v>
      </c>
      <c r="E42" s="114">
        <f t="shared" si="26"/>
        <v>0</v>
      </c>
      <c r="F42" s="114">
        <f t="shared" si="26"/>
        <v>0</v>
      </c>
      <c r="G42" s="114">
        <f t="shared" si="26"/>
        <v>0</v>
      </c>
      <c r="H42" s="114">
        <f t="shared" si="26"/>
        <v>0</v>
      </c>
      <c r="I42" s="114">
        <f t="shared" si="26"/>
        <v>0</v>
      </c>
      <c r="J42" s="114">
        <f t="shared" si="26"/>
        <v>0</v>
      </c>
      <c r="K42" s="114">
        <f t="shared" si="26"/>
        <v>0</v>
      </c>
      <c r="L42" s="114">
        <f t="shared" si="26"/>
        <v>0</v>
      </c>
      <c r="M42" s="114">
        <f t="shared" si="26"/>
        <v>0</v>
      </c>
      <c r="N42" s="114">
        <f t="shared" si="26"/>
        <v>0</v>
      </c>
      <c r="O42" s="114">
        <f t="shared" si="26"/>
        <v>0</v>
      </c>
    </row>
    <row r="43" spans="2:16" s="83" customFormat="1" x14ac:dyDescent="0.45">
      <c r="C43" s="102" t="s">
        <v>4</v>
      </c>
      <c r="D43" s="114">
        <f t="shared" ref="D43:O43" si="27">D20/D6</f>
        <v>0.7532445254881357</v>
      </c>
      <c r="E43" s="114">
        <f t="shared" si="27"/>
        <v>0</v>
      </c>
      <c r="F43" s="114">
        <f t="shared" si="27"/>
        <v>0</v>
      </c>
      <c r="G43" s="114">
        <f t="shared" si="27"/>
        <v>0</v>
      </c>
      <c r="H43" s="114">
        <f t="shared" si="27"/>
        <v>0</v>
      </c>
      <c r="I43" s="114">
        <f t="shared" si="27"/>
        <v>0</v>
      </c>
      <c r="J43" s="114">
        <f t="shared" si="27"/>
        <v>0</v>
      </c>
      <c r="K43" s="114">
        <f t="shared" si="27"/>
        <v>0</v>
      </c>
      <c r="L43" s="114">
        <f t="shared" si="27"/>
        <v>0</v>
      </c>
      <c r="M43" s="114">
        <f t="shared" si="27"/>
        <v>0</v>
      </c>
      <c r="N43" s="114">
        <f t="shared" si="27"/>
        <v>0</v>
      </c>
      <c r="O43" s="114">
        <f t="shared" si="27"/>
        <v>0</v>
      </c>
    </row>
    <row r="44" spans="2:16" s="94" customFormat="1" x14ac:dyDescent="0.45">
      <c r="C44" s="104" t="str">
        <f>IF(B1="EN","% YTD perfomance","% Thực hiện luỹ kế")</f>
        <v>% Thực hiện luỹ kế</v>
      </c>
      <c r="D44" s="116">
        <f t="shared" ref="D44:O44" si="28">D38/D39</f>
        <v>0.807617090468287</v>
      </c>
      <c r="E44" s="116">
        <f t="shared" si="28"/>
        <v>0.40628760559253629</v>
      </c>
      <c r="F44" s="116">
        <f t="shared" si="28"/>
        <v>0.2622425790077631</v>
      </c>
      <c r="G44" s="116">
        <f t="shared" si="28"/>
        <v>0.19714713705073031</v>
      </c>
      <c r="H44" s="116">
        <f t="shared" si="28"/>
        <v>0.15596173150776158</v>
      </c>
      <c r="I44" s="116">
        <f t="shared" si="28"/>
        <v>0.12884026773589566</v>
      </c>
      <c r="J44" s="116">
        <f t="shared" si="28"/>
        <v>0.10985713031781844</v>
      </c>
      <c r="K44" s="116">
        <f t="shared" si="28"/>
        <v>9.6113344547499396E-2</v>
      </c>
      <c r="L44" s="116">
        <f t="shared" si="28"/>
        <v>8.4948574580296629E-2</v>
      </c>
      <c r="M44" s="116">
        <f t="shared" si="28"/>
        <v>7.6672303519960586E-2</v>
      </c>
      <c r="N44" s="116">
        <f t="shared" si="28"/>
        <v>6.9499153517411871E-2</v>
      </c>
      <c r="O44" s="116">
        <f t="shared" si="28"/>
        <v>6.3498551580681156E-2</v>
      </c>
    </row>
    <row r="45" spans="2:16" s="85" customFormat="1" x14ac:dyDescent="0.45">
      <c r="C45" s="102" t="str">
        <f>C33</f>
        <v>B2B</v>
      </c>
      <c r="D45" s="114">
        <f>D19/D5</f>
        <v>0.63169961542359065</v>
      </c>
      <c r="E45" s="114">
        <f>SUM($D$19:E19)/SUM($D$5:E5)</f>
        <v>0.32721916169317655</v>
      </c>
      <c r="F45" s="114">
        <f>SUM($D$19:F19)/SUM($D$5:F5)</f>
        <v>0.21801694529768623</v>
      </c>
      <c r="G45" s="114">
        <f>SUM($D$19:G19)/SUM($D$5:G5)</f>
        <v>0.16163763342099963</v>
      </c>
      <c r="H45" s="114">
        <f>SUM($D$19:H19)/SUM($D$5:H5)</f>
        <v>0.12822169750702428</v>
      </c>
      <c r="I45" s="114">
        <f>SUM($D$19:I19)/SUM($D$5:I5)</f>
        <v>0.10714063357199896</v>
      </c>
      <c r="J45" s="114">
        <f>SUM($D$19:J19)/SUM($D$5:J5)</f>
        <v>9.1563720537797627E-2</v>
      </c>
      <c r="K45" s="114">
        <f>SUM($D$19:K19)/SUM($D$5:K5)</f>
        <v>7.9409857376195797E-2</v>
      </c>
      <c r="L45" s="114">
        <f>SUM($D$19:L19)/SUM($D$5:L5)</f>
        <v>7.1190588932387028E-2</v>
      </c>
      <c r="M45" s="114">
        <f>SUM($D$19:M19)/SUM($D$5:M5)</f>
        <v>6.4092002470802031E-2</v>
      </c>
      <c r="N45" s="114">
        <f>SUM($D$19:N19)/SUM($D$5:N5)</f>
        <v>5.8173920801913935E-2</v>
      </c>
      <c r="O45" s="114">
        <f>SUM($D$19:O19)/SUM($D$5:O5)</f>
        <v>5.3149396325638747E-2</v>
      </c>
    </row>
    <row r="46" spans="2:16" s="85" customFormat="1" x14ac:dyDescent="0.45">
      <c r="C46" s="103" t="str">
        <f>C34</f>
        <v>Export</v>
      </c>
      <c r="D46" s="115">
        <f>D20/D6</f>
        <v>0.7532445254881357</v>
      </c>
      <c r="E46" s="115">
        <f>SUM($D$20:E20)/SUM($D$6:E6)</f>
        <v>0.36988520485290455</v>
      </c>
      <c r="F46" s="115">
        <f>SUM($D$20:F20)/SUM($D$6:F6)</f>
        <v>0.23285180212867429</v>
      </c>
      <c r="G46" s="115">
        <f>SUM($D$20:G20)/SUM($D$6:G6)</f>
        <v>0.17693859205355636</v>
      </c>
      <c r="H46" s="115">
        <f>SUM($D$20:H20)/SUM($D$6:H6)</f>
        <v>0.1396694334643683</v>
      </c>
      <c r="I46" s="115">
        <f>SUM($D$20:I20)/SUM($D$6:I6)</f>
        <v>0.1143686497390836</v>
      </c>
      <c r="J46" s="115">
        <f>SUM($D$20:J20)/SUM($D$6:J6)</f>
        <v>9.7346463503800204E-2</v>
      </c>
      <c r="K46" s="115">
        <f>SUM($D$20:K20)/SUM($D$6:K6)</f>
        <v>8.5739450245057622E-2</v>
      </c>
      <c r="L46" s="115">
        <f>SUM($D$20:L20)/SUM($D$6:L6)</f>
        <v>7.4963344485402247E-2</v>
      </c>
      <c r="M46" s="115">
        <f>SUM($D$20:M20)/SUM($D$6:M6)</f>
        <v>6.7789890580931753E-2</v>
      </c>
      <c r="N46" s="115">
        <f>SUM($D$20:N20)/SUM($D$6:N6)</f>
        <v>6.1384849920870919E-2</v>
      </c>
      <c r="O46" s="115">
        <f>SUM($D$20:O20)/SUM($D$6:O6)</f>
        <v>5.608545258205995E-2</v>
      </c>
    </row>
    <row r="47" spans="2:16" ht="6.75" customHeight="1" x14ac:dyDescent="0.45"/>
    <row r="48" spans="2:16" x14ac:dyDescent="0.45">
      <c r="C48" s="120" t="str">
        <f>IF(B1="EN","Sales Volume (Thousand Ton)","Sản lượng bán (nghìn tấn)")</f>
        <v>Sản lượng bán (nghìn tấn)</v>
      </c>
      <c r="D48" s="136" t="str">
        <f>D40</f>
        <v>T01</v>
      </c>
      <c r="E48" s="1" t="str">
        <f t="shared" ref="E48:O48" si="29">E40</f>
        <v>T02</v>
      </c>
      <c r="F48" s="1" t="str">
        <f t="shared" si="29"/>
        <v>T03</v>
      </c>
      <c r="G48" s="1" t="str">
        <f t="shared" si="29"/>
        <v>T04</v>
      </c>
      <c r="H48" s="1" t="str">
        <f t="shared" si="29"/>
        <v>T05</v>
      </c>
      <c r="I48" s="1" t="str">
        <f t="shared" si="29"/>
        <v>T06</v>
      </c>
      <c r="J48" s="1" t="str">
        <f t="shared" si="29"/>
        <v>T07</v>
      </c>
      <c r="K48" s="1" t="str">
        <f t="shared" si="29"/>
        <v>T08</v>
      </c>
      <c r="L48" s="1" t="str">
        <f t="shared" si="29"/>
        <v>T09</v>
      </c>
      <c r="M48" s="1" t="str">
        <f t="shared" si="29"/>
        <v>T10</v>
      </c>
      <c r="N48" s="1" t="str">
        <f t="shared" si="29"/>
        <v>T11</v>
      </c>
      <c r="O48" s="1" t="str">
        <f t="shared" si="29"/>
        <v>T12</v>
      </c>
      <c r="P48" s="88"/>
    </row>
    <row r="49" spans="3:17" x14ac:dyDescent="0.45">
      <c r="C49" s="104" t="str">
        <f>C41</f>
        <v>% Thực hiện hàng tháng</v>
      </c>
      <c r="D49" s="117">
        <f t="shared" ref="D49:O49" si="30">D29/D15</f>
        <v>0.81352446475543505</v>
      </c>
      <c r="E49" s="117">
        <f t="shared" si="30"/>
        <v>0</v>
      </c>
      <c r="F49" s="117">
        <f t="shared" si="30"/>
        <v>0</v>
      </c>
      <c r="G49" s="117">
        <f t="shared" si="30"/>
        <v>0</v>
      </c>
      <c r="H49" s="117">
        <f t="shared" si="30"/>
        <v>0</v>
      </c>
      <c r="I49" s="117">
        <f t="shared" si="30"/>
        <v>0</v>
      </c>
      <c r="J49" s="117">
        <f t="shared" si="30"/>
        <v>0</v>
      </c>
      <c r="K49" s="117">
        <f t="shared" si="30"/>
        <v>0</v>
      </c>
      <c r="L49" s="117">
        <f t="shared" si="30"/>
        <v>0</v>
      </c>
      <c r="M49" s="117">
        <f t="shared" si="30"/>
        <v>0</v>
      </c>
      <c r="N49" s="117">
        <f t="shared" si="30"/>
        <v>0</v>
      </c>
      <c r="O49" s="117">
        <f t="shared" si="30"/>
        <v>0</v>
      </c>
      <c r="P49" s="123"/>
    </row>
    <row r="50" spans="3:17" x14ac:dyDescent="0.45">
      <c r="C50" s="102" t="s">
        <v>0</v>
      </c>
      <c r="D50" s="121">
        <f t="shared" ref="D50:O50" si="31">D26/D12</f>
        <v>0.58210590298066489</v>
      </c>
      <c r="E50" s="121">
        <f t="shared" si="31"/>
        <v>0</v>
      </c>
      <c r="F50" s="121">
        <f t="shared" si="31"/>
        <v>0</v>
      </c>
      <c r="G50" s="121">
        <f t="shared" si="31"/>
        <v>0</v>
      </c>
      <c r="H50" s="121">
        <f t="shared" si="31"/>
        <v>0</v>
      </c>
      <c r="I50" s="121">
        <f t="shared" si="31"/>
        <v>0</v>
      </c>
      <c r="J50" s="121">
        <f t="shared" si="31"/>
        <v>0</v>
      </c>
      <c r="K50" s="121">
        <f t="shared" si="31"/>
        <v>0</v>
      </c>
      <c r="L50" s="121">
        <f t="shared" si="31"/>
        <v>0</v>
      </c>
      <c r="M50" s="121">
        <f t="shared" si="31"/>
        <v>0</v>
      </c>
      <c r="N50" s="121">
        <f t="shared" si="31"/>
        <v>0</v>
      </c>
      <c r="O50" s="121">
        <f t="shared" si="31"/>
        <v>0</v>
      </c>
      <c r="P50" s="124"/>
    </row>
    <row r="51" spans="3:17" x14ac:dyDescent="0.45">
      <c r="C51" s="102" t="s">
        <v>4</v>
      </c>
      <c r="D51" s="121">
        <f t="shared" ref="D51:O51" si="32">D27/D13</f>
        <v>0.82197134172818065</v>
      </c>
      <c r="E51" s="121">
        <f t="shared" si="32"/>
        <v>0</v>
      </c>
      <c r="F51" s="121">
        <f t="shared" si="32"/>
        <v>0</v>
      </c>
      <c r="G51" s="121">
        <f t="shared" si="32"/>
        <v>0</v>
      </c>
      <c r="H51" s="121">
        <f t="shared" si="32"/>
        <v>0</v>
      </c>
      <c r="I51" s="121">
        <f t="shared" si="32"/>
        <v>0</v>
      </c>
      <c r="J51" s="121">
        <f t="shared" si="32"/>
        <v>0</v>
      </c>
      <c r="K51" s="121">
        <f t="shared" si="32"/>
        <v>0</v>
      </c>
      <c r="L51" s="121">
        <f t="shared" si="32"/>
        <v>0</v>
      </c>
      <c r="M51" s="121">
        <f t="shared" si="32"/>
        <v>0</v>
      </c>
      <c r="N51" s="121">
        <f t="shared" si="32"/>
        <v>0</v>
      </c>
      <c r="O51" s="121">
        <f t="shared" si="32"/>
        <v>0</v>
      </c>
      <c r="P51" s="124"/>
    </row>
    <row r="52" spans="3:17" x14ac:dyDescent="0.45">
      <c r="C52" s="104" t="str">
        <f>C44</f>
        <v>% Thực hiện luỹ kế</v>
      </c>
      <c r="D52" s="117">
        <f>D29/D15</f>
        <v>0.81352446475543505</v>
      </c>
      <c r="E52" s="117">
        <f>SUM(D29:E29)/SUM(D15:E15)</f>
        <v>0.40984245822817778</v>
      </c>
      <c r="F52" s="117">
        <f>SUM(D29:F29)/SUM(D15:F15)</f>
        <v>0.26512866703663174</v>
      </c>
      <c r="G52" s="117">
        <f>SUM(D29:G29)/SUM(D15:G15)</f>
        <v>0.19909969447685283</v>
      </c>
      <c r="H52" s="117">
        <f>SUM(D29:H29)/SUM(D15:H15)</f>
        <v>0.15747791572637337</v>
      </c>
      <c r="I52" s="117">
        <f>SUM(D29:I29)/SUM(D15:I15)</f>
        <v>0.13011174355977156</v>
      </c>
      <c r="J52" s="117">
        <f>SUM(D29:J29)/SUM(D15:J15)</f>
        <v>0.11085754521509764</v>
      </c>
      <c r="K52" s="117">
        <f>SUM(D29:K29)/SUM(D15:K15)</f>
        <v>9.6904481241016763E-2</v>
      </c>
      <c r="L52" s="117">
        <f>SUM(D29:L29)/SUM(D15:L15)</f>
        <v>8.5626864762715998E-2</v>
      </c>
      <c r="M52" s="117">
        <f>SUM(D29:M29)/SUM(D15:M15)</f>
        <v>7.7216435684329829E-2</v>
      </c>
      <c r="N52" s="117">
        <f>SUM(D29:N29)/SUM(D15:N15)</f>
        <v>6.9958109115543426E-2</v>
      </c>
      <c r="O52" s="117">
        <f>SUM(D29:O29)/SUM(D15:O15)</f>
        <v>6.3872363633824147E-2</v>
      </c>
      <c r="P52" s="123"/>
    </row>
    <row r="53" spans="3:17" x14ac:dyDescent="0.45">
      <c r="C53" s="102" t="str">
        <f>C45</f>
        <v>B2B</v>
      </c>
      <c r="D53" s="121">
        <f>SUM(D26)/SUM(D12)</f>
        <v>0.58210590298066489</v>
      </c>
      <c r="E53" s="121">
        <f>SUM($D$26:E26)/SUM($D$12:E12)</f>
        <v>0.30220403243041832</v>
      </c>
      <c r="F53" s="121">
        <f>SUM($D$26:F26)/SUM($D$12:F12)</f>
        <v>0.20090424201630017</v>
      </c>
      <c r="G53" s="121">
        <f>SUM($D$26:G26)/SUM($D$12:G12)</f>
        <v>0.14916523578673491</v>
      </c>
      <c r="H53" s="121">
        <f>SUM($D$26:H26)/SUM($D$12:H12)</f>
        <v>0.11823044557670158</v>
      </c>
      <c r="I53" s="121">
        <f>SUM($D$26:I26)/SUM($D$12:I12)</f>
        <v>9.8839221011763734E-2</v>
      </c>
      <c r="J53" s="121">
        <f>SUM($D$26:J26)/SUM($D$12:J12)</f>
        <v>8.4386976704693403E-2</v>
      </c>
      <c r="K53" s="121">
        <f>SUM($D$26:K26)/SUM($D$12:K12)</f>
        <v>7.3218502924637816E-2</v>
      </c>
      <c r="L53" s="121">
        <f>SUM($D$26:L26)/SUM($D$12:L12)</f>
        <v>6.5551691166533782E-2</v>
      </c>
      <c r="M53" s="121">
        <f>SUM($D$26:M26)/SUM($D$12:M12)</f>
        <v>5.9023077058536787E-2</v>
      </c>
      <c r="N53" s="121">
        <f>SUM($D$26:N26)/SUM($D$12:N12)</f>
        <v>5.3527826389024431E-2</v>
      </c>
      <c r="O53" s="121">
        <f>SUM($D$26:O26)/SUM($D$12:O12)</f>
        <v>4.8892176291822013E-2</v>
      </c>
      <c r="P53" s="124"/>
    </row>
    <row r="54" spans="3:17" x14ac:dyDescent="0.45">
      <c r="C54" s="103" t="str">
        <f>C46</f>
        <v>Export</v>
      </c>
      <c r="D54" s="122">
        <f>SUM(D27)/SUM(D13)</f>
        <v>0.82197134172818065</v>
      </c>
      <c r="E54" s="122">
        <f>SUM($D$27:E27)/SUM($D$13:E13)</f>
        <v>0.4037108125399872</v>
      </c>
      <c r="F54" s="122">
        <f>SUM($D$27:F27)/SUM($D$13:F13)</f>
        <v>0.25546558704453443</v>
      </c>
      <c r="G54" s="122">
        <f>SUM($D$27:G27)/SUM($D$13:G13)</f>
        <v>0.19357807546783926</v>
      </c>
      <c r="H54" s="122">
        <f>SUM($D$27:H27)/SUM($D$13:H13)</f>
        <v>0.15284618490109003</v>
      </c>
      <c r="I54" s="122">
        <f>SUM($D$27:I27)/SUM($D$13:I13)</f>
        <v>0.12511566424322537</v>
      </c>
      <c r="J54" s="122">
        <f>SUM($D$27:J27)/SUM($D$13:J13)</f>
        <v>0.106426639830437</v>
      </c>
      <c r="K54" s="122">
        <f>SUM($D$27:K27)/SUM($D$13:K13)</f>
        <v>9.3574362700754823E-2</v>
      </c>
      <c r="L54" s="122">
        <f>SUM($D$27:L27)/SUM($D$13:L13)</f>
        <v>8.1842117778286969E-2</v>
      </c>
      <c r="M54" s="122">
        <f>SUM($D$27:M27)/SUM($D$13:M13)</f>
        <v>7.389076033709488E-2</v>
      </c>
      <c r="N54" s="122">
        <f>SUM($D$27:N27)/SUM($D$13:N13)</f>
        <v>6.6893059447540357E-2</v>
      </c>
      <c r="O54" s="122">
        <f>SUM($D$27:O27)/SUM($D$13:O13)</f>
        <v>6.1052896384236548E-2</v>
      </c>
      <c r="P54" s="124"/>
      <c r="Q54" s="125"/>
    </row>
  </sheetData>
  <phoneticPr fontId="5" type="noConversion"/>
  <conditionalFormatting sqref="D41:O41">
    <cfRule type="iconSet" priority="9">
      <iconSet>
        <cfvo type="percent" val="0"/>
        <cfvo type="num" val="0.95"/>
        <cfvo type="num" val="1"/>
      </iconSet>
    </cfRule>
  </conditionalFormatting>
  <conditionalFormatting sqref="D42:O43">
    <cfRule type="iconSet" priority="15">
      <iconSet>
        <cfvo type="percent" val="0"/>
        <cfvo type="num" val="0.95"/>
        <cfvo type="num" val="1"/>
      </iconSet>
    </cfRule>
  </conditionalFormatting>
  <conditionalFormatting sqref="D44:O44">
    <cfRule type="iconSet" priority="11">
      <iconSet>
        <cfvo type="percent" val="0"/>
        <cfvo type="num" val="0.95"/>
        <cfvo type="num" val="1"/>
      </iconSet>
    </cfRule>
  </conditionalFormatting>
  <conditionalFormatting sqref="D45:O46">
    <cfRule type="iconSet" priority="16">
      <iconSet>
        <cfvo type="percent" val="0"/>
        <cfvo type="num" val="0.95"/>
        <cfvo type="num" val="1"/>
      </iconSet>
    </cfRule>
  </conditionalFormatting>
  <conditionalFormatting sqref="D52:O52">
    <cfRule type="iconSet" priority="7">
      <iconSet>
        <cfvo type="percent" val="0"/>
        <cfvo type="num" val="0.95"/>
        <cfvo type="num" val="1"/>
      </iconSet>
    </cfRule>
  </conditionalFormatting>
  <conditionalFormatting sqref="D49:P49">
    <cfRule type="iconSet" priority="5">
      <iconSet>
        <cfvo type="percent" val="0"/>
        <cfvo type="num" val="0.95"/>
        <cfvo type="num" val="1"/>
      </iconSet>
    </cfRule>
  </conditionalFormatting>
  <conditionalFormatting sqref="D50:P51">
    <cfRule type="iconSet" priority="18">
      <iconSet>
        <cfvo type="percent" val="0"/>
        <cfvo type="num" val="0.95"/>
        <cfvo type="num" val="1"/>
      </iconSet>
    </cfRule>
  </conditionalFormatting>
  <conditionalFormatting sqref="P52">
    <cfRule type="iconSet" priority="3">
      <iconSet>
        <cfvo type="percent" val="0"/>
        <cfvo type="num" val="0.95"/>
        <cfvo type="num" val="1"/>
      </iconSet>
    </cfRule>
  </conditionalFormatting>
  <conditionalFormatting sqref="P53:P54">
    <cfRule type="iconSet" priority="20">
      <iconSet>
        <cfvo type="percent" val="0"/>
        <cfvo type="num" val="0.95"/>
        <cfvo type="num" val="1"/>
      </iconSet>
    </cfRule>
  </conditionalFormatting>
  <conditionalFormatting sqref="Q54 D53:O54">
    <cfRule type="iconSet" priority="8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EDB-3213-473D-A005-9D27406CBA53}">
  <dimension ref="B1:J48"/>
  <sheetViews>
    <sheetView showGridLines="0" zoomScale="90" zoomScaleNormal="90" workbookViewId="0">
      <selection activeCell="L41" sqref="L41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7" width="10.54296875" bestFit="1" customWidth="1"/>
    <col min="8" max="8" width="12.36328125" customWidth="1"/>
    <col min="9" max="9" width="6.90625" customWidth="1"/>
    <col min="10" max="10" width="9.54296875" bestFit="1" customWidth="1"/>
  </cols>
  <sheetData>
    <row r="1" spans="2:10" ht="9" customHeight="1" x14ac:dyDescent="0.45"/>
    <row r="2" spans="2:10" ht="16.5" x14ac:dyDescent="0.45">
      <c r="B2" s="10" t="s">
        <v>17</v>
      </c>
    </row>
    <row r="3" spans="2:10" x14ac:dyDescent="0.45">
      <c r="B3" s="9"/>
      <c r="C3" s="9"/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</row>
    <row r="4" spans="2:10" x14ac:dyDescent="0.45">
      <c r="B4" s="4">
        <v>1</v>
      </c>
      <c r="C4" s="5" t="s">
        <v>7</v>
      </c>
      <c r="D4" s="7"/>
      <c r="E4" s="7"/>
      <c r="F4" s="7"/>
      <c r="G4" s="7"/>
      <c r="H4" s="7"/>
    </row>
    <row r="5" spans="2:10" x14ac:dyDescent="0.45">
      <c r="B5" s="2"/>
      <c r="C5" s="3" t="s">
        <v>0</v>
      </c>
      <c r="D5" s="8">
        <f>SUM(Monthly!D5:F5)</f>
        <v>174816.96180982352</v>
      </c>
      <c r="E5" s="8">
        <f>SUM(Monthly!G5:I5)</f>
        <v>180912.31408985524</v>
      </c>
      <c r="F5" s="8">
        <f>SUM(Monthly!J5:L5)</f>
        <v>179637.27425202355</v>
      </c>
      <c r="G5" s="8">
        <f>SUM(Monthly!M5:O5)</f>
        <v>181726.44873179833</v>
      </c>
      <c r="H5" s="8">
        <f t="shared" ref="H5:H7" si="0">SUM(D5:G5)</f>
        <v>717092.99888350058</v>
      </c>
    </row>
    <row r="6" spans="2:10" x14ac:dyDescent="0.45">
      <c r="B6" s="2"/>
      <c r="C6" s="3" t="s">
        <v>4</v>
      </c>
      <c r="D6" s="8">
        <f>SUM(Monthly!D6:F6)</f>
        <v>229640.00927272724</v>
      </c>
      <c r="E6" s="8">
        <f>SUM(Monthly!G6:I6)</f>
        <v>237901.49027272727</v>
      </c>
      <c r="F6" s="8">
        <f>SUM(Monthly!J6:L6)</f>
        <v>245768.32363636361</v>
      </c>
      <c r="G6" s="8">
        <f>SUM(Monthly!M6:O6)</f>
        <v>240094.09063636363</v>
      </c>
      <c r="H6" s="8">
        <f t="shared" si="0"/>
        <v>953403.91381818173</v>
      </c>
    </row>
    <row r="7" spans="2:10" x14ac:dyDescent="0.45">
      <c r="B7" s="29"/>
      <c r="C7" s="30" t="s">
        <v>5</v>
      </c>
      <c r="D7" s="8">
        <f>SUM(Monthly!D7:F7)</f>
        <v>1005.6750000000001</v>
      </c>
      <c r="E7" s="8">
        <f>SUM(Monthly!G7:I7)</f>
        <v>1005.6750000000001</v>
      </c>
      <c r="F7" s="8">
        <f>SUM(Monthly!J7:L7)</f>
        <v>1005.6750000000001</v>
      </c>
      <c r="G7" s="8">
        <f>SUM(Monthly!M7:O7)</f>
        <v>1005.6750000000001</v>
      </c>
      <c r="H7" s="8">
        <f t="shared" si="0"/>
        <v>4022.7000000000003</v>
      </c>
    </row>
    <row r="8" spans="2:10" ht="16.5" thickBot="1" x14ac:dyDescent="0.5">
      <c r="B8" s="70"/>
      <c r="C8" s="71" t="s">
        <v>2</v>
      </c>
      <c r="D8" s="72">
        <f>SUM(D5:D7)</f>
        <v>405462.64608255075</v>
      </c>
      <c r="E8" s="72">
        <f>SUM(E5:E7)</f>
        <v>419819.4793625825</v>
      </c>
      <c r="F8" s="72">
        <f>SUM(F5:F7)</f>
        <v>426411.27288838715</v>
      </c>
      <c r="G8" s="72">
        <f>SUM(G5:G7)</f>
        <v>422826.21436816192</v>
      </c>
      <c r="H8" s="72">
        <f>SUM(H5:H7)</f>
        <v>1674519.6127016821</v>
      </c>
      <c r="J8" s="79"/>
    </row>
    <row r="9" spans="2:10" s="23" customFormat="1" ht="16.5" thickTop="1" x14ac:dyDescent="0.45">
      <c r="C9" s="68" t="s">
        <v>6</v>
      </c>
      <c r="D9" s="69"/>
      <c r="E9" s="69"/>
      <c r="F9" s="69"/>
      <c r="G9" s="69"/>
      <c r="H9" s="69"/>
    </row>
    <row r="10" spans="2:10" x14ac:dyDescent="0.45">
      <c r="B10" s="9"/>
      <c r="C10" s="9"/>
      <c r="D10" s="1" t="str">
        <f>D3</f>
        <v>Q1</v>
      </c>
      <c r="E10" s="1" t="str">
        <f>E3</f>
        <v>Q2</v>
      </c>
      <c r="F10" s="1" t="str">
        <f>F3</f>
        <v>Q3</v>
      </c>
      <c r="G10" s="1" t="str">
        <f>G3</f>
        <v>Q4</v>
      </c>
      <c r="H10" s="1" t="s">
        <v>3</v>
      </c>
    </row>
    <row r="11" spans="2:10" x14ac:dyDescent="0.45">
      <c r="B11" s="4">
        <v>2</v>
      </c>
      <c r="C11" s="5" t="s">
        <v>8</v>
      </c>
      <c r="D11" s="7"/>
      <c r="E11" s="7"/>
      <c r="F11" s="7"/>
      <c r="G11" s="7"/>
      <c r="H11" s="7"/>
    </row>
    <row r="12" spans="2:10" x14ac:dyDescent="0.45">
      <c r="B12" s="2"/>
      <c r="C12" s="3" t="s">
        <v>0</v>
      </c>
      <c r="D12" s="8">
        <f>SUM(Monthly!D12:F12)</f>
        <v>5807.0949039759116</v>
      </c>
      <c r="E12" s="8">
        <f>SUM(Monthly!G12:I12)</f>
        <v>5996.6201400868504</v>
      </c>
      <c r="F12" s="8">
        <f>SUM(Monthly!J12:L12)</f>
        <v>5993.9951177708936</v>
      </c>
      <c r="G12" s="8">
        <f>SUM(Monthly!M12:O12)</f>
        <v>6064.3898403530675</v>
      </c>
      <c r="H12" s="8">
        <f t="shared" ref="H12:H14" si="1">SUM(D12:G12)</f>
        <v>23862.100002186722</v>
      </c>
    </row>
    <row r="13" spans="2:10" x14ac:dyDescent="0.45">
      <c r="B13" s="2"/>
      <c r="C13" s="3" t="s">
        <v>4</v>
      </c>
      <c r="D13" s="8">
        <f>SUM(Monthly!D13:F13)</f>
        <v>7410</v>
      </c>
      <c r="E13" s="8">
        <f>SUM(Monthly!G13:I13)</f>
        <v>7720</v>
      </c>
      <c r="F13" s="8">
        <f>SUM(Monthly!J13:L13)</f>
        <v>7999.9</v>
      </c>
      <c r="G13" s="8">
        <f>SUM(Monthly!M13:O13)</f>
        <v>7876</v>
      </c>
      <c r="H13" s="8">
        <f t="shared" si="1"/>
        <v>31005.9</v>
      </c>
    </row>
    <row r="14" spans="2:10" x14ac:dyDescent="0.45">
      <c r="B14" s="2"/>
      <c r="C14" s="3" t="s">
        <v>5</v>
      </c>
      <c r="D14" s="8">
        <f>SUM(Monthly!D14:F14)</f>
        <v>33</v>
      </c>
      <c r="E14" s="8">
        <f>SUM(Monthly!G14:I14)</f>
        <v>33</v>
      </c>
      <c r="F14" s="8">
        <f>SUM(Monthly!J14:L14)</f>
        <v>33</v>
      </c>
      <c r="G14" s="8">
        <f>SUM(Monthly!M14:O14)</f>
        <v>33</v>
      </c>
      <c r="H14" s="8">
        <f t="shared" si="1"/>
        <v>132</v>
      </c>
    </row>
    <row r="15" spans="2:10" ht="16.5" thickBot="1" x14ac:dyDescent="0.5">
      <c r="B15" s="70"/>
      <c r="C15" s="71" t="s">
        <v>2</v>
      </c>
      <c r="D15" s="72">
        <f>SUM(D12:D14)</f>
        <v>13250.094903975911</v>
      </c>
      <c r="E15" s="72">
        <f>SUM(E12:E14)</f>
        <v>13749.62014008685</v>
      </c>
      <c r="F15" s="72">
        <f>SUM(F12:F14)</f>
        <v>14026.895117770893</v>
      </c>
      <c r="G15" s="72">
        <f>SUM(G12:G14)</f>
        <v>13973.389840353067</v>
      </c>
      <c r="H15" s="72">
        <f>SUM(H12:H14)</f>
        <v>55000.000002186724</v>
      </c>
    </row>
    <row r="16" spans="2:10" ht="16.5" thickTop="1" x14ac:dyDescent="0.45">
      <c r="B16" s="33"/>
      <c r="C16" s="37"/>
      <c r="D16" s="34"/>
      <c r="E16" s="34"/>
      <c r="F16" s="34"/>
      <c r="G16" s="34"/>
      <c r="H16" s="34"/>
    </row>
    <row r="17" spans="2:10" x14ac:dyDescent="0.45">
      <c r="B17" s="9"/>
      <c r="C17" s="9"/>
      <c r="D17" s="1" t="s">
        <v>18</v>
      </c>
      <c r="E17" s="1" t="s">
        <v>19</v>
      </c>
      <c r="F17" s="1" t="s">
        <v>20</v>
      </c>
      <c r="G17" s="1" t="s">
        <v>21</v>
      </c>
      <c r="H17" s="1" t="str">
        <f>H3</f>
        <v>TOTAL</v>
      </c>
      <c r="I17" s="88"/>
    </row>
    <row r="18" spans="2:10" x14ac:dyDescent="0.45">
      <c r="B18" s="6">
        <v>3</v>
      </c>
      <c r="C18" s="63" t="s">
        <v>13</v>
      </c>
      <c r="D18" s="8"/>
      <c r="E18" s="8"/>
      <c r="F18" s="8"/>
      <c r="G18" s="8"/>
      <c r="H18" s="8"/>
    </row>
    <row r="19" spans="2:10" x14ac:dyDescent="0.45">
      <c r="B19" s="2"/>
      <c r="C19" s="3" t="s">
        <v>0</v>
      </c>
      <c r="D19" s="8">
        <f>SUM(Monthly!D19:F19)</f>
        <v>38113.06</v>
      </c>
      <c r="E19" s="8">
        <f>SUM(Monthly!G19:I19)</f>
        <v>0</v>
      </c>
      <c r="F19" s="8">
        <f>SUM(Monthly!J19:L19)</f>
        <v>0</v>
      </c>
      <c r="G19" s="8">
        <f>SUM(Monthly!M19:O19)</f>
        <v>0</v>
      </c>
      <c r="H19" s="8">
        <f t="shared" ref="H19:H21" si="2">SUM(D19:G19)</f>
        <v>38113.06</v>
      </c>
      <c r="I19" s="67"/>
    </row>
    <row r="20" spans="2:10" x14ac:dyDescent="0.45">
      <c r="B20" s="2"/>
      <c r="C20" s="3" t="s">
        <v>4</v>
      </c>
      <c r="D20" s="8">
        <f>SUM(Monthly!D20:F20)</f>
        <v>53472.090000000011</v>
      </c>
      <c r="E20" s="8">
        <f>SUM(Monthly!G20:I20)</f>
        <v>0</v>
      </c>
      <c r="F20" s="8">
        <f>SUM(Monthly!J20:L20)</f>
        <v>0</v>
      </c>
      <c r="G20" s="8">
        <f>SUM(Monthly!M20:O20)</f>
        <v>0</v>
      </c>
      <c r="H20" s="8">
        <f t="shared" si="2"/>
        <v>53472.090000000011</v>
      </c>
      <c r="I20" s="67"/>
    </row>
    <row r="21" spans="2:10" x14ac:dyDescent="0.45">
      <c r="B21" s="29"/>
      <c r="C21" s="30" t="s">
        <v>5</v>
      </c>
      <c r="D21" s="8">
        <f>SUM(Monthly!D21:F21)</f>
        <v>14744.419999999998</v>
      </c>
      <c r="E21" s="8">
        <f>SUM(Monthly!G21:I21)</f>
        <v>0</v>
      </c>
      <c r="F21" s="8">
        <f>SUM(Monthly!J21:L21)</f>
        <v>0</v>
      </c>
      <c r="G21" s="8">
        <f>SUM(Monthly!M21:O21)</f>
        <v>0</v>
      </c>
      <c r="H21" s="8">
        <f t="shared" si="2"/>
        <v>14744.419999999998</v>
      </c>
    </row>
    <row r="22" spans="2:10" ht="16.5" thickBot="1" x14ac:dyDescent="0.5">
      <c r="B22" s="73"/>
      <c r="C22" s="74" t="s">
        <v>2</v>
      </c>
      <c r="D22" s="75">
        <f>SUM(D19:D21)</f>
        <v>106329.57</v>
      </c>
      <c r="E22" s="75">
        <f>SUM(E19:E21)</f>
        <v>0</v>
      </c>
      <c r="F22" s="75">
        <f>SUM(F19:F21)</f>
        <v>0</v>
      </c>
      <c r="G22" s="75">
        <f>SUM(G19:G21)</f>
        <v>0</v>
      </c>
      <c r="H22" s="76">
        <f>SUM(H19:H21)</f>
        <v>106329.57</v>
      </c>
      <c r="I22" s="64"/>
      <c r="J22" s="79"/>
    </row>
    <row r="23" spans="2:10" ht="16.5" thickTop="1" x14ac:dyDescent="0.45">
      <c r="B23" s="33"/>
      <c r="C23" s="37"/>
      <c r="D23" s="34"/>
      <c r="E23" s="34"/>
      <c r="F23" s="34"/>
      <c r="G23" s="34"/>
      <c r="H23" s="34"/>
    </row>
    <row r="24" spans="2:10" x14ac:dyDescent="0.45">
      <c r="B24" s="9"/>
      <c r="C24" s="9"/>
      <c r="D24" s="141" t="str">
        <f>D17</f>
        <v>Q1</v>
      </c>
      <c r="E24" s="141" t="str">
        <f>E17</f>
        <v>Q2</v>
      </c>
      <c r="F24" s="141" t="str">
        <f>F17</f>
        <v>Q3</v>
      </c>
      <c r="G24" s="141" t="str">
        <f>G17</f>
        <v>Q4</v>
      </c>
      <c r="H24" s="1" t="s">
        <v>3</v>
      </c>
      <c r="I24" s="88"/>
    </row>
    <row r="25" spans="2:10" x14ac:dyDescent="0.45">
      <c r="B25" s="4">
        <v>4</v>
      </c>
      <c r="C25" s="62" t="s">
        <v>14</v>
      </c>
      <c r="D25" s="7"/>
      <c r="E25" s="7"/>
      <c r="F25" s="7"/>
      <c r="G25" s="7"/>
      <c r="H25" s="7"/>
    </row>
    <row r="26" spans="2:10" x14ac:dyDescent="0.45">
      <c r="B26" s="2"/>
      <c r="C26" s="3" t="s">
        <v>0</v>
      </c>
      <c r="D26" s="8">
        <f>SUM(Monthly!D26:F26)</f>
        <v>1166.6699999999998</v>
      </c>
      <c r="E26" s="8">
        <f>SUM(Monthly!G26:I26)</f>
        <v>0</v>
      </c>
      <c r="F26" s="8">
        <f>SUM(Monthly!J26:L26)</f>
        <v>0</v>
      </c>
      <c r="G26" s="8">
        <f>SUM(Monthly!M26:O26)</f>
        <v>0</v>
      </c>
      <c r="H26" s="8">
        <f t="shared" ref="H26:H28" si="3">SUM(D26:G26)</f>
        <v>1166.6699999999998</v>
      </c>
      <c r="I26" s="67"/>
    </row>
    <row r="27" spans="2:10" x14ac:dyDescent="0.45">
      <c r="B27" s="2"/>
      <c r="C27" s="3" t="s">
        <v>4</v>
      </c>
      <c r="D27" s="8">
        <f>SUM(Monthly!D27:F27)</f>
        <v>1893</v>
      </c>
      <c r="E27" s="8">
        <f>SUM(Monthly!G27:I27)</f>
        <v>0</v>
      </c>
      <c r="F27" s="8">
        <f>SUM(Monthly!J27:L27)</f>
        <v>0</v>
      </c>
      <c r="G27" s="8">
        <f>SUM(Monthly!M27:O27)</f>
        <v>0</v>
      </c>
      <c r="H27" s="8">
        <f t="shared" si="3"/>
        <v>1893</v>
      </c>
      <c r="I27" s="90"/>
    </row>
    <row r="28" spans="2:10" x14ac:dyDescent="0.45">
      <c r="B28" s="29"/>
      <c r="C28" s="30" t="s">
        <v>5</v>
      </c>
      <c r="D28" s="8">
        <f>SUM(Monthly!D28:F28)</f>
        <v>453.31</v>
      </c>
      <c r="E28" s="8">
        <f>SUM(Monthly!G28:I28)</f>
        <v>0</v>
      </c>
      <c r="F28" s="8">
        <f>SUM(Monthly!J28:L28)</f>
        <v>0</v>
      </c>
      <c r="G28" s="8">
        <f>SUM(Monthly!M28:O28)</f>
        <v>0</v>
      </c>
      <c r="H28" s="8">
        <f t="shared" si="3"/>
        <v>453.31</v>
      </c>
    </row>
    <row r="29" spans="2:10" ht="16.5" thickBot="1" x14ac:dyDescent="0.5">
      <c r="B29" s="70"/>
      <c r="C29" s="71" t="s">
        <v>2</v>
      </c>
      <c r="D29" s="75">
        <f>SUM(D26:D28)</f>
        <v>3512.98</v>
      </c>
      <c r="E29" s="75">
        <f>SUM(E26:E28)</f>
        <v>0</v>
      </c>
      <c r="F29" s="75">
        <f>SUM(F26:F28)</f>
        <v>0</v>
      </c>
      <c r="G29" s="75">
        <f>SUM(G26:G28)</f>
        <v>0</v>
      </c>
      <c r="H29" s="76">
        <f>SUM(H26:H28)</f>
        <v>3512.98</v>
      </c>
      <c r="I29" s="89"/>
    </row>
    <row r="30" spans="2:10" ht="16.5" thickTop="1" x14ac:dyDescent="0.45">
      <c r="B30" s="33"/>
      <c r="C30" s="37"/>
      <c r="D30" s="34"/>
      <c r="E30" s="34"/>
      <c r="F30" s="34"/>
      <c r="G30" s="34"/>
      <c r="H30" s="34"/>
    </row>
    <row r="31" spans="2:10" x14ac:dyDescent="0.45">
      <c r="B31" s="9"/>
      <c r="C31" s="9"/>
      <c r="D31" s="141" t="str">
        <f>D24</f>
        <v>Q1</v>
      </c>
      <c r="E31" s="141" t="str">
        <f>E24</f>
        <v>Q2</v>
      </c>
      <c r="F31" s="141" t="str">
        <f>F24</f>
        <v>Q3</v>
      </c>
      <c r="G31" s="141" t="str">
        <f>G24</f>
        <v>Q4</v>
      </c>
      <c r="H31" s="1" t="s">
        <v>3</v>
      </c>
    </row>
    <row r="32" spans="2:10" x14ac:dyDescent="0.45">
      <c r="B32" s="4">
        <v>5</v>
      </c>
      <c r="C32" s="62" t="s">
        <v>12</v>
      </c>
      <c r="D32" s="7"/>
      <c r="E32" s="7"/>
      <c r="F32" s="7"/>
      <c r="G32" s="7"/>
      <c r="H32" s="7"/>
    </row>
    <row r="33" spans="2:8" x14ac:dyDescent="0.45">
      <c r="B33" s="2"/>
      <c r="C33" s="3" t="s">
        <v>0</v>
      </c>
      <c r="D33" s="58">
        <f t="shared" ref="D33:H35" si="4">D19/D26</f>
        <v>32.668243805017703</v>
      </c>
      <c r="E33" s="58" t="str">
        <f>IFERROR(E19/E26," ")</f>
        <v xml:space="preserve"> </v>
      </c>
      <c r="F33" s="58" t="str">
        <f>IFERROR(F19/F26,"")</f>
        <v/>
      </c>
      <c r="G33" s="58" t="str">
        <f>IFERROR(G19/G26,"")</f>
        <v/>
      </c>
      <c r="H33" s="58">
        <f t="shared" si="4"/>
        <v>32.668243805017703</v>
      </c>
    </row>
    <row r="34" spans="2:8" x14ac:dyDescent="0.45">
      <c r="B34" s="2"/>
      <c r="C34" s="3" t="s">
        <v>4</v>
      </c>
      <c r="D34" s="58">
        <f t="shared" si="4"/>
        <v>28.247274167987328</v>
      </c>
      <c r="E34" s="58" t="str">
        <f t="shared" ref="E34:E35" si="5">IFERROR(E20/E27," ")</f>
        <v xml:space="preserve"> </v>
      </c>
      <c r="F34" s="58" t="str">
        <f t="shared" ref="F34:G35" si="6">IFERROR(F20/F27,"")</f>
        <v/>
      </c>
      <c r="G34" s="58" t="str">
        <f t="shared" si="6"/>
        <v/>
      </c>
      <c r="H34" s="58">
        <f t="shared" si="4"/>
        <v>28.247274167987328</v>
      </c>
    </row>
    <row r="35" spans="2:8" x14ac:dyDescent="0.45">
      <c r="B35" s="29"/>
      <c r="C35" s="30" t="s">
        <v>5</v>
      </c>
      <c r="D35" s="58">
        <f t="shared" si="4"/>
        <v>32.526130021398153</v>
      </c>
      <c r="E35" s="58" t="str">
        <f t="shared" si="5"/>
        <v xml:space="preserve"> </v>
      </c>
      <c r="F35" s="58" t="str">
        <f t="shared" si="6"/>
        <v/>
      </c>
      <c r="G35" s="58" t="str">
        <f t="shared" si="6"/>
        <v/>
      </c>
      <c r="H35" s="58">
        <f t="shared" si="4"/>
        <v>32.526130021398153</v>
      </c>
    </row>
    <row r="36" spans="2:8" ht="16.5" thickBot="1" x14ac:dyDescent="0.5">
      <c r="B36" s="70"/>
      <c r="C36" s="71" t="s">
        <v>2</v>
      </c>
      <c r="D36" s="77">
        <f>D22/D29</f>
        <v>30.267627484358012</v>
      </c>
      <c r="E36" s="77" t="str">
        <f>IFERROR(E22/E29,"")</f>
        <v/>
      </c>
      <c r="F36" s="77" t="str">
        <f t="shared" ref="F36:G36" si="7">IFERROR(F22/F29,"")</f>
        <v/>
      </c>
      <c r="G36" s="77" t="str">
        <f t="shared" si="7"/>
        <v/>
      </c>
      <c r="H36" s="78">
        <f>SUM(H19:H20)/SUM(H26:H27)</f>
        <v>29.933015652014763</v>
      </c>
    </row>
    <row r="37" spans="2:8" s="50" customFormat="1" ht="16.5" thickTop="1" x14ac:dyDescent="0.45">
      <c r="B37" s="59"/>
      <c r="C37" s="60"/>
      <c r="D37" s="61"/>
      <c r="E37" s="61"/>
      <c r="F37" s="61"/>
      <c r="G37" s="61"/>
      <c r="H37" s="61"/>
    </row>
    <row r="38" spans="2:8" x14ac:dyDescent="0.45">
      <c r="B38" s="33"/>
      <c r="C38" s="35" t="s">
        <v>16</v>
      </c>
      <c r="D38" s="36">
        <f>D22</f>
        <v>106329.57</v>
      </c>
      <c r="E38" s="36">
        <f>D38+E22</f>
        <v>106329.57</v>
      </c>
      <c r="F38" s="36">
        <f>E38+F22</f>
        <v>106329.57</v>
      </c>
      <c r="G38" s="36">
        <f>F38+G22</f>
        <v>106329.57</v>
      </c>
      <c r="H38" s="34"/>
    </row>
    <row r="39" spans="2:8" s="50" customFormat="1" x14ac:dyDescent="0.45">
      <c r="C39" s="65" t="s">
        <v>15</v>
      </c>
      <c r="D39" s="66">
        <f>D8</f>
        <v>405462.64608255075</v>
      </c>
      <c r="E39" s="66">
        <f>D39+E8</f>
        <v>825282.12544513331</v>
      </c>
      <c r="F39" s="66">
        <f>E39+F8</f>
        <v>1251693.3983335204</v>
      </c>
      <c r="G39" s="66">
        <f>F39+G8</f>
        <v>1674519.6127016824</v>
      </c>
      <c r="H39" s="66"/>
    </row>
    <row r="40" spans="2:8" s="50" customFormat="1" x14ac:dyDescent="0.45">
      <c r="C40" s="65"/>
      <c r="D40" s="66"/>
      <c r="E40" s="66"/>
      <c r="F40" s="66"/>
      <c r="G40" s="66"/>
      <c r="H40" s="66"/>
    </row>
    <row r="41" spans="2:8" s="83" customFormat="1" x14ac:dyDescent="0.45">
      <c r="C41" s="81" t="s">
        <v>42</v>
      </c>
      <c r="D41" s="95">
        <f>D38/D39</f>
        <v>0.2622425790077631</v>
      </c>
      <c r="E41" s="95">
        <f t="shared" ref="E41:F41" si="8">E38/E39</f>
        <v>0.12884026773589566</v>
      </c>
      <c r="F41" s="95">
        <f t="shared" si="8"/>
        <v>8.4948574580296643E-2</v>
      </c>
      <c r="G41" s="84"/>
    </row>
    <row r="42" spans="2:8" s="85" customFormat="1" x14ac:dyDescent="0.45">
      <c r="C42" s="86" t="s">
        <v>1</v>
      </c>
      <c r="D42" s="87" t="str">
        <f>IFERROR(#REF!/#REF!," ")</f>
        <v xml:space="preserve"> </v>
      </c>
      <c r="E42" s="87" t="str">
        <f>IFERROR(#REF!/#REF!," ")</f>
        <v xml:space="preserve"> </v>
      </c>
      <c r="F42" s="87" t="str">
        <f>IFERROR(#REF!/#REF!," ")</f>
        <v xml:space="preserve"> </v>
      </c>
      <c r="G42" s="87"/>
    </row>
    <row r="43" spans="2:8" s="85" customFormat="1" x14ac:dyDescent="0.45">
      <c r="C43" s="86" t="s">
        <v>0</v>
      </c>
      <c r="D43" s="87">
        <f>D19/D5</f>
        <v>0.21801694529768623</v>
      </c>
      <c r="E43" s="87">
        <f>SUM(D19:E19)/SUM(D5:E5)</f>
        <v>0.10714063357199895</v>
      </c>
      <c r="F43" s="87">
        <f>SUM(E19:F19)/SUM(E5:F5)</f>
        <v>0</v>
      </c>
      <c r="G43" s="87"/>
    </row>
    <row r="44" spans="2:8" s="85" customFormat="1" x14ac:dyDescent="0.45">
      <c r="C44" s="86" t="s">
        <v>4</v>
      </c>
      <c r="D44" s="87">
        <f>D20/D6</f>
        <v>0.23285180212867429</v>
      </c>
      <c r="E44" s="87">
        <f>SUM(D20:E20)/SUM(D6:E6)</f>
        <v>0.11436864973908362</v>
      </c>
      <c r="F44" s="118">
        <f>SUM(E20:F20)/SUM(E6:F6)</f>
        <v>0</v>
      </c>
      <c r="G44" s="87"/>
    </row>
    <row r="45" spans="2:8" s="83" customFormat="1" x14ac:dyDescent="0.45">
      <c r="C45" s="81" t="s">
        <v>43</v>
      </c>
      <c r="D45" s="95">
        <f>D22/D8</f>
        <v>0.2622425790077631</v>
      </c>
      <c r="E45" s="95">
        <f>E22/E8</f>
        <v>0</v>
      </c>
      <c r="F45" s="119">
        <f>F22/F8</f>
        <v>0</v>
      </c>
      <c r="G45" s="82"/>
    </row>
    <row r="46" spans="2:8" s="83" customFormat="1" x14ac:dyDescent="0.45">
      <c r="C46" s="86" t="str">
        <f>C42</f>
        <v>B2C</v>
      </c>
      <c r="D46" s="87" t="str">
        <f>IFERROR(#REF!/#REF!," ")</f>
        <v xml:space="preserve"> </v>
      </c>
      <c r="E46" s="87" t="str">
        <f>IFERROR(#REF!/#REF!," ")</f>
        <v xml:space="preserve"> </v>
      </c>
      <c r="F46" s="87" t="str">
        <f>IFERROR(#REF!/#REF!," ")</f>
        <v xml:space="preserve"> </v>
      </c>
      <c r="G46" s="87"/>
    </row>
    <row r="47" spans="2:8" s="83" customFormat="1" x14ac:dyDescent="0.45">
      <c r="C47" s="86" t="str">
        <f t="shared" ref="C47:C48" si="9">C43</f>
        <v>B2B</v>
      </c>
      <c r="D47" s="87">
        <f t="shared" ref="D47:F48" si="10">D19/D5</f>
        <v>0.21801694529768623</v>
      </c>
      <c r="E47" s="87">
        <f t="shared" si="10"/>
        <v>0</v>
      </c>
      <c r="F47" s="118">
        <f t="shared" si="10"/>
        <v>0</v>
      </c>
      <c r="G47" s="87"/>
    </row>
    <row r="48" spans="2:8" s="83" customFormat="1" x14ac:dyDescent="0.45">
      <c r="C48" s="86" t="str">
        <f t="shared" si="9"/>
        <v>Export</v>
      </c>
      <c r="D48" s="87">
        <f t="shared" si="10"/>
        <v>0.23285180212867429</v>
      </c>
      <c r="E48" s="87">
        <f t="shared" si="10"/>
        <v>0</v>
      </c>
      <c r="F48" s="118">
        <f t="shared" si="10"/>
        <v>0</v>
      </c>
      <c r="G48" s="87"/>
    </row>
  </sheetData>
  <conditionalFormatting sqref="D41:F41">
    <cfRule type="iconSet" priority="2">
      <iconSet>
        <cfvo type="percent" val="0"/>
        <cfvo type="num" val="0.95"/>
        <cfvo type="num" val="1"/>
      </iconSet>
    </cfRule>
  </conditionalFormatting>
  <conditionalFormatting sqref="D45:F45">
    <cfRule type="iconSet" priority="1">
      <iconSet>
        <cfvo type="percent" val="0"/>
        <cfvo type="num" val="0.95"/>
        <cfvo type="num" val="1"/>
      </iconSet>
    </cfRule>
  </conditionalFormatting>
  <conditionalFormatting sqref="D42:G44">
    <cfRule type="iconSet" priority="3">
      <iconSet>
        <cfvo type="percent" val="0"/>
        <cfvo type="num" val="0.95"/>
        <cfvo type="num" val="1"/>
      </iconSet>
    </cfRule>
  </conditionalFormatting>
  <conditionalFormatting sqref="D46:G48">
    <cfRule type="iconSet" priority="4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030D-58D8-416F-B8E5-76E46909A346}">
  <dimension ref="B1:M43"/>
  <sheetViews>
    <sheetView showGridLines="0" zoomScale="90" zoomScaleNormal="90" workbookViewId="0">
      <selection activeCell="N7" sqref="N7"/>
    </sheetView>
  </sheetViews>
  <sheetFormatPr defaultRowHeight="16" x14ac:dyDescent="0.45"/>
  <cols>
    <col min="1" max="1" width="1.90625" customWidth="1"/>
    <col min="2" max="2" width="4.08984375" customWidth="1"/>
    <col min="3" max="3" width="33.36328125" customWidth="1"/>
    <col min="4" max="7" width="10.54296875" bestFit="1" customWidth="1"/>
    <col min="8" max="11" width="9.90625" bestFit="1" customWidth="1"/>
  </cols>
  <sheetData>
    <row r="1" spans="2:13" ht="18" customHeight="1" x14ac:dyDescent="0.45">
      <c r="B1" t="str">
        <f>Daily!B1</f>
        <v>VN</v>
      </c>
    </row>
    <row r="2" spans="2:13" ht="16.5" x14ac:dyDescent="0.45">
      <c r="B2" s="126" t="str">
        <f>IF(B1="EN","PLAN","KẾ HOẠCH")</f>
        <v>KẾ HOẠCH</v>
      </c>
    </row>
    <row r="3" spans="2:13" ht="12.75" customHeight="1" x14ac:dyDescent="0.45">
      <c r="B3" s="9"/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</row>
    <row r="4" spans="2:13" ht="15" customHeight="1" x14ac:dyDescent="0.45">
      <c r="B4" s="4">
        <v>1</v>
      </c>
      <c r="C4" s="5" t="s">
        <v>7</v>
      </c>
      <c r="D4" s="7"/>
      <c r="E4" s="7"/>
      <c r="F4" s="7"/>
      <c r="G4" s="7"/>
      <c r="H4" s="7"/>
      <c r="I4" s="7"/>
      <c r="J4" s="7"/>
      <c r="K4" s="7"/>
    </row>
    <row r="5" spans="2:13" ht="19" customHeight="1" x14ac:dyDescent="0.45">
      <c r="B5" s="2"/>
      <c r="C5" s="127" t="s">
        <v>0</v>
      </c>
      <c r="D5" s="8">
        <v>9485.3262300000006</v>
      </c>
      <c r="E5" s="8">
        <v>52719.863291000001</v>
      </c>
      <c r="F5" s="8">
        <v>296873.54611200001</v>
      </c>
      <c r="G5" s="8">
        <v>166464.44925000001</v>
      </c>
      <c r="H5" s="8">
        <v>505376.74750000006</v>
      </c>
      <c r="I5" s="8">
        <v>1181740.4254999999</v>
      </c>
      <c r="J5" s="8">
        <f>Quarterly!H5</f>
        <v>717092.99888350058</v>
      </c>
      <c r="K5" s="8"/>
      <c r="L5" s="131"/>
      <c r="M5" s="131"/>
    </row>
    <row r="6" spans="2:13" ht="19" customHeight="1" x14ac:dyDescent="0.45">
      <c r="B6" s="2"/>
      <c r="C6" s="3" t="s">
        <v>4</v>
      </c>
      <c r="D6" s="8">
        <v>0</v>
      </c>
      <c r="E6" s="8">
        <v>7774.0614800000003</v>
      </c>
      <c r="F6" s="8">
        <v>184469.08480000001</v>
      </c>
      <c r="G6" s="8">
        <v>557267.61599999992</v>
      </c>
      <c r="H6" s="8">
        <f>922830.885+71270.55</f>
        <v>994101.43500000006</v>
      </c>
      <c r="I6" s="8">
        <v>676438.13400000008</v>
      </c>
      <c r="J6" s="8">
        <f>Quarterly!H6</f>
        <v>953403.91381818173</v>
      </c>
      <c r="K6" s="8"/>
      <c r="L6" s="131"/>
    </row>
    <row r="7" spans="2:13" ht="19" customHeight="1" x14ac:dyDescent="0.45">
      <c r="B7" s="29"/>
      <c r="C7" s="30" t="s">
        <v>5</v>
      </c>
      <c r="D7" s="8"/>
      <c r="E7" s="8"/>
      <c r="F7" s="8">
        <v>113202.48599999999</v>
      </c>
      <c r="G7" s="8">
        <v>171383.61599999998</v>
      </c>
      <c r="H7" s="8">
        <v>81167.5</v>
      </c>
      <c r="I7" s="8">
        <v>140500.5</v>
      </c>
      <c r="J7" s="8">
        <f>Quarterly!H7</f>
        <v>4022.7000000000003</v>
      </c>
      <c r="K7" s="8"/>
    </row>
    <row r="8" spans="2:13" ht="17.25" customHeight="1" thickBot="1" x14ac:dyDescent="0.5">
      <c r="B8" s="70"/>
      <c r="C8" s="71" t="s">
        <v>2</v>
      </c>
      <c r="D8" s="72">
        <f t="shared" ref="D8:J8" si="0">SUM(D5:D7)</f>
        <v>9485.3262300000006</v>
      </c>
      <c r="E8" s="72">
        <f t="shared" si="0"/>
        <v>60493.924771000005</v>
      </c>
      <c r="F8" s="72">
        <f t="shared" si="0"/>
        <v>594545.116912</v>
      </c>
      <c r="G8" s="72">
        <f t="shared" si="0"/>
        <v>895115.68124999991</v>
      </c>
      <c r="H8" s="72">
        <f t="shared" si="0"/>
        <v>1580645.6825000001</v>
      </c>
      <c r="I8" s="72">
        <f t="shared" si="0"/>
        <v>1998679.0595</v>
      </c>
      <c r="J8" s="72">
        <f t="shared" si="0"/>
        <v>1674519.6127016821</v>
      </c>
      <c r="K8" s="72"/>
    </row>
    <row r="9" spans="2:13" s="23" customFormat="1" ht="16.5" thickTop="1" x14ac:dyDescent="0.45">
      <c r="C9" s="68" t="s">
        <v>6</v>
      </c>
      <c r="D9" s="69"/>
      <c r="E9" s="69"/>
      <c r="F9" s="69"/>
      <c r="G9" s="69"/>
      <c r="H9" s="69"/>
      <c r="I9" s="69"/>
      <c r="J9" s="69"/>
      <c r="K9" s="69"/>
    </row>
    <row r="10" spans="2:13" ht="12" customHeight="1" x14ac:dyDescent="0.45">
      <c r="B10" s="9"/>
      <c r="C10" s="9"/>
      <c r="D10" s="1">
        <f t="shared" ref="D10:K10" si="1">D3</f>
        <v>2020</v>
      </c>
      <c r="E10" s="1">
        <f t="shared" si="1"/>
        <v>2021</v>
      </c>
      <c r="F10" s="1">
        <f t="shared" si="1"/>
        <v>2022</v>
      </c>
      <c r="G10" s="1">
        <f t="shared" si="1"/>
        <v>2023</v>
      </c>
      <c r="H10" s="1">
        <f t="shared" si="1"/>
        <v>2024</v>
      </c>
      <c r="I10" s="1">
        <f t="shared" si="1"/>
        <v>2025</v>
      </c>
      <c r="J10" s="1">
        <f t="shared" si="1"/>
        <v>2026</v>
      </c>
      <c r="K10" s="1">
        <f t="shared" si="1"/>
        <v>2027</v>
      </c>
    </row>
    <row r="11" spans="2:13" ht="13.5" customHeight="1" x14ac:dyDescent="0.45">
      <c r="B11" s="4">
        <v>2</v>
      </c>
      <c r="C11" s="5" t="s">
        <v>8</v>
      </c>
      <c r="D11" s="7"/>
      <c r="E11" s="7"/>
      <c r="F11" s="7"/>
      <c r="G11" s="7"/>
      <c r="H11" s="7"/>
      <c r="I11" s="7"/>
      <c r="J11" s="7"/>
      <c r="K11" s="7"/>
    </row>
    <row r="12" spans="2:13" ht="19.5" customHeight="1" x14ac:dyDescent="0.45">
      <c r="B12" s="2"/>
      <c r="C12" s="127" t="s">
        <v>0</v>
      </c>
      <c r="D12" s="8">
        <v>330.67700000000002</v>
      </c>
      <c r="E12" s="8">
        <v>1950.7149999999999</v>
      </c>
      <c r="F12" s="8">
        <v>9938.0800000000017</v>
      </c>
      <c r="G12" s="8">
        <v>4444</v>
      </c>
      <c r="H12" s="8">
        <v>16954.400000000001</v>
      </c>
      <c r="I12" s="8">
        <v>34730.800000000003</v>
      </c>
      <c r="J12" s="8">
        <f>Quarterly!H12</f>
        <v>23862.100002186722</v>
      </c>
      <c r="K12" s="8"/>
    </row>
    <row r="13" spans="2:13" ht="19.5" customHeight="1" x14ac:dyDescent="0.45">
      <c r="B13" s="2"/>
      <c r="C13" s="3" t="s">
        <v>4</v>
      </c>
      <c r="D13" s="8"/>
      <c r="E13" s="8">
        <v>188.87</v>
      </c>
      <c r="F13" s="8">
        <v>6062</v>
      </c>
      <c r="G13" s="8">
        <v>16318.8</v>
      </c>
      <c r="H13" s="8">
        <v>30488</v>
      </c>
      <c r="I13" s="8">
        <v>21220.2</v>
      </c>
      <c r="J13" s="8">
        <f>Quarterly!H13</f>
        <v>31005.9</v>
      </c>
      <c r="K13" s="8"/>
    </row>
    <row r="14" spans="2:13" ht="19.5" customHeight="1" x14ac:dyDescent="0.45">
      <c r="B14" s="2"/>
      <c r="C14" s="3" t="s">
        <v>5</v>
      </c>
      <c r="D14" s="8"/>
      <c r="E14" s="8"/>
      <c r="F14" s="8">
        <v>0</v>
      </c>
      <c r="G14" s="8">
        <v>5336.7999999999993</v>
      </c>
      <c r="H14" s="8">
        <v>2558</v>
      </c>
      <c r="I14" s="8">
        <v>4049</v>
      </c>
      <c r="J14" s="8">
        <f>Quarterly!H14</f>
        <v>132</v>
      </c>
      <c r="K14" s="8"/>
    </row>
    <row r="15" spans="2:13" ht="15.75" customHeight="1" thickBot="1" x14ac:dyDescent="0.5">
      <c r="B15" s="70"/>
      <c r="C15" s="71" t="s">
        <v>2</v>
      </c>
      <c r="D15" s="72">
        <f t="shared" ref="D15:J15" si="2">SUM(D12:D14)</f>
        <v>330.67700000000002</v>
      </c>
      <c r="E15" s="72">
        <f t="shared" si="2"/>
        <v>2139.585</v>
      </c>
      <c r="F15" s="72">
        <f t="shared" si="2"/>
        <v>16000.080000000002</v>
      </c>
      <c r="G15" s="72">
        <f t="shared" si="2"/>
        <v>26099.599999999999</v>
      </c>
      <c r="H15" s="72">
        <f t="shared" si="2"/>
        <v>50000.4</v>
      </c>
      <c r="I15" s="72">
        <f t="shared" si="2"/>
        <v>60000</v>
      </c>
      <c r="J15" s="72">
        <f t="shared" si="2"/>
        <v>55000.000002186724</v>
      </c>
      <c r="K15" s="72"/>
    </row>
    <row r="16" spans="2:13" ht="8.25" customHeight="1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</row>
    <row r="17" spans="2:12" x14ac:dyDescent="0.45">
      <c r="B17" s="33" t="str">
        <f>IF(B1="EN","ACTUAL","THỰC TẾ")</f>
        <v>THỰC TẾ</v>
      </c>
      <c r="C17" s="37"/>
      <c r="D17" s="34"/>
      <c r="E17" s="34"/>
      <c r="F17" s="34"/>
      <c r="G17" s="34"/>
      <c r="H17" s="34"/>
      <c r="I17" s="34"/>
      <c r="J17" s="34"/>
      <c r="K17" s="34"/>
    </row>
    <row r="18" spans="2:12" ht="12.75" customHeight="1" x14ac:dyDescent="0.45">
      <c r="B18" s="9"/>
      <c r="C18" s="9"/>
      <c r="D18" s="91">
        <f>D10</f>
        <v>2020</v>
      </c>
      <c r="E18" s="91">
        <f>E10</f>
        <v>2021</v>
      </c>
      <c r="F18" s="91">
        <v>2022</v>
      </c>
      <c r="G18" s="91">
        <v>2023</v>
      </c>
      <c r="H18" s="91">
        <v>2024</v>
      </c>
      <c r="I18" s="91">
        <v>2025</v>
      </c>
      <c r="J18" s="92">
        <v>2026</v>
      </c>
      <c r="K18" s="92">
        <v>2027</v>
      </c>
    </row>
    <row r="19" spans="2:12" ht="12.75" customHeight="1" x14ac:dyDescent="0.45">
      <c r="B19" s="6">
        <v>3</v>
      </c>
      <c r="C19" s="63" t="s">
        <v>25</v>
      </c>
      <c r="D19" s="8"/>
      <c r="E19" s="8"/>
      <c r="F19" s="8"/>
      <c r="G19" s="8"/>
      <c r="H19" s="8"/>
      <c r="I19" s="8"/>
      <c r="J19" s="8"/>
      <c r="K19" s="8"/>
    </row>
    <row r="20" spans="2:12" ht="21.5" customHeight="1" x14ac:dyDescent="0.45">
      <c r="B20" s="2"/>
      <c r="C20" s="3" t="s">
        <v>0</v>
      </c>
      <c r="D20" s="8">
        <v>9485.3262300000006</v>
      </c>
      <c r="E20" s="8">
        <v>52719.863291000001</v>
      </c>
      <c r="F20" s="8">
        <v>165810.98415900001</v>
      </c>
      <c r="G20" s="8">
        <v>241992.50999999998</v>
      </c>
      <c r="H20" s="8">
        <v>419702.11005023995</v>
      </c>
      <c r="I20" s="8">
        <v>485417.63870000001</v>
      </c>
      <c r="J20" s="8">
        <f>Quarterly!H19</f>
        <v>38113.06</v>
      </c>
      <c r="K20" s="8"/>
    </row>
    <row r="21" spans="2:12" ht="21.5" customHeight="1" x14ac:dyDescent="0.45">
      <c r="B21" s="2"/>
      <c r="C21" s="3" t="s">
        <v>4</v>
      </c>
      <c r="D21" s="8">
        <v>0</v>
      </c>
      <c r="E21" s="8">
        <v>7774.0614800000003</v>
      </c>
      <c r="F21" s="8">
        <v>147304.82248800001</v>
      </c>
      <c r="G21" s="8">
        <v>368221.91</v>
      </c>
      <c r="H21" s="8">
        <v>564674.37</v>
      </c>
      <c r="I21" s="8">
        <v>885448.93</v>
      </c>
      <c r="J21" s="8">
        <f>Quarterly!H20</f>
        <v>53472.090000000011</v>
      </c>
      <c r="K21" s="8"/>
    </row>
    <row r="22" spans="2:12" ht="21.5" customHeight="1" x14ac:dyDescent="0.45">
      <c r="B22" s="29"/>
      <c r="C22" s="30" t="s">
        <v>5</v>
      </c>
      <c r="D22" s="8"/>
      <c r="E22" s="8"/>
      <c r="F22" s="8">
        <v>16732.770000000004</v>
      </c>
      <c r="G22" s="8">
        <v>65830.48000000001</v>
      </c>
      <c r="H22" s="8">
        <v>102033.41199999998</v>
      </c>
      <c r="I22" s="8">
        <v>107237.70700000001</v>
      </c>
      <c r="J22" s="8">
        <f>Quarterly!H21</f>
        <v>14744.419999999998</v>
      </c>
      <c r="K22" s="8"/>
    </row>
    <row r="23" spans="2:12" ht="16.5" customHeight="1" thickBot="1" x14ac:dyDescent="0.5">
      <c r="B23" s="73"/>
      <c r="C23" s="74" t="s">
        <v>2</v>
      </c>
      <c r="D23" s="75">
        <f t="shared" ref="D23:J23" si="3">SUM(D20:D22)</f>
        <v>9485.3262300000006</v>
      </c>
      <c r="E23" s="75">
        <f t="shared" si="3"/>
        <v>60493.924771000005</v>
      </c>
      <c r="F23" s="75">
        <f t="shared" si="3"/>
        <v>329848.57664700004</v>
      </c>
      <c r="G23" s="75">
        <f t="shared" si="3"/>
        <v>676044.89999999991</v>
      </c>
      <c r="H23" s="75">
        <f t="shared" si="3"/>
        <v>1086409.89205024</v>
      </c>
      <c r="I23" s="75">
        <f t="shared" si="3"/>
        <v>1478104.2757000001</v>
      </c>
      <c r="J23" s="75">
        <f t="shared" si="3"/>
        <v>106329.57</v>
      </c>
      <c r="K23" s="75"/>
    </row>
    <row r="24" spans="2:12" ht="16.5" thickTop="1" x14ac:dyDescent="0.45">
      <c r="B24" s="33"/>
      <c r="C24" s="37"/>
      <c r="D24" s="34"/>
      <c r="E24" s="34"/>
      <c r="F24" s="34"/>
      <c r="G24" s="34"/>
      <c r="H24" s="34"/>
      <c r="I24" s="34"/>
      <c r="J24" s="34"/>
      <c r="K24" s="34"/>
    </row>
    <row r="25" spans="2:12" ht="12.75" customHeight="1" x14ac:dyDescent="0.45">
      <c r="B25" s="9"/>
      <c r="C25" s="9"/>
      <c r="D25" s="91">
        <f t="shared" ref="D25:K25" si="4">D18</f>
        <v>2020</v>
      </c>
      <c r="E25" s="91">
        <f t="shared" si="4"/>
        <v>2021</v>
      </c>
      <c r="F25" s="91">
        <f t="shared" si="4"/>
        <v>2022</v>
      </c>
      <c r="G25" s="91">
        <f t="shared" si="4"/>
        <v>2023</v>
      </c>
      <c r="H25" s="91">
        <f t="shared" si="4"/>
        <v>2024</v>
      </c>
      <c r="I25" s="91">
        <f t="shared" si="4"/>
        <v>2025</v>
      </c>
      <c r="J25" s="92">
        <f t="shared" si="4"/>
        <v>2026</v>
      </c>
      <c r="K25" s="92">
        <f t="shared" si="4"/>
        <v>2027</v>
      </c>
    </row>
    <row r="26" spans="2:12" ht="12.75" customHeight="1" x14ac:dyDescent="0.45">
      <c r="B26" s="4">
        <v>4</v>
      </c>
      <c r="C26" s="62" t="s">
        <v>26</v>
      </c>
      <c r="D26" s="7"/>
      <c r="E26" s="7"/>
      <c r="F26" s="7"/>
      <c r="G26" s="7"/>
      <c r="H26" s="7"/>
      <c r="I26" s="7"/>
      <c r="J26" s="7"/>
      <c r="K26" s="7"/>
    </row>
    <row r="27" spans="2:12" ht="20.5" customHeight="1" x14ac:dyDescent="0.45">
      <c r="B27" s="2"/>
      <c r="C27" s="3" t="s">
        <v>0</v>
      </c>
      <c r="D27" s="8">
        <v>330.67700000000002</v>
      </c>
      <c r="E27" s="8">
        <v>1950.7149999999999</v>
      </c>
      <c r="F27" s="8">
        <v>5241.2800000000007</v>
      </c>
      <c r="G27" s="8">
        <v>7320.0899999999992</v>
      </c>
      <c r="H27" s="8">
        <v>12203.012999999999</v>
      </c>
      <c r="I27" s="8">
        <v>15774.625</v>
      </c>
      <c r="J27" s="8">
        <f>Quarterly!H26</f>
        <v>1166.6699999999998</v>
      </c>
      <c r="K27" s="8"/>
    </row>
    <row r="28" spans="2:12" ht="20.5" customHeight="1" x14ac:dyDescent="0.45">
      <c r="B28" s="2"/>
      <c r="C28" s="3" t="s">
        <v>4</v>
      </c>
      <c r="D28" s="8"/>
      <c r="E28" s="8">
        <v>188.87</v>
      </c>
      <c r="F28" s="8">
        <v>4237.1000000000004</v>
      </c>
      <c r="G28" s="8">
        <v>12370.74</v>
      </c>
      <c r="H28" s="8">
        <v>19756.080000000002</v>
      </c>
      <c r="I28" s="8">
        <v>28090.080000000002</v>
      </c>
      <c r="J28" s="8">
        <f>Quarterly!H27</f>
        <v>1893</v>
      </c>
      <c r="K28" s="8"/>
    </row>
    <row r="29" spans="2:12" ht="20.5" customHeight="1" x14ac:dyDescent="0.45">
      <c r="B29" s="29"/>
      <c r="C29" s="30" t="s">
        <v>5</v>
      </c>
      <c r="D29" s="8"/>
      <c r="E29" s="8"/>
      <c r="F29" s="8">
        <v>329.53</v>
      </c>
      <c r="G29" s="8">
        <v>1657.98</v>
      </c>
      <c r="H29" s="8">
        <v>3014.0640000000003</v>
      </c>
      <c r="I29" s="8">
        <v>3298.62</v>
      </c>
      <c r="J29" s="8">
        <f>Quarterly!H28</f>
        <v>453.31</v>
      </c>
      <c r="K29" s="8"/>
    </row>
    <row r="30" spans="2:12" ht="16.5" customHeight="1" thickBot="1" x14ac:dyDescent="0.5">
      <c r="B30" s="70"/>
      <c r="C30" s="71" t="s">
        <v>2</v>
      </c>
      <c r="D30" s="75">
        <f t="shared" ref="D30:J30" si="5">SUM(D27:D29)</f>
        <v>330.67700000000002</v>
      </c>
      <c r="E30" s="75">
        <f t="shared" si="5"/>
        <v>2139.585</v>
      </c>
      <c r="F30" s="75">
        <f t="shared" si="5"/>
        <v>9807.9100000000017</v>
      </c>
      <c r="G30" s="75">
        <f t="shared" si="5"/>
        <v>21348.809999999998</v>
      </c>
      <c r="H30" s="75">
        <f t="shared" si="5"/>
        <v>34973.156999999999</v>
      </c>
      <c r="I30" s="75">
        <f t="shared" si="5"/>
        <v>47163.325000000004</v>
      </c>
      <c r="J30" s="75">
        <f t="shared" si="5"/>
        <v>3512.98</v>
      </c>
      <c r="K30" s="75"/>
      <c r="L30" s="79"/>
    </row>
    <row r="31" spans="2:12" ht="16.5" thickTop="1" x14ac:dyDescent="0.45">
      <c r="B31" s="33"/>
      <c r="C31" s="37"/>
      <c r="D31" s="34"/>
      <c r="E31" s="34"/>
      <c r="F31" s="34"/>
      <c r="G31" s="34"/>
      <c r="H31" s="34"/>
      <c r="I31" s="34"/>
      <c r="J31" s="34"/>
      <c r="K31" s="34"/>
    </row>
    <row r="32" spans="2:12" x14ac:dyDescent="0.45">
      <c r="B32" s="9"/>
      <c r="C32" s="9"/>
      <c r="D32" s="91">
        <f t="shared" ref="D32:K32" si="6">D25</f>
        <v>2020</v>
      </c>
      <c r="E32" s="91">
        <f t="shared" si="6"/>
        <v>2021</v>
      </c>
      <c r="F32" s="91">
        <f t="shared" si="6"/>
        <v>2022</v>
      </c>
      <c r="G32" s="91">
        <f t="shared" si="6"/>
        <v>2023</v>
      </c>
      <c r="H32" s="91">
        <f t="shared" si="6"/>
        <v>2024</v>
      </c>
      <c r="I32" s="91">
        <f t="shared" si="6"/>
        <v>2025</v>
      </c>
      <c r="J32" s="92">
        <f t="shared" si="6"/>
        <v>2026</v>
      </c>
      <c r="K32" s="92">
        <f t="shared" si="6"/>
        <v>2027</v>
      </c>
    </row>
    <row r="33" spans="2:11" ht="12.75" customHeight="1" x14ac:dyDescent="0.45">
      <c r="B33" s="4">
        <v>5</v>
      </c>
      <c r="C33" s="62" t="s">
        <v>27</v>
      </c>
      <c r="D33" s="7"/>
      <c r="E33" s="7"/>
      <c r="F33" s="7"/>
      <c r="G33" s="7"/>
      <c r="H33" s="7"/>
      <c r="I33" s="7"/>
      <c r="J33" s="7"/>
      <c r="K33" s="7"/>
    </row>
    <row r="34" spans="2:11" ht="19" customHeight="1" x14ac:dyDescent="0.45">
      <c r="B34" s="2"/>
      <c r="C34" s="3" t="s">
        <v>0</v>
      </c>
      <c r="D34" s="58">
        <f t="shared" ref="D34:F36" si="7">IFERROR(D20/D27," ")</f>
        <v>28.684565996425516</v>
      </c>
      <c r="E34" s="58">
        <f t="shared" si="7"/>
        <v>27.025917825515261</v>
      </c>
      <c r="F34" s="58">
        <f t="shared" si="7"/>
        <v>31.635589809931925</v>
      </c>
      <c r="G34" s="58">
        <f t="shared" ref="G34" si="8">IFERROR(G20/G27," ")</f>
        <v>33.058679606398286</v>
      </c>
      <c r="H34" s="58">
        <v>34.393318277235302</v>
      </c>
      <c r="I34" s="58">
        <f>IFERROR(I20/I27," ")</f>
        <v>30.772055671687916</v>
      </c>
      <c r="J34" s="58">
        <f>IFERROR(J20/J27," ")</f>
        <v>32.668243805017703</v>
      </c>
      <c r="K34" s="58"/>
    </row>
    <row r="35" spans="2:11" ht="19" customHeight="1" x14ac:dyDescent="0.45">
      <c r="B35" s="2"/>
      <c r="C35" s="3" t="s">
        <v>4</v>
      </c>
      <c r="D35" s="58" t="str">
        <f t="shared" si="7"/>
        <v xml:space="preserve"> </v>
      </c>
      <c r="E35" s="58">
        <f t="shared" si="7"/>
        <v>41.160912161804418</v>
      </c>
      <c r="F35" s="58">
        <f t="shared" si="7"/>
        <v>34.765481694555234</v>
      </c>
      <c r="G35" s="58">
        <f t="shared" ref="G35:I36" si="9">IFERROR(G21/G28," ")</f>
        <v>29.765552424511387</v>
      </c>
      <c r="H35" s="58">
        <v>28.582308332422219</v>
      </c>
      <c r="I35" s="58">
        <f t="shared" ref="I35:J35" si="10">IFERROR(I21/I28," ")</f>
        <v>31.521766046946109</v>
      </c>
      <c r="J35" s="58">
        <f t="shared" si="10"/>
        <v>28.247274167987328</v>
      </c>
      <c r="K35" s="58"/>
    </row>
    <row r="36" spans="2:11" ht="19" customHeight="1" x14ac:dyDescent="0.45">
      <c r="B36" s="29"/>
      <c r="C36" s="30" t="s">
        <v>5</v>
      </c>
      <c r="D36" s="58" t="str">
        <f t="shared" si="7"/>
        <v xml:space="preserve"> </v>
      </c>
      <c r="E36" s="58" t="str">
        <f t="shared" si="7"/>
        <v xml:space="preserve"> </v>
      </c>
      <c r="F36" s="58">
        <f t="shared" si="7"/>
        <v>50.77768336722</v>
      </c>
      <c r="G36" s="58">
        <f t="shared" si="9"/>
        <v>39.705231667450761</v>
      </c>
      <c r="H36" s="58">
        <v>33.852437108170221</v>
      </c>
      <c r="I36" s="58">
        <f t="shared" si="9"/>
        <v>32.509869884982209</v>
      </c>
      <c r="J36" s="58">
        <f t="shared" ref="J36" si="11">IFERROR(J22/J29," ")</f>
        <v>32.526130021398153</v>
      </c>
      <c r="K36" s="58"/>
    </row>
    <row r="37" spans="2:11" ht="15.75" customHeight="1" thickBot="1" x14ac:dyDescent="0.5">
      <c r="B37" s="70"/>
      <c r="C37" s="71" t="s">
        <v>2</v>
      </c>
      <c r="D37" s="77">
        <f t="shared" ref="D37:I37" si="12">D23/D30</f>
        <v>28.684565996425516</v>
      </c>
      <c r="E37" s="77">
        <f t="shared" si="12"/>
        <v>28.27367212379971</v>
      </c>
      <c r="F37" s="77">
        <f t="shared" si="12"/>
        <v>33.630873106196937</v>
      </c>
      <c r="G37" s="77">
        <f t="shared" si="12"/>
        <v>31.666631535902937</v>
      </c>
      <c r="H37" s="77">
        <f t="shared" si="12"/>
        <v>31.064107025003203</v>
      </c>
      <c r="I37" s="77">
        <f t="shared" si="12"/>
        <v>31.340120224772107</v>
      </c>
      <c r="J37" s="77">
        <f t="shared" ref="J37" si="13">J23/J30</f>
        <v>30.267627484358012</v>
      </c>
      <c r="K37" s="77"/>
    </row>
    <row r="38" spans="2:11" s="50" customFormat="1" ht="16.5" thickTop="1" x14ac:dyDescent="0.45">
      <c r="B38" s="59"/>
      <c r="C38" s="60"/>
      <c r="D38" s="61"/>
      <c r="E38" s="61"/>
      <c r="F38" s="61"/>
      <c r="G38" s="61"/>
      <c r="H38" s="61"/>
      <c r="I38" s="61"/>
      <c r="J38" s="61"/>
      <c r="K38" s="61"/>
    </row>
    <row r="39" spans="2:11" s="83" customFormat="1" x14ac:dyDescent="0.45">
      <c r="C39" s="81" t="s">
        <v>40</v>
      </c>
      <c r="D39" s="82"/>
      <c r="E39" s="82">
        <f t="shared" ref="E39:G39" si="14">E23/D23-1</f>
        <v>5.3776324929838495</v>
      </c>
      <c r="F39" s="82">
        <f t="shared" si="14"/>
        <v>4.4525901219939543</v>
      </c>
      <c r="G39" s="82">
        <f t="shared" si="14"/>
        <v>1.0495613680440252</v>
      </c>
      <c r="H39" s="82"/>
      <c r="I39" s="82"/>
      <c r="J39" s="82"/>
      <c r="K39" s="82"/>
    </row>
    <row r="40" spans="2:11" s="85" customFormat="1" x14ac:dyDescent="0.45">
      <c r="C40" s="86" t="s">
        <v>1</v>
      </c>
      <c r="D40" s="86"/>
      <c r="E40" s="86" t="str">
        <f>IFERROR(#REF!/#REF!-1," ")</f>
        <v xml:space="preserve"> </v>
      </c>
      <c r="F40" s="86" t="str">
        <f>IFERROR(#REF!/#REF!-1," ")</f>
        <v xml:space="preserve"> </v>
      </c>
      <c r="G40" s="86"/>
      <c r="H40" s="86"/>
      <c r="I40" s="86"/>
      <c r="J40" s="86"/>
      <c r="K40" s="86"/>
    </row>
    <row r="41" spans="2:11" s="85" customFormat="1" x14ac:dyDescent="0.45">
      <c r="C41" s="86" t="s">
        <v>0</v>
      </c>
      <c r="D41" s="86"/>
      <c r="E41" s="86">
        <f t="shared" ref="E41:G42" si="15">E20/D20-1</f>
        <v>4.558044289953747</v>
      </c>
      <c r="F41" s="86">
        <f t="shared" si="15"/>
        <v>2.1451330448974479</v>
      </c>
      <c r="G41" s="86">
        <f t="shared" si="15"/>
        <v>0.45944800477119019</v>
      </c>
      <c r="H41" s="86"/>
      <c r="I41" s="86"/>
      <c r="J41" s="86"/>
      <c r="K41" s="86"/>
    </row>
    <row r="42" spans="2:11" s="85" customFormat="1" x14ac:dyDescent="0.45">
      <c r="C42" s="86" t="s">
        <v>4</v>
      </c>
      <c r="D42" s="86"/>
      <c r="E42" s="86" t="str">
        <f>IFERROR(E21/D21-1," ")</f>
        <v xml:space="preserve"> </v>
      </c>
      <c r="F42" s="86">
        <f t="shared" si="15"/>
        <v>17.948245118329062</v>
      </c>
      <c r="G42" s="86">
        <f t="shared" si="15"/>
        <v>1.4997274616042979</v>
      </c>
      <c r="H42" s="86"/>
      <c r="I42" s="86"/>
      <c r="J42" s="86"/>
      <c r="K42" s="86"/>
    </row>
    <row r="43" spans="2:11" x14ac:dyDescent="0.45">
      <c r="C43" s="86"/>
      <c r="D43" s="86"/>
      <c r="E43" s="86"/>
      <c r="F43" s="86"/>
      <c r="G43" s="86"/>
      <c r="H43" s="86"/>
      <c r="I43" s="86"/>
      <c r="J43" s="86"/>
      <c r="K43" s="8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Doanh thu và sản lượng bán</vt:lpstr>
      <vt:lpstr>Weekly</vt:lpstr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Hiep, Le Van</dc:creator>
  <cp:lastModifiedBy>Diễm, Nguyễn Thị Thanh</cp:lastModifiedBy>
  <dcterms:created xsi:type="dcterms:W3CDTF">2021-08-04T14:46:04Z</dcterms:created>
  <dcterms:modified xsi:type="dcterms:W3CDTF">2026-02-09T03:01:00Z</dcterms:modified>
</cp:coreProperties>
</file>