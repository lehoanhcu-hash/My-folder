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quoccuong_duytanrecycling_com/Documents/"/>
    </mc:Choice>
  </mc:AlternateContent>
  <xr:revisionPtr revIDLastSave="135" documentId="8_{8E1BE5E1-82A4-47B7-8A7E-44AB55DC57EB}" xr6:coauthVersionLast="47" xr6:coauthVersionMax="47" xr10:uidLastSave="{93BA289B-BEF2-4F73-ACBB-B18977DCC504}"/>
  <bookViews>
    <workbookView xWindow="9510" yWindow="-90" windowWidth="19380" windowHeight="10980" xr2:uid="{2F085ED0-C3D1-448E-8D95-4FF526C14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<sst xmlns="http://schemas.openxmlformats.org/spreadsheetml/2006/main" count="47" uniqueCount="47">
  <si>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Giá đã duyệt 2026</t>
  </si>
  <si>
    <t>Sản lượng 6.000 tấn</t>
  </si>
  <si>
    <t>vPET</t>
  </si>
  <si>
    <t>SAP code</t>
  </si>
  <si>
    <t>Sản phẩm</t>
  </si>
  <si>
    <t>ICIS 
Hạt nhựa Đông Nam Á</t>
  </si>
  <si>
    <t>1200 
( chưa trừ rebate và EPR)</t>
  </si>
  <si>
    <t>1375 
( Không rebate)</t>
  </si>
  <si>
    <t>1200$/mt</t>
  </si>
  <si>
    <t>+ Rebate</t>
  </si>
  <si>
    <t>Hỗ trợ EPR ( bằng sản lượng mua thực tế)</t>
  </si>
  <si>
    <t>≥ 3,000 MT: 1%</t>
  </si>
  <si>
    <t>≥ 4,000 MT: 2%</t>
  </si>
  <si>
    <t>≥ 5,000 MT: 5%</t>
  </si>
  <si>
    <t>≥ 6,000 MT: 6%</t>
  </si>
  <si>
    <t>Giá Suntory đã duyệt</t>
  </si>
  <si>
    <t>Giá vPET</t>
  </si>
  <si>
    <t>Giá ICIS</t>
  </si>
  <si>
    <t>Q1</t>
  </si>
  <si>
    <t>Q2</t>
  </si>
  <si>
    <t>Q3</t>
  </si>
  <si>
    <t>Q4</t>
  </si>
  <si>
    <t>Giá đề xuất</t>
  </si>
  <si>
    <t>Giá tháng DTR</t>
  </si>
  <si>
    <t>Đề xuất giá bán Suntory cho phần sản lượng mới</t>
  </si>
  <si>
    <t>Giá  DTR bán tháng 4</t>
  </si>
  <si>
    <t>Giá đã duyệt 2026
Sản lượng 6.000 tấn
$/mt</t>
  </si>
  <si>
    <t>NOTE
Giá KTQT đề xuất cho sản lượng thêm
(*)</t>
  </si>
  <si>
    <t>ISS01084G IV0.84 
Sản lượng thêm 1500-4500</t>
  </si>
  <si>
    <r>
      <t xml:space="preserve">Giá KTQT đề xuất cho sản lượng thêm
1500-4500
$/mt
</t>
    </r>
    <r>
      <rPr>
        <b/>
        <sz val="18"/>
        <color rgb="FFFF0000"/>
        <rFont val="Arial"/>
        <family val="2"/>
      </rPr>
      <t>(*)</t>
    </r>
  </si>
  <si>
    <t>1053 
( sau trừ rebate và EPR)</t>
  </si>
  <si>
    <t>1270
( sau trừ rebate và EPR)
KTQT xác nhận</t>
  </si>
  <si>
    <t>Giá sau rebate và trừ EPR
1. Cao hơn nguyên sinh 11%
2. Cao hơn 20,6% so với giá đã duyệt cho sản lượng 6.000 tấn
3. Thấp hơn ICIS 3%
4. Thấp hơn 7% so với giá tháng</t>
  </si>
  <si>
    <t xml:space="preserve">Lượng hàng 0,84 </t>
  </si>
  <si>
    <t>Bán Suntory</t>
  </si>
  <si>
    <t>Cocacola</t>
  </si>
  <si>
    <t>Ravago</t>
  </si>
  <si>
    <t>500 tấn/ năm</t>
  </si>
  <si>
    <t>700 tấn/ năm</t>
  </si>
  <si>
    <t>12.000 tấn/ năm</t>
  </si>
  <si>
    <t>6000 tấn/ năm</t>
  </si>
  <si>
    <t>Tổng công suất</t>
  </si>
  <si>
    <t>Sản lượng Suntory thêm</t>
  </si>
  <si>
    <t>Công suất dư</t>
  </si>
  <si>
    <t>5000 tấn/ năm</t>
  </si>
  <si>
    <t>Trong 2026 sẽ tính 7.700</t>
  </si>
  <si>
    <t>1500-4500 tấn/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</si>
</sst>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8"/>
      <color rgb="FF0000CC"/>
      <name val="Arial"/>
      <family val="2"/>
    </font>
    <font>
      <b/>
      <sz val="18"/>
      <color rgb="FF0000CC"/>
      <name val="Arial"/>
      <family val="2"/>
    </font>
    <font>
      <sz val="18"/>
      <color rgb="FF0000FF"/>
      <name val="Aptos Narrow"/>
      <family val="2"/>
      <scheme val="minor"/>
    </font>
    <font>
      <b/>
      <sz val="18"/>
      <color rgb="FF0000FF"/>
      <name val="Aptos Narrow"/>
      <family val="2"/>
      <scheme val="minor"/>
    </font>
    <font>
      <b/>
      <i/>
      <sz val="18"/>
      <color rgb="FF0000FF"/>
      <name val="Aptos Narrow"/>
      <family val="2"/>
      <scheme val="minor"/>
    </font>
    <font>
      <b/>
      <sz val="18"/>
      <color rgb="FFFF0000"/>
      <name val="Arial"/>
      <family val="2"/>
    </font>
    <font>
      <sz val="18"/>
      <color rgb="FFFF0000"/>
      <name val="Arial"/>
      <family val="2"/>
    </font>
    <font>
      <sz val="16"/>
      <color rgb="FF0000FF"/>
      <name val="Times New Roman"/>
      <family val="1"/>
    </font>
    <font>
      <sz val="12"/>
      <color rgb="FF0000FF"/>
      <name val="Aptos Narrow"/>
      <family val="2"/>
      <scheme val="minor"/>
    </font>
    <font>
      <sz val="16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2" fillId="0" borderId="4" xfId="0" applyFont="1" applyBorder="1" applyAlignment="1">
      <alignment horizontal="left" vertical="center"/>
    </xf>
    <xf numFmtId="0" fontId="5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 BÁN XUẤT XƯỞNG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Sheet1!$F$31</c:f>
              <c:strCache>
                <c:ptCount val="1"/>
                <c:pt idx="0">
                  <c:v>Giá Suntory đã duyệt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Sheet1!$E$32:$E$35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Sheet1!$F$32:$F$35</c:f>
              <c:numCache>
                <c:formatCode>General</c:formatCode>
                <c:ptCount val="4"/>
                <c:pt idx="0">
                  <c:v>1053</c:v>
                </c:pt>
                <c:pt idx="1">
                  <c:v>1053</c:v>
                </c:pt>
                <c:pt idx="2">
                  <c:v>1053</c:v>
                </c:pt>
                <c:pt idx="3">
                  <c:v>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C-47EB-9A32-42AB7D6F25C0}"/>
            </c:ext>
          </c:extLst>
        </c:ser>
        <c:ser>
          <c:idx val="1"/>
          <c:order val="1"/>
          <c:tx>
            <c:strRef>
              <c:f>Sheet1!$G$31</c:f>
              <c:strCache>
                <c:ptCount val="1"/>
                <c:pt idx="0">
                  <c:v>Giá vPET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Sheet1!$E$32:$E$35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Sheet1!$G$32:$G$35</c:f>
              <c:numCache>
                <c:formatCode>General</c:formatCode>
                <c:ptCount val="4"/>
                <c:pt idx="0">
                  <c:v>1140</c:v>
                </c:pt>
                <c:pt idx="1">
                  <c:v>1140</c:v>
                </c:pt>
                <c:pt idx="2">
                  <c:v>1140</c:v>
                </c:pt>
                <c:pt idx="3">
                  <c:v>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8C-47EB-9A32-42AB7D6F25C0}"/>
            </c:ext>
          </c:extLst>
        </c:ser>
        <c:ser>
          <c:idx val="2"/>
          <c:order val="2"/>
          <c:tx>
            <c:strRef>
              <c:f>Sheet1!$H$31</c:f>
              <c:strCache>
                <c:ptCount val="1"/>
                <c:pt idx="0">
                  <c:v>Giá ICIS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Sheet1!$E$32:$E$35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Sheet1!$H$32:$H$35</c:f>
              <c:numCache>
                <c:formatCode>General</c:formatCode>
                <c:ptCount val="4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8C-47EB-9A32-42AB7D6F25C0}"/>
            </c:ext>
          </c:extLst>
        </c:ser>
        <c:ser>
          <c:idx val="3"/>
          <c:order val="3"/>
          <c:tx>
            <c:strRef>
              <c:f>Sheet1!$I$31</c:f>
              <c:strCache>
                <c:ptCount val="1"/>
                <c:pt idx="0">
                  <c:v>Giá đề xuất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Sheet1!$E$32:$E$35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Sheet1!$I$32:$I$35</c:f>
              <c:numCache>
                <c:formatCode>General</c:formatCode>
                <c:ptCount val="4"/>
                <c:pt idx="0">
                  <c:v>1375</c:v>
                </c:pt>
                <c:pt idx="1">
                  <c:v>1375</c:v>
                </c:pt>
                <c:pt idx="2">
                  <c:v>1375</c:v>
                </c:pt>
                <c:pt idx="3">
                  <c:v>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8C-47EB-9A32-42AB7D6F25C0}"/>
            </c:ext>
          </c:extLst>
        </c:ser>
        <c:ser>
          <c:idx val="4"/>
          <c:order val="4"/>
          <c:tx>
            <c:strRef>
              <c:f>Sheet1!$J$31</c:f>
              <c:strCache>
                <c:ptCount val="1"/>
                <c:pt idx="0">
                  <c:v>Giá tháng DTR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Sheet1!$E$32:$E$35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Sheet1!$J$32:$J$35</c:f>
              <c:numCache>
                <c:formatCode>General</c:formatCode>
                <c:ptCount val="4"/>
                <c:pt idx="0">
                  <c:v>1370</c:v>
                </c:pt>
                <c:pt idx="1">
                  <c:v>1370</c:v>
                </c:pt>
                <c:pt idx="2">
                  <c:v>1370</c:v>
                </c:pt>
                <c:pt idx="3">
                  <c:v>1370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8C-47EB-9A32-42AB7D6F25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4691103"/>
        <c:axId val="1354688223"/>
      </c:lineChart>
      <c:catAx>
        <c:axId val="13546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688223"/>
        <c:crosses val="autoZero"/>
        <c:auto val="1"/>
        <c:lblAlgn val="ctr"/>
        <c:lblOffset val="100"/>
        <c:noMultiLvlLbl val="0"/>
      </c:catAx>
      <c:valAx>
        <c:axId val="1354688223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6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rgbClr val="0000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62411</xdr:colOff>
      <xdr:row>5</xdr:row>
      <xdr:rowOff>17417</xdr:rowOff>
    </xdr:from>
    <xdr:to>
      <xdr:col>8</xdr:col>
      <xdr:colOff>3533321</xdr:colOff>
      <xdr:row>29</xdr:row>
      <xdr:rowOff>68035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A3D856-C880-50AB-9B54-A213B7D2C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9558-B712-443D-B67B-FF16F50C8AC9}">
  <dimension ref="B1:J35"/>
  <sheetViews>
    <sheetView tabSelected="1" zoomScale="70" zoomScaleNormal="70" workbookViewId="0">
      <selection activeCell="I1" sqref="I1:I1048576"/>
    </sheetView>
  </sheetViews>
  <sheetFormatPr defaultRowHeight="15" x14ac:dyDescent="0.25"/>
  <cols>
    <col min="1" max="1" width="2.5703125" customWidth="1"/>
    <col min="2" max="2" width="27" customWidth="1"/>
    <col min="3" max="3" width="26" customWidth="1"/>
    <col min="4" max="4" width="42.85546875" customWidth="1"/>
    <col min="5" max="5" width="46" customWidth="1"/>
    <col min="6" max="6" width="26.5703125" customWidth="1"/>
    <col min="7" max="7" width="16" customWidth="1"/>
    <col min="8" max="8" width="17.28515625" customWidth="1"/>
    <col min="9" max="9" width="48" customWidth="1"/>
  </cols>
  <sheetData>
    <row r="1" spans="2:9" ht="23.25" x14ac:dyDescent="0.25">
      <c r="B1" s="7" t="s">
        <v>24</v>
      </c>
    </row>
    <row r="2" spans="2:9" ht="15.75" thickBot="1" x14ac:dyDescent="0.3"/>
    <row r="3" spans="2:9" ht="131.25" customHeight="1" x14ac:dyDescent="0.25">
      <c r="B3" s="1" t="s">
        <v>4</v>
      </c>
      <c r="C3" s="1" t="s">
        <v>3</v>
      </c>
      <c r="D3" s="11" t="s">
        <v>26</v>
      </c>
      <c r="E3" s="9" t="s">
        <v>29</v>
      </c>
      <c r="F3" s="1" t="s">
        <v>5</v>
      </c>
      <c r="G3" s="1" t="s">
        <v>2</v>
      </c>
      <c r="H3" s="1" t="s">
        <v>25</v>
      </c>
      <c r="I3" s="13" t="s">
        <v>27</v>
      </c>
    </row>
    <row r="4" spans="2:9" ht="83.25" customHeight="1" x14ac:dyDescent="0.25">
      <c r="B4" s="2" t="s">
        <v>28</v>
      </c>
      <c r="C4" s="3">
        <v>110000332</v>
      </c>
      <c r="D4" s="12" t="s">
        <v>6</v>
      </c>
      <c r="E4" s="10" t="s">
        <v>7</v>
      </c>
      <c r="F4" s="3">
        <v>1300</v>
      </c>
      <c r="G4" s="3">
        <v>1140</v>
      </c>
      <c r="H4" s="3">
        <v>1370</v>
      </c>
      <c r="I4" s="14" t="s">
        <v>32</v>
      </c>
    </row>
    <row r="5" spans="2:9" ht="111.75" customHeight="1" thickBot="1" x14ac:dyDescent="0.3">
      <c r="B5" s="2"/>
      <c r="C5" s="3"/>
      <c r="D5" s="12" t="s">
        <v>30</v>
      </c>
      <c r="E5" s="10" t="s">
        <v>31</v>
      </c>
      <c r="F5" s="3"/>
      <c r="G5" s="3"/>
      <c r="H5" s="3"/>
      <c r="I5" s="15"/>
    </row>
    <row r="6" spans="2:9" ht="24" x14ac:dyDescent="0.4">
      <c r="B6" s="8" t="s">
        <v>0</v>
      </c>
      <c r="C6" s="4"/>
      <c r="D6" s="4"/>
    </row>
    <row r="7" spans="2:9" ht="24" x14ac:dyDescent="0.4">
      <c r="B7" s="5" t="s">
        <v>1</v>
      </c>
      <c r="C7" s="5" t="s">
        <v>8</v>
      </c>
      <c r="D7" s="6" t="s">
        <v>9</v>
      </c>
    </row>
    <row r="8" spans="2:9" ht="20.25" x14ac:dyDescent="0.25">
      <c r="D8" s="16" t="s">
        <v>11</v>
      </c>
    </row>
    <row r="9" spans="2:9" ht="20.25" x14ac:dyDescent="0.25">
      <c r="D9" s="16" t="s">
        <v>12</v>
      </c>
    </row>
    <row r="10" spans="2:9" ht="20.25" x14ac:dyDescent="0.25">
      <c r="D10" s="16" t="s">
        <v>13</v>
      </c>
    </row>
    <row r="11" spans="2:9" ht="20.25" x14ac:dyDescent="0.3">
      <c r="D11" s="17" t="s">
        <v>14</v>
      </c>
    </row>
    <row r="12" spans="2:9" ht="24" x14ac:dyDescent="0.4">
      <c r="B12" s="5" t="s">
        <v>10</v>
      </c>
    </row>
    <row r="13" spans="2:9" ht="15.75" x14ac:dyDescent="0.25">
      <c r="B13" s="18" t="s">
        <v>45</v>
      </c>
      <c r="C13" s="18"/>
      <c r="D13" s="18"/>
    </row>
    <row r="14" spans="2:9" ht="15.75" x14ac:dyDescent="0.25">
      <c r="B14" s="18"/>
      <c r="C14" s="18"/>
      <c r="D14" s="18"/>
    </row>
    <row r="15" spans="2:9" ht="21" x14ac:dyDescent="0.35">
      <c r="B15" s="19" t="s">
        <v>33</v>
      </c>
      <c r="C15" s="19" t="s">
        <v>34</v>
      </c>
      <c r="D15" s="19" t="s">
        <v>40</v>
      </c>
    </row>
    <row r="16" spans="2:9" ht="21" x14ac:dyDescent="0.35">
      <c r="B16" s="19"/>
      <c r="C16" s="19" t="s">
        <v>35</v>
      </c>
      <c r="D16" s="19" t="s">
        <v>38</v>
      </c>
    </row>
    <row r="17" spans="2:10" ht="21" x14ac:dyDescent="0.35">
      <c r="B17" s="19"/>
      <c r="C17" s="19" t="s">
        <v>36</v>
      </c>
      <c r="D17" s="19" t="s">
        <v>37</v>
      </c>
    </row>
    <row r="18" spans="2:10" ht="21" x14ac:dyDescent="0.35">
      <c r="B18" s="19"/>
      <c r="C18" s="19" t="s">
        <v>41</v>
      </c>
      <c r="D18" s="19" t="s">
        <v>39</v>
      </c>
    </row>
    <row r="19" spans="2:10" ht="21" x14ac:dyDescent="0.35">
      <c r="B19" s="19"/>
      <c r="C19" s="19" t="s">
        <v>43</v>
      </c>
      <c r="D19" s="19" t="s">
        <v>44</v>
      </c>
    </row>
    <row r="20" spans="2:10" ht="21" x14ac:dyDescent="0.35">
      <c r="B20" s="19"/>
      <c r="C20" s="19" t="s">
        <v>42</v>
      </c>
      <c r="D20" s="19" t="s">
        <v>46</v>
      </c>
    </row>
    <row r="31" spans="2:10" x14ac:dyDescent="0.25">
      <c r="F31" t="s">
        <v>15</v>
      </c>
      <c r="G31" t="s">
        <v>16</v>
      </c>
      <c r="H31" t="s">
        <v>17</v>
      </c>
      <c r="I31" t="s">
        <v>22</v>
      </c>
      <c r="J31" t="s">
        <v>23</v>
      </c>
    </row>
    <row r="32" spans="2:10" x14ac:dyDescent="0.25">
      <c r="E32" t="s">
        <v>18</v>
      </c>
      <c r="F32">
        <v>1053</v>
      </c>
      <c r="G32">
        <v>1140</v>
      </c>
      <c r="H32">
        <v>1300</v>
      </c>
      <c r="I32">
        <v>1375</v>
      </c>
      <c r="J32">
        <v>1370</v>
      </c>
    </row>
    <row r="33" spans="5:10" x14ac:dyDescent="0.25">
      <c r="E33" t="s">
        <v>19</v>
      </c>
      <c r="F33">
        <v>1053</v>
      </c>
      <c r="G33">
        <v>1140</v>
      </c>
      <c r="H33">
        <v>1300</v>
      </c>
      <c r="I33">
        <v>1375</v>
      </c>
      <c r="J33">
        <v>1370</v>
      </c>
    </row>
    <row r="34" spans="5:10" x14ac:dyDescent="0.25">
      <c r="E34" t="s">
        <v>20</v>
      </c>
      <c r="F34">
        <v>1053</v>
      </c>
      <c r="G34">
        <v>1140</v>
      </c>
      <c r="H34">
        <v>1300</v>
      </c>
      <c r="I34">
        <v>1375</v>
      </c>
      <c r="J34">
        <v>1370</v>
      </c>
    </row>
    <row r="35" spans="5:10" x14ac:dyDescent="0.25">
      <c r="E35" t="s">
        <v>21</v>
      </c>
      <c r="F35">
        <v>1053</v>
      </c>
      <c r="G35">
        <v>1140</v>
      </c>
      <c r="H35">
        <v>1300</v>
      </c>
      <c r="I35">
        <v>1375</v>
      </c>
      <c r="J35">
        <v>1370</v>
      </c>
    </row>
  </sheetData>
  <mergeCells count="6">
    <mergeCell ref="I4:I5"/>
    <mergeCell ref="H4:H5"/>
    <mergeCell ref="F4:F5"/>
    <mergeCell ref="G4:G5"/>
    <mergeCell ref="B4:B5"/>
    <mergeCell ref="C4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Cường, Nguyễn Quốc (Dylan)</dc:creator>
  <cp:lastModifiedBy>Cường, Nguyễn Quốc (Dylan)</cp:lastModifiedBy>
  <dcterms:created xsi:type="dcterms:W3CDTF">2026-04-01T04:53:32Z</dcterms:created>
  <dcterms:modified xsi:type="dcterms:W3CDTF">2026-04-01T06:37:35Z</dcterms:modified>
</cp:coreProperties>
</file>