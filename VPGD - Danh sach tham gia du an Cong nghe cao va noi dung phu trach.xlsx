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202300"/>
  <mc:AlternateContent xmlns:mc="http://schemas.openxmlformats.org/markup-compatibility/2006">
    <mc:Choice Requires="x15">
      <x15ac:absPath xmlns:x15ac="http://schemas.microsoft.com/office/spreadsheetml/2010/11/ac" url="https://dtg-my.sharepoint.com/personal/phamngocphuongphuong_duytanrecycling_com/Documents/2. Data/2. Report 2023/22. Công nghệ cao/15. Giai thuong/"/>
    </mc:Choice>
  </mc:AlternateContent>
  <xr:revisionPtr revIDLastSave="156" documentId="8_{A7ABA0A5-5EAA-498B-9DD2-89416E3F58F2}" xr6:coauthVersionLast="47" xr6:coauthVersionMax="47" xr10:uidLastSave="{0150CC95-5127-4AE7-B25E-4FCE909315EB}"/>
  <bookViews>
    <workbookView xWindow="-110" yWindow="-110" windowWidth="19420" windowHeight="10300" xr2:uid="{D1B86EDB-3BD2-4EB7-A5C9-9ED6F56AED8D}"/>
  </bookViews>
  <sheets>
    <sheet name="DS tham gia" sheetId="1" r:id="rId1"/>
  </sheets>
  <definedNames>
    <definedName name="_xlnm._FilterDatabase" localSheetId="0" hidden="1">'DS tham gia'!$A$7:$E$30</definedName>
    <definedName name="_xlnm.Print_Area" localSheetId="0">'DS tham gia'!$A$1:$E$30</definedName>
    <definedName name="Slicer_Đơn_vị_Phòng_ban">#N/A</definedName>
  </definedNames>
  <calcPr calcId="191029"/>
  <pivotCaches>
    <pivotCache cacheId="3" r:id="rId2"/>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1" i="1" l="1"/>
  <c r="A8" i="1"/>
  <c r="A9" i="1"/>
  <c r="A10" i="1"/>
  <c r="A11" i="1"/>
  <c r="A12" i="1"/>
  <c r="A13" i="1"/>
  <c r="A16" i="1"/>
  <c r="A17" i="1"/>
  <c r="A18" i="1"/>
  <c r="A19" i="1"/>
  <c r="A20" i="1"/>
  <c r="A22" i="1"/>
  <c r="A24" i="1"/>
  <c r="A25" i="1"/>
  <c r="A26" i="1"/>
  <c r="A30" i="1"/>
</calcChain>
</file>

<file path=xl/sharedStrings.xml><?xml version="1.0" encoding="utf-8"?>
<sst xmlns="http://schemas.openxmlformats.org/spreadsheetml/2006/main" count="110" uniqueCount="85">
  <si>
    <t>STT</t>
  </si>
  <si>
    <t>Row Labels</t>
  </si>
  <si>
    <t>Văn Phòng Giám Đốc</t>
  </si>
  <si>
    <t>Kỹ Thuật</t>
  </si>
  <si>
    <t>Kế Toán</t>
  </si>
  <si>
    <t>TNHH</t>
  </si>
  <si>
    <t>Hành Chánh Nhân Sự</t>
  </si>
  <si>
    <t>Ban Giám Đốc</t>
  </si>
  <si>
    <t>Họ và Tên</t>
  </si>
  <si>
    <t>Chức danh</t>
  </si>
  <si>
    <t>Đơn vị/Phòng ban</t>
  </si>
  <si>
    <t>Nội dung phụ trách</t>
  </si>
  <si>
    <t>Column1</t>
  </si>
  <si>
    <t>Huỳnh Ngọc Thạch</t>
  </si>
  <si>
    <t>Giám Đốc Điều Hành</t>
  </si>
  <si>
    <t>Phạm Ngọc Phương Phương</t>
  </si>
  <si>
    <t>Trợ Lý Giám Đốc</t>
  </si>
  <si>
    <t>Vũ Trần Đình Tùng Lâm</t>
  </si>
  <si>
    <t>Trưởng Nhóm Kế Toán</t>
  </si>
  <si>
    <t>X</t>
  </si>
  <si>
    <t>Trần Thị Kim Thanh</t>
  </si>
  <si>
    <t>List nội dung chuẩn bị về hồ sơ CNC, Liên hệ Hội đồng, Bảo vệ dự án</t>
  </si>
  <si>
    <t>Nguyễn Diệu Hiền</t>
  </si>
  <si>
    <t>Chuyên viên Quản trị Hệ Thống</t>
  </si>
  <si>
    <t>Võ Thế Tính</t>
  </si>
  <si>
    <t>List nội dung chuẩn bị về hồ sơ CNC, Bảo vệ dự án</t>
  </si>
  <si>
    <t>Lê Văn Ty</t>
  </si>
  <si>
    <t>Trưởng phòng Kỹ Thuật</t>
  </si>
  <si>
    <t>Ngô Quốc Huy</t>
  </si>
  <si>
    <t>Chuyên viên Quản lý Dự án</t>
  </si>
  <si>
    <t>Lâm Hoàng Hảo</t>
  </si>
  <si>
    <t>Tổ trưởng Nghiên cứu &amp; Phát triển</t>
  </si>
  <si>
    <t>Đặng Lê Châu Đoan</t>
  </si>
  <si>
    <t>Phó Phòng Chất Lượng PET</t>
  </si>
  <si>
    <t>Vũ Thị Hiên</t>
  </si>
  <si>
    <t>Trưởng nhóm kế toán tài chính</t>
  </si>
  <si>
    <t>Trần Thị Tuyết Xuân</t>
  </si>
  <si>
    <t>Trưởng phòng Hành Chánh Nhân Sự</t>
  </si>
  <si>
    <t>Giang Văn Lộc</t>
  </si>
  <si>
    <t>Kế toán trưởng</t>
  </si>
  <si>
    <t>Đái Trung Quân</t>
  </si>
  <si>
    <t>Giám đốc Kỹ thuật</t>
  </si>
  <si>
    <t>Thông tin công nghệ, kỹ thuật, cải tiến</t>
  </si>
  <si>
    <t>Võ Thị Bích Phượng</t>
  </si>
  <si>
    <t>Phó Giám Đốc Kiểm Soát Chất Lượng</t>
  </si>
  <si>
    <t>Nguyễn Nhật Bằng</t>
  </si>
  <si>
    <t>Phó Phòng Kỹ Thuật</t>
  </si>
  <si>
    <t>Cung cấp thông tin cải tiến, 3D máy,</t>
  </si>
  <si>
    <t>Phan Thùy Mỹ Hồng</t>
  </si>
  <si>
    <t>Nhân Viên Kiểm Tra Thử Nghiệm</t>
  </si>
  <si>
    <t>Cung cấp máy móc thiết bị Lab PET</t>
  </si>
  <si>
    <t>Đặng Thị Anh Thư</t>
  </si>
  <si>
    <t>Cung cấp máy móc thiết bị Lab HD/PP</t>
  </si>
  <si>
    <t>Phan Thị Quyền</t>
  </si>
  <si>
    <t>Chuyên Viên Nhân Sự</t>
  </si>
  <si>
    <t>Nguyễn Tấn Huệ</t>
  </si>
  <si>
    <t>Tổ trưởng Kỹ Thuật Điện</t>
  </si>
  <si>
    <t>Mai Hoàng Nhân</t>
  </si>
  <si>
    <t>Nhân viên kỹ thuật</t>
  </si>
  <si>
    <t>Chụp hình MMTB</t>
  </si>
  <si>
    <t>Nguyễn Ngọc Kiều My</t>
  </si>
  <si>
    <t>Hỗ trợ tổng hợp, in ấn, sắp xếp tài liệu</t>
  </si>
  <si>
    <t>All</t>
  </si>
  <si>
    <t>Báo cáo kiểm toán, Liên hệ MIDA tham khảo, Các thông tin tài chính, Bảo vệ dự án</t>
  </si>
  <si>
    <t>Lê Minh Thanh</t>
  </si>
  <si>
    <t>Tổ trưởng Kỹ Thuật Nước</t>
  </si>
  <si>
    <t>Hồ sơ tiết kiệm năng lượng</t>
  </si>
  <si>
    <t>Thông tin máy móc thiết bị thí nghiệm, hệ thống quản lý chất lượng, cải tiến chất lượng,</t>
  </si>
  <si>
    <t>Hồ sơ nhân sự, lương, bằng cấp, hồ sơ thực tập</t>
  </si>
  <si>
    <t>Hồ sơ nhân sự, lương, SĐTC, duy trì cung cấp thông tin hàng năm</t>
  </si>
  <si>
    <t>RnD</t>
  </si>
  <si>
    <t>Chất lượng</t>
  </si>
  <si>
    <t>Grand Total</t>
  </si>
  <si>
    <t>Count of Họ và Tên</t>
  </si>
  <si>
    <t>DANH SÁCH NHÂN SỰ PHÒNG BAN THAM GIA DỰ ÁN CÔNG NGHỆ CAO</t>
  </si>
  <si>
    <r>
      <t xml:space="preserve">Tổng nhân sự tham gia: </t>
    </r>
    <r>
      <rPr>
        <b/>
        <sz val="12"/>
        <rFont val="Cambria"/>
        <family val="1"/>
      </rPr>
      <t>23</t>
    </r>
  </si>
  <si>
    <t>Thông tin công nghệ, quy trình sản xuất, kỹ thuật, cải tiến, PCCC, duy trì cung cấp thông tin hàng năm</t>
  </si>
  <si>
    <t>Thông tin NC&amp;PT, cải tiến chất lượng, hồ sơ phụ: các thử nghiệm, quy trình, thông tin đối thủ, quy trình R&amp;D, duy trì cung cấp thông tin hàng năm</t>
  </si>
  <si>
    <t>Thông tin MMTB Lab, hệ thống QLCL, testing report, dự án thử nghiệm, cải tiến chất lượng, thông tin đối thủ, duy trì cung cấp thông tin hàng năm</t>
  </si>
  <si>
    <t>Tổng hợp hồ sơ môi trường, duy trì cung cấp thông tin hàng năm</t>
  </si>
  <si>
    <t>Làm việc với bên Tư vấn, Điều phối, Tổng hợp, viết lại nội dung: IT, Dự án, Cải tiến,… Hoàn thiện báo cáo Word, PPT, Chuẩn bị hồ sơ phụ, Bảo vệ dự án</t>
  </si>
  <si>
    <t>Duy trì hệ thống chứng nhận, duy trì cung cấp thông tin hàng năm</t>
  </si>
  <si>
    <t>Thông tin công nghệ, kỹ thuật, hình ảnh máy móc thiết bị, cải tiến, duy trì cung cấp thông tin hàng năm</t>
  </si>
  <si>
    <t>Báo cáo kiểm toán, Liên hệ Cục Thuế Long An, phối hợp các bộ phận, hoàn thành báo cáo duy trì hàng năm</t>
  </si>
  <si>
    <t>Truy xuất hồ sơ cũ, hoàn thành báo cáo duy trì hàng năm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</si>
</sst>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2"/>
      <name val="Cambria"/>
      <family val="1"/>
    </font>
    <font>
      <b/>
      <sz val="12"/>
      <color theme="0"/>
      <name val="Cambria"/>
      <family val="1"/>
    </font>
    <font>
      <sz val="11"/>
      <name val="Cambria"/>
      <family val="1"/>
    </font>
    <font>
      <b/>
      <sz val="22"/>
      <color rgb="FF0000FF"/>
      <name val="Cambria"/>
      <family val="1"/>
    </font>
    <font>
      <sz val="22"/>
      <name val="Cambria"/>
      <family val="1"/>
    </font>
    <font>
      <b/>
      <sz val="12"/>
      <name val="Cambria"/>
      <family val="1"/>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18">
    <xf numFmtId="0" fontId="0" fillId="0" borderId="0" xfId="0"/>
    <xf numFmtId="0" fontId="2" fillId="0" borderId="2" xfId="0" applyFont="1" applyBorder="1" applyAlignment="1">
      <alignment horizontal="center" vertical="center" readingOrder="1"/>
    </xf>
    <xf numFmtId="0" fontId="3" fillId="0" borderId="0" xfId="0" applyFont="1" applyAlignment="1">
      <alignment vertical="center"/>
    </xf>
    <xf numFmtId="0" fontId="3" fillId="0" borderId="0" xfId="0" applyFont="1" applyAlignment="1">
      <alignment horizontal="center" vertical="center"/>
    </xf>
    <xf numFmtId="0" fontId="1" fillId="0" borderId="1" xfId="0" applyFont="1" applyBorder="1" applyAlignment="1">
      <alignment vertical="center"/>
    </xf>
    <xf numFmtId="0" fontId="2" fillId="0" borderId="3" xfId="0" applyFont="1" applyBorder="1" applyAlignment="1">
      <alignment horizontal="center" vertical="center" readingOrder="1"/>
    </xf>
    <xf numFmtId="0" fontId="2" fillId="0" borderId="1" xfId="0" applyFont="1" applyBorder="1" applyAlignment="1">
      <alignment horizontal="center" vertical="center" readingOrder="1"/>
    </xf>
    <xf numFmtId="0" fontId="2" fillId="0" borderId="1" xfId="0" applyFont="1" applyBorder="1" applyAlignment="1">
      <alignment vertical="center"/>
    </xf>
    <xf numFmtId="0" fontId="1" fillId="0" borderId="1" xfId="0" applyFont="1" applyBorder="1" applyAlignment="1">
      <alignment horizontal="center" vertical="center" readingOrder="1"/>
    </xf>
    <xf numFmtId="0" fontId="1" fillId="0" borderId="1" xfId="0" applyFont="1" applyBorder="1" applyAlignment="1">
      <alignment vertical="center" wrapText="1"/>
    </xf>
    <xf numFmtId="0" fontId="0" fillId="0" borderId="1" xfId="0" pivotButton="1" applyBorder="1"/>
    <xf numFmtId="0" fontId="0" fillId="0" borderId="1" xfId="0" applyBorder="1"/>
    <xf numFmtId="0" fontId="0" fillId="0" borderId="1" xfId="0" applyBorder="1" applyAlignment="1">
      <alignment horizontal="left"/>
    </xf>
    <xf numFmtId="0" fontId="4" fillId="0" borderId="0" xfId="0" applyFont="1" applyAlignment="1">
      <alignment horizontal="center" vertical="center"/>
    </xf>
    <xf numFmtId="0" fontId="5" fillId="0" borderId="0" xfId="0" applyFont="1" applyAlignment="1">
      <alignment vertical="center"/>
    </xf>
    <xf numFmtId="0" fontId="1" fillId="0" borderId="0" xfId="0" applyFont="1" applyAlignment="1">
      <alignment vertical="center"/>
    </xf>
    <xf numFmtId="0" fontId="4" fillId="0" borderId="0" xfId="0" applyFont="1" applyAlignment="1">
      <alignment horizontal="center" vertical="center"/>
    </xf>
    <xf numFmtId="0" fontId="1" fillId="2" borderId="1" xfId="0" applyFont="1" applyFill="1" applyBorder="1" applyAlignment="1">
      <alignment vertical="center"/>
    </xf>
  </cellXfs>
  <cellStyles count="1">
    <cellStyle name="Normal" xfId="0" builtinId="0"/>
  </cellStyles>
  <dxfs count="18">
    <dxf>
      <fill>
        <patternFill patternType="none">
          <fgColor indexed="64"/>
          <bgColor indexed="65"/>
        </patternFill>
      </fill>
    </dxf>
    <dxf>
      <font>
        <strike val="0"/>
        <outline val="0"/>
        <shadow val="0"/>
        <u val="none"/>
        <vertAlign val="baseline"/>
        <name val="Cambria"/>
        <family val="1"/>
        <scheme val="none"/>
      </font>
      <border outline="0">
        <left style="thin">
          <color indexed="64"/>
        </left>
      </border>
    </dxf>
    <dxf>
      <font>
        <b val="0"/>
        <i val="0"/>
        <strike val="0"/>
        <condense val="0"/>
        <extend val="0"/>
        <outline val="0"/>
        <shadow val="0"/>
        <u val="none"/>
        <vertAlign val="baseline"/>
        <sz val="12"/>
        <color auto="1"/>
        <name val="Cambria"/>
        <family val="1"/>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mbria"/>
        <family val="1"/>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mbria"/>
        <family val="1"/>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mbria"/>
        <family val="1"/>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Cambria"/>
        <family val="1"/>
        <scheme val="none"/>
      </font>
      <numFmt numFmtId="0" formatCode="General"/>
      <fill>
        <patternFill patternType="none">
          <fgColor indexed="64"/>
          <bgColor auto="1"/>
        </patternFill>
      </fill>
      <alignment horizontal="center" vertical="center" textRotation="0" wrapText="0" indent="0" justifyLastLine="0" shrinkToFit="0" readingOrder="1"/>
      <border diagonalUp="0" diagonalDown="0">
        <left style="thin">
          <color indexed="64"/>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name val="Cambria"/>
        <family val="1"/>
        <scheme val="none"/>
      </font>
    </dxf>
    <dxf>
      <border outline="0">
        <bottom style="thin">
          <color indexed="64"/>
        </bottom>
      </border>
    </dxf>
    <dxf>
      <font>
        <b/>
        <i val="0"/>
        <strike val="0"/>
        <condense val="0"/>
        <extend val="0"/>
        <outline val="0"/>
        <shadow val="0"/>
        <u val="none"/>
        <vertAlign val="baseline"/>
        <sz val="12"/>
        <color theme="0"/>
        <name val="Cambria"/>
        <family val="1"/>
        <scheme val="none"/>
      </font>
      <alignment horizontal="center" vertical="center" textRotation="0" wrapText="0" indent="0" justifyLastLine="0" shrinkToFit="0" readingOrder="1"/>
      <border diagonalUp="0" diagonalDown="0" outline="0">
        <left style="thin">
          <color indexed="64"/>
        </left>
        <right style="thin">
          <color indexed="64"/>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7" Type="http://schemas.openxmlformats.org/officeDocument/2006/relationships/calcChain" Target="calcChain.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0</xdr:col>
      <xdr:colOff>1</xdr:colOff>
      <xdr:row>2</xdr:row>
      <xdr:rowOff>175986</xdr:rowOff>
    </xdr:from>
    <xdr:to>
      <xdr:col>8</xdr:col>
      <xdr:colOff>1034144</xdr:colOff>
      <xdr:row>6</xdr:row>
      <xdr:rowOff>90713</xdr:rowOff>
    </xdr:to>
    <mc:AlternateContent xmlns:mc="http://schemas.openxmlformats.org/markup-compatibility/2006" xmlns:sle15="http://schemas.microsoft.com/office/drawing/2012/slicer">
      <mc:Choice Requires="sle15">
        <xdr:graphicFrame macro="">
          <xdr:nvGraphicFramePr>
            <xdr:cNvPr id="2" name="Đơn vị/Phòng ban">
              <a:extLst>
                <a:ext uri="{FF2B5EF4-FFF2-40B4-BE49-F238E27FC236}">
                  <a16:creationId xmlns:a16="http://schemas.microsoft.com/office/drawing/2014/main" id="{66A8CBD9-1827-2D2B-AD04-AC5F9663B132}"/>
                </a:ext>
              </a:extLst>
            </xdr:cNvPr>
            <xdr:cNvGraphicFramePr/>
          </xdr:nvGraphicFramePr>
          <xdr:xfrm>
            <a:off x="0" y="0"/>
            <a:ext cx="0" cy="0"/>
          </xdr:xfrm>
          <a:graphic>
            <a:graphicData uri="http://schemas.microsoft.com/office/drawing/2010/slicer">
              <sle:slicer xmlns:sle="http://schemas.microsoft.com/office/drawing/2010/slicer" name="Đơn vị/Phòng ban"/>
            </a:graphicData>
          </a:graphic>
        </xdr:graphicFrame>
      </mc:Choice>
      <mc:Fallback xmlns="">
        <xdr:sp macro="" textlink="">
          <xdr:nvSpPr>
            <xdr:cNvPr id="0" name=""/>
            <xdr:cNvSpPr>
              <a:spLocks noTextEdit="1"/>
            </xdr:cNvSpPr>
          </xdr:nvSpPr>
          <xdr:spPr>
            <a:xfrm>
              <a:off x="1" y="901700"/>
              <a:ext cx="14795500" cy="64044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ương, Phạm Ngọc Phương" refreshedDate="45558.455159375" createdVersion="8" refreshedVersion="8" minRefreshableVersion="3" recordCount="23" xr:uid="{60318927-AD21-44E2-B937-C9C097295BA7}">
  <cacheSource type="worksheet">
    <worksheetSource name="Table1"/>
  </cacheSource>
  <cacheFields count="6">
    <cacheField name="STT" numFmtId="0">
      <sharedItems containsSemiMixedTypes="0" containsString="0" containsNumber="1" containsInteger="1" minValue="1" maxValue="23"/>
    </cacheField>
    <cacheField name="Họ và Tên" numFmtId="0">
      <sharedItems/>
    </cacheField>
    <cacheField name="Chức danh" numFmtId="0">
      <sharedItems containsBlank="1"/>
    </cacheField>
    <cacheField name="Đơn vị/Phòng ban" numFmtId="0">
      <sharedItems count="8">
        <s v="Ban Giám Đốc"/>
        <s v="Văn Phòng Giám Đốc"/>
        <s v="Kế Toán"/>
        <s v="TNHH"/>
        <s v="Kỹ Thuật"/>
        <s v="RnD"/>
        <s v="Chất lượng"/>
        <s v="Hành Chánh Nhân Sự"/>
      </sharedItems>
    </cacheField>
    <cacheField name="Nội dung phụ trách" numFmtId="0">
      <sharedItems/>
    </cacheField>
    <cacheField name="Column1"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
  <r>
    <n v="1"/>
    <s v="Huỳnh Ngọc Thạch"/>
    <s v="Giám Đốc Điều Hành"/>
    <x v="0"/>
    <s v="All"/>
    <m/>
  </r>
  <r>
    <n v="2"/>
    <s v="Phạm Ngọc Phương Phương"/>
    <s v="Trợ Lý Giám Đốc"/>
    <x v="1"/>
    <s v="Làm việc với bên Tư vấn, Điều phối, Tổng hợp, viết lại nội dung, Hoàn thiện báo cáo Word, PPT, Chuẩn bị hồ sơ phụ, Bảo vệ dự án"/>
    <m/>
  </r>
  <r>
    <n v="3"/>
    <s v="Vũ Trần Đình Tùng Lâm"/>
    <s v="Trưởng Nhóm Kế Toán"/>
    <x v="2"/>
    <s v="Báo cáo kiểm toán, Liên hệ MIDA tham khảo, Các thông tin tài chính, Bảo vệ dự án"/>
    <s v="X"/>
  </r>
  <r>
    <n v="4"/>
    <s v="Trần Thị Kim Thanh"/>
    <m/>
    <x v="3"/>
    <s v="List nội dung chuẩn bị về hồ sơ CNC, Liên hệ Hội đồng, Bảo vệ dự án"/>
    <m/>
  </r>
  <r>
    <n v="5"/>
    <s v="Nguyễn Diệu Hiền"/>
    <s v="Chuyên viên Quản trị Hệ Thống"/>
    <x v="1"/>
    <s v="Duy trì hệ thống chứng nhận"/>
    <m/>
  </r>
  <r>
    <n v="6"/>
    <s v="Võ Thế Tính"/>
    <m/>
    <x v="3"/>
    <s v="List nội dung chuẩn bị về hồ sơ CNC, Bảo vệ dự án"/>
    <m/>
  </r>
  <r>
    <n v="7"/>
    <s v="Lê Văn Ty"/>
    <s v="Trưởng phòng Kỹ Thuật"/>
    <x v="4"/>
    <s v="Thông tin công nghệ, quy trình sản xuất, kỹ thuật, cải tiến, PCCC"/>
    <m/>
  </r>
  <r>
    <n v="8"/>
    <s v="Ngô Quốc Huy"/>
    <s v="Chuyên viên Quản lý Dự án"/>
    <x v="4"/>
    <s v="Thông tin công nghệ, kỹ thuật, hình ảnh máy móc thiết bị, cải tiến"/>
    <m/>
  </r>
  <r>
    <n v="9"/>
    <s v="Lâm Hoàng Hảo"/>
    <s v="Tổ trưởng Nghiên cứu &amp; Phát triển"/>
    <x v="5"/>
    <s v="Thông tin NC&amp;PT, cải tiến chất lượng, hồ sơ phụ: các thử nghiệm, quy trình, thông tin đối thủ"/>
    <m/>
  </r>
  <r>
    <n v="10"/>
    <s v="Đặng Lê Châu Đoan"/>
    <s v="Phó Phòng Chất Lượng PET"/>
    <x v="6"/>
    <s v="Thông tin MMTB Lab, hệ thống QLCL, thông tin thử nghiệm PET, cải tiến chất lượng, thông tin đối thủ"/>
    <m/>
  </r>
  <r>
    <n v="11"/>
    <s v="Vũ Thị Hiên"/>
    <s v="Trưởng nhóm kế toán tài chính"/>
    <x v="2"/>
    <s v="Truy xuất hồ sơ cũ, duy trì cung cấp thông tin hàng năm"/>
    <m/>
  </r>
  <r>
    <n v="12"/>
    <s v="Trần Thị Tuyết Xuân"/>
    <s v="Trưởng phòng Hành Chánh Nhân Sự"/>
    <x v="7"/>
    <s v="Hồ sơ nhân sự, lương, SĐTC, duy trì cung cấp thông tin hàng năm"/>
    <m/>
  </r>
  <r>
    <n v="13"/>
    <s v="Giang Văn Lộc"/>
    <s v="Kế toán trưởng"/>
    <x v="2"/>
    <s v="Báo cáo kiểm toán, Liên hệ Cục Thuế Long An, duy trì cung cấp thông tin hàng năm"/>
    <m/>
  </r>
  <r>
    <n v="14"/>
    <s v="Đái Trung Quân"/>
    <s v="Giám đốc Kỹ thuật"/>
    <x v="4"/>
    <s v="Thông tin công nghệ, kỹ thuật, cải tiến"/>
    <m/>
  </r>
  <r>
    <n v="15"/>
    <s v="Võ Thị Bích Phượng"/>
    <s v="Phó Giám Đốc Kiểm Soát Chất Lượng"/>
    <x v="6"/>
    <s v="Thông tin máy móc thiết bị thí nghiệm, hệ thống quản lý chất lượng, cải tiến chất lượng,"/>
    <m/>
  </r>
  <r>
    <n v="16"/>
    <s v="Nguyễn Nhật Bằng"/>
    <s v="Phó Phòng Kỹ Thuật"/>
    <x v="4"/>
    <s v="Cung cấp thông tin cải tiến, 3D máy,"/>
    <m/>
  </r>
  <r>
    <n v="17"/>
    <s v="Phan Thùy Mỹ Hồng"/>
    <s v="Nhân Viên Kiểm Tra Thử Nghiệm"/>
    <x v="6"/>
    <s v="Cung cấp máy móc thiết bị Lab PET"/>
    <m/>
  </r>
  <r>
    <n v="18"/>
    <s v="Đặng Thị Anh Thư"/>
    <s v="Nhân Viên Kiểm Tra Thử Nghiệm"/>
    <x v="6"/>
    <s v="Cung cấp máy móc thiết bị Lab HD/PP"/>
    <m/>
  </r>
  <r>
    <n v="19"/>
    <s v="Phan Thị Quyền"/>
    <s v="Chuyên Viên Nhân Sự"/>
    <x v="7"/>
    <s v="Hồ sơ nhân sự, lương, bằng cấp, hồ sơ thực tập"/>
    <m/>
  </r>
  <r>
    <n v="20"/>
    <s v="Nguyễn Tấn Huệ"/>
    <s v="Tổ trưởng Kỹ Thuật Điện"/>
    <x v="4"/>
    <s v="Hồ sơ tiết kiệm năng lượng"/>
    <m/>
  </r>
  <r>
    <n v="21"/>
    <s v="Mai Hoàng Nhân"/>
    <s v="Nhân viên kỹ thuật"/>
    <x v="4"/>
    <s v="Chụp hình MMTB"/>
    <m/>
  </r>
  <r>
    <n v="22"/>
    <s v="Lê Minh Thanh"/>
    <s v="Tổ trưởng Kỹ Thuật Nước"/>
    <x v="4"/>
    <s v="Tổng hợp gửi hồ sơ môi trường"/>
    <m/>
  </r>
  <r>
    <n v="23"/>
    <s v="Nguyễn Ngọc Kiều My"/>
    <s v="Trợ Lý Giám Đốc"/>
    <x v="1"/>
    <s v="Hỗ trợ tổng hợp, in ấn, sắp xếp tài liệu"/>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BC4340-E1BE-42C1-A439-F274FD73E402}"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7:J16" firstHeaderRow="1" firstDataRow="1" firstDataCol="1"/>
  <pivotFields count="6">
    <pivotField showAll="0"/>
    <pivotField dataField="1" showAll="0"/>
    <pivotField showAll="0"/>
    <pivotField axis="axisRow" showAll="0" sortType="descending">
      <items count="9">
        <item x="0"/>
        <item x="6"/>
        <item x="7"/>
        <item x="2"/>
        <item x="4"/>
        <item x="5"/>
        <item x="3"/>
        <item x="1"/>
        <item t="default"/>
      </items>
      <autoSortScope>
        <pivotArea dataOnly="0" outline="0" fieldPosition="0">
          <references count="1">
            <reference field="4294967294" count="1" selected="0">
              <x v="0"/>
            </reference>
          </references>
        </pivotArea>
      </autoSortScope>
    </pivotField>
    <pivotField showAll="0"/>
    <pivotField showAll="0"/>
  </pivotFields>
  <rowFields count="1">
    <field x="3"/>
  </rowFields>
  <rowItems count="9">
    <i>
      <x v="4"/>
    </i>
    <i>
      <x v="1"/>
    </i>
    <i>
      <x v="7"/>
    </i>
    <i>
      <x v="3"/>
    </i>
    <i>
      <x v="6"/>
    </i>
    <i>
      <x v="2"/>
    </i>
    <i>
      <x/>
    </i>
    <i>
      <x v="5"/>
    </i>
    <i t="grand">
      <x/>
    </i>
  </rowItems>
  <colItems count="1">
    <i/>
  </colItems>
  <dataFields count="1">
    <dataField name="Count of Họ và Tên" fld="1" subtotal="count" baseField="0" baseItem="0"/>
  </dataFields>
  <formats count="6">
    <format dxfId="17">
      <pivotArea type="all" dataOnly="0" outline="0" fieldPosition="0"/>
    </format>
    <format dxfId="16">
      <pivotArea outline="0" collapsedLevelsAreSubtotals="1" fieldPosition="0"/>
    </format>
    <format dxfId="15">
      <pivotArea field="3" type="button" dataOnly="0" labelOnly="1" outline="0" axis="axisRow" fieldPosition="0"/>
    </format>
    <format dxfId="14">
      <pivotArea dataOnly="0" labelOnly="1" fieldPosition="0">
        <references count="1">
          <reference field="3" count="0"/>
        </references>
      </pivotArea>
    </format>
    <format dxfId="13">
      <pivotArea dataOnly="0" labelOnly="1" grandRow="1" outline="0" fieldPosition="0"/>
    </format>
    <format dxfId="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Đơn_vị_Phòng_ban" xr10:uid="{C59AAABB-136B-4067-A352-1D3CBC70BA5D}" sourceName="Đơn vị/Phòng ban">
  <extLst>
    <x:ext xmlns:x15="http://schemas.microsoft.com/office/spreadsheetml/2010/11/main" uri="{2F2917AC-EB37-4324-AD4E-5DD8C200BD13}">
      <x15:tableSlicerCache tableId="1"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Đơn vị/Phòng ban" xr10:uid="{66ABA3AB-DAFA-4EA8-BF58-65A43DC9B110}" cache="Slicer_Đơn_vị_Phòng_ban" caption="Đơn vị/Phòng ban" columnCount="8"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3EA9D2-BBE4-4807-9BB4-337D843A776D}" name="Table1" displayName="Table1" ref="A7:F30" totalsRowShown="0" headerRowDxfId="11" dataDxfId="9" headerRowBorderDxfId="10" tableBorderDxfId="8" totalsRowBorderDxfId="7">
  <autoFilter ref="A7:F30" xr:uid="{569B5E07-C740-4490-9496-4F69D00BFC2E}">
    <filterColumn colId="1">
      <colorFilter dxfId="0"/>
    </filterColumn>
  </autoFilter>
  <tableColumns count="6">
    <tableColumn id="1" xr3:uid="{EE92679F-6EFB-4037-AE39-0037EEC7F9DE}" name="STT" dataDxfId="6">
      <calculatedColumnFormula>ROW()-7</calculatedColumnFormula>
    </tableColumn>
    <tableColumn id="2" xr3:uid="{7586C148-F643-468B-A455-DD6F5AE56EB7}" name="Họ và Tên" dataDxfId="5"/>
    <tableColumn id="3" xr3:uid="{5498FB72-18D7-4DC1-9E20-6DE645F1CE88}" name="Chức danh" dataDxfId="4"/>
    <tableColumn id="4" xr3:uid="{C6D44A03-199A-479B-94D7-F361C1185186}" name="Đơn vị/Phòng ban" dataDxfId="3"/>
    <tableColumn id="7" xr3:uid="{03AB008E-DE10-4462-BD77-21D176B16A62}" name="Nội dung phụ trách" dataDxfId="2"/>
    <tableColumn id="8" xr3:uid="{4EA8390D-4067-47A0-A4B0-2128CE974A17}" name="Column1" dataDxfId="1"/>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A0919-EF7C-4AC5-B4D0-4C2E0A6DB578}">
  <sheetPr>
    <pageSetUpPr fitToPage="1"/>
  </sheetPr>
  <dimension ref="A1:K32"/>
  <sheetViews>
    <sheetView showGridLines="0" tabSelected="1" view="pageBreakPreview" zoomScale="70" zoomScaleNormal="70" zoomScaleSheetLayoutView="70" workbookViewId="0">
      <pane ySplit="7" topLeftCell="A8" activePane="bottomLeft" state="frozen"/>
      <selection pane="bottomLeft" activeCell="E8" sqref="E8"/>
    </sheetView>
  </sheetViews>
  <sheetFormatPr defaultRowHeight="14" x14ac:dyDescent="0.35"/>
  <cols>
    <col min="1" max="1" width="9.36328125" style="3" bestFit="1" customWidth="1"/>
    <col min="2" max="2" width="30" style="2" customWidth="1"/>
    <col min="3" max="3" width="37.7265625" style="2" customWidth="1"/>
    <col min="4" max="4" width="29.453125" style="2" hidden="1" customWidth="1"/>
    <col min="5" max="5" width="105.453125" style="2" customWidth="1"/>
    <col min="6" max="7" width="2.90625" style="2" customWidth="1"/>
    <col min="8" max="8" width="8.7265625" style="2"/>
    <col min="9" max="9" width="18.1796875" style="2" bestFit="1" customWidth="1"/>
    <col min="10" max="10" width="16.54296875" style="2" bestFit="1" customWidth="1"/>
    <col min="11" max="16384" width="8.7265625" style="2"/>
  </cols>
  <sheetData>
    <row r="1" spans="1:11" s="14" customFormat="1" ht="34" customHeight="1" x14ac:dyDescent="0.35">
      <c r="A1" s="16" t="s">
        <v>74</v>
      </c>
      <c r="B1" s="16"/>
      <c r="C1" s="16"/>
      <c r="D1" s="16"/>
      <c r="E1" s="16"/>
    </row>
    <row r="2" spans="1:11" s="14" customFormat="1" ht="23" customHeight="1" x14ac:dyDescent="0.35">
      <c r="A2" s="15" t="s">
        <v>75</v>
      </c>
      <c r="B2" s="13"/>
      <c r="C2" s="13"/>
      <c r="D2" s="13"/>
      <c r="E2" s="13"/>
    </row>
    <row r="7" spans="1:11" ht="32" customHeight="1" x14ac:dyDescent="0.35">
      <c r="A7" s="6" t="s">
        <v>0</v>
      </c>
      <c r="B7" s="6" t="s">
        <v>8</v>
      </c>
      <c r="C7" s="6" t="s">
        <v>9</v>
      </c>
      <c r="D7" s="6" t="s">
        <v>10</v>
      </c>
      <c r="E7" s="7" t="s">
        <v>11</v>
      </c>
      <c r="F7" s="5" t="s">
        <v>12</v>
      </c>
      <c r="G7" s="1"/>
      <c r="I7" s="10" t="s">
        <v>1</v>
      </c>
      <c r="J7" s="11" t="s">
        <v>73</v>
      </c>
      <c r="K7"/>
    </row>
    <row r="8" spans="1:11" ht="32" customHeight="1" x14ac:dyDescent="0.35">
      <c r="A8" s="8">
        <f t="shared" ref="A8:A30" si="0">ROW()-7</f>
        <v>1</v>
      </c>
      <c r="B8" s="4" t="s">
        <v>13</v>
      </c>
      <c r="C8" s="4" t="s">
        <v>14</v>
      </c>
      <c r="D8" s="4" t="s">
        <v>7</v>
      </c>
      <c r="E8" s="4" t="s">
        <v>62</v>
      </c>
      <c r="I8" s="12" t="s">
        <v>3</v>
      </c>
      <c r="J8" s="11">
        <v>7</v>
      </c>
      <c r="K8"/>
    </row>
    <row r="9" spans="1:11" ht="32" customHeight="1" x14ac:dyDescent="0.35">
      <c r="A9" s="8">
        <f t="shared" si="0"/>
        <v>2</v>
      </c>
      <c r="B9" s="4" t="s">
        <v>15</v>
      </c>
      <c r="C9" s="4" t="s">
        <v>16</v>
      </c>
      <c r="D9" s="4" t="s">
        <v>2</v>
      </c>
      <c r="E9" s="9" t="s">
        <v>80</v>
      </c>
      <c r="I9" s="12" t="s">
        <v>71</v>
      </c>
      <c r="J9" s="11">
        <v>4</v>
      </c>
      <c r="K9"/>
    </row>
    <row r="10" spans="1:11" ht="32" customHeight="1" x14ac:dyDescent="0.35">
      <c r="A10" s="8">
        <f t="shared" si="0"/>
        <v>3</v>
      </c>
      <c r="B10" s="4" t="s">
        <v>17</v>
      </c>
      <c r="C10" s="4" t="s">
        <v>18</v>
      </c>
      <c r="D10" s="4" t="s">
        <v>4</v>
      </c>
      <c r="E10" s="4" t="s">
        <v>63</v>
      </c>
      <c r="F10" s="2" t="s">
        <v>19</v>
      </c>
      <c r="I10" s="12" t="s">
        <v>2</v>
      </c>
      <c r="J10" s="11">
        <v>3</v>
      </c>
      <c r="K10"/>
    </row>
    <row r="11" spans="1:11" ht="32" customHeight="1" x14ac:dyDescent="0.35">
      <c r="A11" s="8">
        <f t="shared" si="0"/>
        <v>4</v>
      </c>
      <c r="B11" s="4" t="s">
        <v>20</v>
      </c>
      <c r="C11" s="4"/>
      <c r="D11" s="4" t="s">
        <v>5</v>
      </c>
      <c r="E11" s="4" t="s">
        <v>21</v>
      </c>
      <c r="I11" s="12" t="s">
        <v>4</v>
      </c>
      <c r="J11" s="11">
        <v>3</v>
      </c>
      <c r="K11"/>
    </row>
    <row r="12" spans="1:11" ht="32" hidden="1" customHeight="1" x14ac:dyDescent="0.35">
      <c r="A12" s="8">
        <f t="shared" si="0"/>
        <v>5</v>
      </c>
      <c r="B12" s="17" t="s">
        <v>22</v>
      </c>
      <c r="C12" s="4" t="s">
        <v>23</v>
      </c>
      <c r="D12" s="4" t="s">
        <v>2</v>
      </c>
      <c r="E12" s="4" t="s">
        <v>81</v>
      </c>
      <c r="I12" s="12" t="s">
        <v>5</v>
      </c>
      <c r="J12" s="11">
        <v>2</v>
      </c>
      <c r="K12"/>
    </row>
    <row r="13" spans="1:11" ht="32" customHeight="1" x14ac:dyDescent="0.35">
      <c r="A13" s="8">
        <f t="shared" si="0"/>
        <v>6</v>
      </c>
      <c r="B13" s="4" t="s">
        <v>24</v>
      </c>
      <c r="C13" s="4"/>
      <c r="D13" s="4" t="s">
        <v>5</v>
      </c>
      <c r="E13" s="4" t="s">
        <v>25</v>
      </c>
      <c r="I13" s="12" t="s">
        <v>6</v>
      </c>
      <c r="J13" s="11">
        <v>2</v>
      </c>
      <c r="K13"/>
    </row>
    <row r="14" spans="1:11" ht="32" hidden="1" customHeight="1" x14ac:dyDescent="0.35">
      <c r="A14" s="8">
        <v>1</v>
      </c>
      <c r="B14" s="17" t="s">
        <v>26</v>
      </c>
      <c r="C14" s="4" t="s">
        <v>27</v>
      </c>
      <c r="D14" s="4" t="s">
        <v>3</v>
      </c>
      <c r="E14" s="4" t="s">
        <v>76</v>
      </c>
      <c r="I14" s="12" t="s">
        <v>7</v>
      </c>
      <c r="J14" s="11">
        <v>1</v>
      </c>
      <c r="K14"/>
    </row>
    <row r="15" spans="1:11" ht="32" hidden="1" customHeight="1" x14ac:dyDescent="0.35">
      <c r="A15" s="8">
        <v>2</v>
      </c>
      <c r="B15" s="17" t="s">
        <v>28</v>
      </c>
      <c r="C15" s="4" t="s">
        <v>29</v>
      </c>
      <c r="D15" s="4" t="s">
        <v>3</v>
      </c>
      <c r="E15" s="4" t="s">
        <v>82</v>
      </c>
      <c r="I15" s="12" t="s">
        <v>70</v>
      </c>
      <c r="J15" s="11">
        <v>1</v>
      </c>
      <c r="K15"/>
    </row>
    <row r="16" spans="1:11" ht="32" hidden="1" customHeight="1" x14ac:dyDescent="0.35">
      <c r="A16" s="8">
        <f t="shared" si="0"/>
        <v>9</v>
      </c>
      <c r="B16" s="17" t="s">
        <v>30</v>
      </c>
      <c r="C16" s="4" t="s">
        <v>31</v>
      </c>
      <c r="D16" s="4" t="s">
        <v>70</v>
      </c>
      <c r="E16" s="9" t="s">
        <v>77</v>
      </c>
      <c r="I16" s="12" t="s">
        <v>72</v>
      </c>
      <c r="J16" s="11">
        <v>23</v>
      </c>
      <c r="K16"/>
    </row>
    <row r="17" spans="1:11" ht="32" hidden="1" customHeight="1" x14ac:dyDescent="0.35">
      <c r="A17" s="8">
        <f t="shared" si="0"/>
        <v>10</v>
      </c>
      <c r="B17" s="17" t="s">
        <v>32</v>
      </c>
      <c r="C17" s="4" t="s">
        <v>33</v>
      </c>
      <c r="D17" s="4" t="s">
        <v>71</v>
      </c>
      <c r="E17" s="9" t="s">
        <v>78</v>
      </c>
      <c r="I17"/>
      <c r="J17"/>
      <c r="K17"/>
    </row>
    <row r="18" spans="1:11" ht="32" hidden="1" customHeight="1" x14ac:dyDescent="0.35">
      <c r="A18" s="8">
        <f t="shared" si="0"/>
        <v>11</v>
      </c>
      <c r="B18" s="17" t="s">
        <v>34</v>
      </c>
      <c r="C18" s="4" t="s">
        <v>35</v>
      </c>
      <c r="D18" s="4" t="s">
        <v>4</v>
      </c>
      <c r="E18" s="4" t="s">
        <v>84</v>
      </c>
      <c r="I18"/>
      <c r="J18"/>
      <c r="K18"/>
    </row>
    <row r="19" spans="1:11" ht="32" hidden="1" customHeight="1" x14ac:dyDescent="0.35">
      <c r="A19" s="8">
        <f t="shared" si="0"/>
        <v>12</v>
      </c>
      <c r="B19" s="17" t="s">
        <v>36</v>
      </c>
      <c r="C19" s="4" t="s">
        <v>37</v>
      </c>
      <c r="D19" s="4" t="s">
        <v>6</v>
      </c>
      <c r="E19" s="4" t="s">
        <v>69</v>
      </c>
      <c r="I19"/>
      <c r="J19"/>
      <c r="K19"/>
    </row>
    <row r="20" spans="1:11" ht="32" hidden="1" customHeight="1" x14ac:dyDescent="0.35">
      <c r="A20" s="8">
        <f t="shared" si="0"/>
        <v>13</v>
      </c>
      <c r="B20" s="17" t="s">
        <v>38</v>
      </c>
      <c r="C20" s="4" t="s">
        <v>39</v>
      </c>
      <c r="D20" s="4" t="s">
        <v>4</v>
      </c>
      <c r="E20" s="4" t="s">
        <v>83</v>
      </c>
      <c r="I20"/>
      <c r="J20"/>
      <c r="K20"/>
    </row>
    <row r="21" spans="1:11" ht="32" hidden="1" customHeight="1" x14ac:dyDescent="0.35">
      <c r="A21" s="8">
        <f>A15+1</f>
        <v>3</v>
      </c>
      <c r="B21" s="17" t="s">
        <v>40</v>
      </c>
      <c r="C21" s="4" t="s">
        <v>41</v>
      </c>
      <c r="D21" s="4" t="s">
        <v>3</v>
      </c>
      <c r="E21" s="4" t="s">
        <v>42</v>
      </c>
      <c r="I21"/>
      <c r="J21"/>
      <c r="K21"/>
    </row>
    <row r="22" spans="1:11" ht="32" hidden="1" customHeight="1" x14ac:dyDescent="0.35">
      <c r="A22" s="8">
        <f t="shared" si="0"/>
        <v>15</v>
      </c>
      <c r="B22" s="17" t="s">
        <v>43</v>
      </c>
      <c r="C22" s="4" t="s">
        <v>44</v>
      </c>
      <c r="D22" s="4" t="s">
        <v>71</v>
      </c>
      <c r="E22" s="4" t="s">
        <v>67</v>
      </c>
      <c r="I22"/>
      <c r="J22"/>
      <c r="K22"/>
    </row>
    <row r="23" spans="1:11" ht="32" hidden="1" customHeight="1" x14ac:dyDescent="0.35">
      <c r="A23" s="8">
        <v>4</v>
      </c>
      <c r="B23" s="17" t="s">
        <v>45</v>
      </c>
      <c r="C23" s="4" t="s">
        <v>46</v>
      </c>
      <c r="D23" s="4" t="s">
        <v>3</v>
      </c>
      <c r="E23" s="4" t="s">
        <v>47</v>
      </c>
      <c r="I23"/>
      <c r="J23"/>
      <c r="K23"/>
    </row>
    <row r="24" spans="1:11" ht="32" hidden="1" customHeight="1" x14ac:dyDescent="0.35">
      <c r="A24" s="8">
        <f t="shared" si="0"/>
        <v>17</v>
      </c>
      <c r="B24" s="17" t="s">
        <v>48</v>
      </c>
      <c r="C24" s="4" t="s">
        <v>49</v>
      </c>
      <c r="D24" s="4" t="s">
        <v>71</v>
      </c>
      <c r="E24" s="4" t="s">
        <v>50</v>
      </c>
      <c r="I24"/>
      <c r="J24"/>
      <c r="K24"/>
    </row>
    <row r="25" spans="1:11" ht="32" hidden="1" customHeight="1" x14ac:dyDescent="0.35">
      <c r="A25" s="8">
        <f t="shared" si="0"/>
        <v>18</v>
      </c>
      <c r="B25" s="17" t="s">
        <v>51</v>
      </c>
      <c r="C25" s="4" t="s">
        <v>49</v>
      </c>
      <c r="D25" s="4" t="s">
        <v>71</v>
      </c>
      <c r="E25" s="4" t="s">
        <v>52</v>
      </c>
    </row>
    <row r="26" spans="1:11" ht="32" hidden="1" customHeight="1" x14ac:dyDescent="0.35">
      <c r="A26" s="8">
        <f t="shared" si="0"/>
        <v>19</v>
      </c>
      <c r="B26" s="17" t="s">
        <v>53</v>
      </c>
      <c r="C26" s="4" t="s">
        <v>54</v>
      </c>
      <c r="D26" s="4" t="s">
        <v>6</v>
      </c>
      <c r="E26" s="4" t="s">
        <v>68</v>
      </c>
    </row>
    <row r="27" spans="1:11" ht="32" hidden="1" customHeight="1" x14ac:dyDescent="0.35">
      <c r="A27" s="8">
        <v>5</v>
      </c>
      <c r="B27" s="17" t="s">
        <v>55</v>
      </c>
      <c r="C27" s="4" t="s">
        <v>56</v>
      </c>
      <c r="D27" s="4" t="s">
        <v>3</v>
      </c>
      <c r="E27" s="4" t="s">
        <v>66</v>
      </c>
    </row>
    <row r="28" spans="1:11" ht="32" hidden="1" customHeight="1" x14ac:dyDescent="0.35">
      <c r="A28" s="8">
        <v>6</v>
      </c>
      <c r="B28" s="17" t="s">
        <v>57</v>
      </c>
      <c r="C28" s="4" t="s">
        <v>58</v>
      </c>
      <c r="D28" s="4" t="s">
        <v>3</v>
      </c>
      <c r="E28" s="4" t="s">
        <v>59</v>
      </c>
    </row>
    <row r="29" spans="1:11" ht="32" hidden="1" customHeight="1" x14ac:dyDescent="0.35">
      <c r="A29" s="8">
        <v>7</v>
      </c>
      <c r="B29" s="17" t="s">
        <v>64</v>
      </c>
      <c r="C29" s="4" t="s">
        <v>65</v>
      </c>
      <c r="D29" s="4" t="s">
        <v>3</v>
      </c>
      <c r="E29" s="4" t="s">
        <v>79</v>
      </c>
    </row>
    <row r="30" spans="1:11" ht="32" customHeight="1" x14ac:dyDescent="0.35">
      <c r="A30" s="8">
        <f t="shared" si="0"/>
        <v>23</v>
      </c>
      <c r="B30" s="4" t="s">
        <v>60</v>
      </c>
      <c r="C30" s="4" t="s">
        <v>16</v>
      </c>
      <c r="D30" s="4" t="s">
        <v>2</v>
      </c>
      <c r="E30" s="4" t="s">
        <v>61</v>
      </c>
    </row>
    <row r="31" spans="1:11" ht="18.5" customHeight="1" x14ac:dyDescent="0.35"/>
    <row r="32" spans="1:11" ht="18.5" customHeight="1" x14ac:dyDescent="0.35"/>
  </sheetData>
  <mergeCells count="1">
    <mergeCell ref="A1:E1"/>
  </mergeCells>
  <pageMargins left="0.25" right="0.25" top="0.75" bottom="0.75" header="0.3" footer="0.3"/>
  <pageSetup paperSize="11" scale="54" orientation="landscape" r:id="rId2"/>
  <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DS tham gia</vt:lpstr>
      <vt:lpstr>'DS tham gia'!Print_Area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Phương, Phạm Ngọc Phương</dc:creator>
  <cp:lastModifiedBy>Phương, Phạm Ngọc Phương</cp:lastModifiedBy>
  <cp:lastPrinted>2024-09-26T07:08:21Z</cp:lastPrinted>
  <dcterms:created xsi:type="dcterms:W3CDTF">2024-09-23T03:26:29Z</dcterms:created>
  <dcterms:modified xsi:type="dcterms:W3CDTF">2024-09-27T14:52:36Z</dcterms:modified>
</cp:coreProperties>
</file>