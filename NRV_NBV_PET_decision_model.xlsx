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ulh\Downloads\"/>
    </mc:Choice>
  </mc:AlternateContent>
  <xr:revisionPtr revIDLastSave="0" documentId="13_ncr:1_{65F8032C-600F-4AAB-930B-7E069C84B85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PUT" sheetId="1" r:id="rId1"/>
    <sheet name="CAL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6" i="2" s="1"/>
  <c r="B2" i="2"/>
  <c r="B1" i="2"/>
  <c r="B3" i="2" s="1"/>
  <c r="B5" i="2" l="1"/>
  <c r="B7" i="2" s="1"/>
  <c r="B8" i="2" s="1"/>
</calcChain>
</file>

<file path=xl/sharedStrings.xml><?xml version="1.0" encoding="utf-8"?>
<sst xmlns="http://schemas.openxmlformats.org/spreadsheetml/2006/main" count="18" uniqueCount="18">
  <si>
    <t>Bottle price (VND/kg)</t>
  </si>
  <si>
    <t>Flake selling price</t>
  </si>
  <si>
    <t>Pellet selling price</t>
  </si>
  <si>
    <t>Yield Bottle-&gt;Flake</t>
  </si>
  <si>
    <t>Yield Flake-&gt;Pellet</t>
  </si>
  <si>
    <t>Sorting + Grinding cost</t>
  </si>
  <si>
    <t>Washing cost</t>
  </si>
  <si>
    <t>Pelletizing cost</t>
  </si>
  <si>
    <t>Selling cost</t>
  </si>
  <si>
    <t>NBV Machine per kg</t>
  </si>
  <si>
    <t>NRV Flake</t>
  </si>
  <si>
    <t>NRV Pellet</t>
  </si>
  <si>
    <t>NRV Bottle (backward)</t>
  </si>
  <si>
    <t>Total Cost Flake</t>
  </si>
  <si>
    <t>Total Cost Pellet</t>
  </si>
  <si>
    <t>Margin Flake</t>
  </si>
  <si>
    <t>Margin Pellet</t>
  </si>
  <si>
    <t>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</si>
</sst>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13" sqref="A13"/>
    </sheetView>
  </sheetViews>
  <sheetFormatPr defaultRowHeight="14.5" x14ac:dyDescent="0.35"/>
  <cols>
    <col min="1" max="1" width="19.6328125" bestFit="1" customWidth="1"/>
  </cols>
  <sheetData>
    <row r="1" spans="1:2" x14ac:dyDescent="0.35">
      <c r="A1" t="s">
        <v>0</v>
      </c>
      <c r="B1">
        <v>10000</v>
      </c>
    </row>
    <row r="2" spans="1:2" x14ac:dyDescent="0.35">
      <c r="A2" t="s">
        <v>1</v>
      </c>
      <c r="B2">
        <v>13500</v>
      </c>
    </row>
    <row r="3" spans="1:2" x14ac:dyDescent="0.35">
      <c r="A3" t="s">
        <v>2</v>
      </c>
      <c r="B3">
        <v>15500</v>
      </c>
    </row>
    <row r="4" spans="1:2" x14ac:dyDescent="0.35">
      <c r="A4" t="s">
        <v>3</v>
      </c>
      <c r="B4">
        <v>0.72</v>
      </c>
    </row>
    <row r="5" spans="1:2" x14ac:dyDescent="0.35">
      <c r="A5" t="s">
        <v>4</v>
      </c>
      <c r="B5">
        <v>0.9</v>
      </c>
    </row>
    <row r="6" spans="1:2" x14ac:dyDescent="0.35">
      <c r="A6" t="s">
        <v>5</v>
      </c>
      <c r="B6">
        <v>800</v>
      </c>
    </row>
    <row r="7" spans="1:2" x14ac:dyDescent="0.35">
      <c r="A7" t="s">
        <v>6</v>
      </c>
      <c r="B7">
        <v>900</v>
      </c>
    </row>
    <row r="8" spans="1:2" x14ac:dyDescent="0.35">
      <c r="A8" t="s">
        <v>7</v>
      </c>
      <c r="B8">
        <v>1200</v>
      </c>
    </row>
    <row r="9" spans="1:2" x14ac:dyDescent="0.35">
      <c r="A9" t="s">
        <v>8</v>
      </c>
      <c r="B9">
        <v>300</v>
      </c>
    </row>
    <row r="10" spans="1:2" x14ac:dyDescent="0.35">
      <c r="A10" t="s">
        <v>9</v>
      </c>
      <c r="B10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1" sqref="B1"/>
    </sheetView>
  </sheetViews>
  <sheetFormatPr defaultRowHeight="14.5" x14ac:dyDescent="0.35"/>
  <cols>
    <col min="1" max="1" width="19.6328125" bestFit="1" customWidth="1"/>
  </cols>
  <sheetData>
    <row r="1" spans="1:2" x14ac:dyDescent="0.35">
      <c r="A1" t="s">
        <v>10</v>
      </c>
      <c r="B1">
        <f>INPUT!B2-INPUT!B9</f>
        <v>13200</v>
      </c>
    </row>
    <row r="2" spans="1:2" x14ac:dyDescent="0.35">
      <c r="A2" t="s">
        <v>11</v>
      </c>
      <c r="B2">
        <f>INPUT!B3-INPUT!B9</f>
        <v>15200</v>
      </c>
    </row>
    <row r="3" spans="1:2" x14ac:dyDescent="0.35">
      <c r="A3" t="s">
        <v>12</v>
      </c>
      <c r="B3">
        <f>(B1*INPUT!B4)-B4</f>
        <v>7304</v>
      </c>
    </row>
    <row r="4" spans="1:2" x14ac:dyDescent="0.35">
      <c r="A4" t="s">
        <v>13</v>
      </c>
      <c r="B4">
        <f>INPUT!B6+INPUT!B7+INPUT!B10</f>
        <v>2200</v>
      </c>
    </row>
    <row r="5" spans="1:2" x14ac:dyDescent="0.35">
      <c r="A5" t="s">
        <v>14</v>
      </c>
      <c r="B5">
        <f>B4+INPUT!B8</f>
        <v>3400</v>
      </c>
    </row>
    <row r="6" spans="1:2" x14ac:dyDescent="0.35">
      <c r="A6" t="s">
        <v>15</v>
      </c>
      <c r="B6">
        <f>INPUT!B2-B4</f>
        <v>11300</v>
      </c>
    </row>
    <row r="7" spans="1:2" x14ac:dyDescent="0.35">
      <c r="A7" t="s">
        <v>16</v>
      </c>
      <c r="B7">
        <f>INPUT!B3-B5</f>
        <v>12100</v>
      </c>
    </row>
    <row r="8" spans="1:2" x14ac:dyDescent="0.35">
      <c r="A8" t="s">
        <v>17</v>
      </c>
      <c r="B8" t="str">
        <f>IF(B7&gt;B6,"PELLET","SELL FLAKE")</f>
        <v>PELLET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Cư, Lê Hoành</cp:lastModifiedBy>
  <dcterms:created xsi:type="dcterms:W3CDTF">2026-04-22T06:59:30Z</dcterms:created>
  <dcterms:modified xsi:type="dcterms:W3CDTF">2026-04-22T07:05:39Z</dcterms:modified>
</cp:coreProperties>
</file>