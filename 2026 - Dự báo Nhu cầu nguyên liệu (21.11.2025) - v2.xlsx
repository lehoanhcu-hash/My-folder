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Budget 2026-Working/1. Working/1.2 Production Planning/1.2.1. Kế hoạch/Version 2 - 21.11/"/>
    </mc:Choice>
  </mc:AlternateContent>
  <xr:revisionPtr revIDLastSave="11" documentId="8_{196218B4-7C90-4AE1-AE51-488C464A6CA2}" xr6:coauthVersionLast="47" xr6:coauthVersionMax="47" xr10:uidLastSave="{20793719-4D9E-4519-A492-F9187BCDE2D8}"/>
  <bookViews>
    <workbookView xWindow="-110" yWindow="-110" windowWidth="19420" windowHeight="10300" xr2:uid="{00000000-000D-0000-FFFF-FFFF00000000}"/>
  </bookViews>
  <sheets>
    <sheet name="3_MRP_NL 2026" sheetId="2" r:id="rId1"/>
  </sheets>
  <externalReferences>
    <externalReference r:id="rId2"/>
    <externalReference r:id="rId3"/>
  </externalReferences>
  <definedNames>
    <definedName name="Application">[1]!Table6[Application]</definedName>
    <definedName name="EXR">[2]Asm.!$B$2</definedName>
    <definedName name="_xlnm.Print_Area" localSheetId="0">'3_MRP_NL 2026'!$A$1:$S$25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2" l="1"/>
  <c r="W12" i="2"/>
  <c r="U10" i="2" l="1"/>
  <c r="U9" i="2"/>
  <c r="U8" i="2"/>
  <c r="U7" i="2"/>
  <c r="U5" i="2"/>
  <c r="U12" i="2" s="1"/>
  <c r="V12" i="2" s="1"/>
  <c r="R11" i="2"/>
  <c r="R10" i="2"/>
  <c r="R9" i="2"/>
  <c r="R12" i="2" s="1"/>
  <c r="R8" i="2"/>
  <c r="R7" i="2"/>
  <c r="R6" i="2"/>
  <c r="R5" i="2"/>
  <c r="Q24" i="2"/>
  <c r="P24" i="2"/>
  <c r="O24" i="2"/>
  <c r="N24" i="2"/>
  <c r="M24" i="2"/>
  <c r="L24" i="2"/>
  <c r="K24" i="2"/>
  <c r="J24" i="2"/>
  <c r="I24" i="2"/>
  <c r="H24" i="2"/>
  <c r="G24" i="2"/>
  <c r="F24" i="2"/>
  <c r="Q20" i="2"/>
  <c r="P20" i="2"/>
  <c r="O20" i="2"/>
  <c r="N20" i="2"/>
  <c r="M20" i="2"/>
  <c r="L20" i="2"/>
  <c r="K20" i="2"/>
  <c r="J20" i="2"/>
  <c r="I20" i="2"/>
  <c r="H20" i="2"/>
  <c r="G20" i="2"/>
  <c r="F20" i="2"/>
  <c r="Q17" i="2"/>
  <c r="P17" i="2"/>
  <c r="O17" i="2"/>
  <c r="N17" i="2"/>
  <c r="M17" i="2"/>
  <c r="L17" i="2"/>
  <c r="K17" i="2"/>
  <c r="J17" i="2"/>
  <c r="I17" i="2"/>
  <c r="H17" i="2"/>
  <c r="G17" i="2"/>
  <c r="F17" i="2"/>
  <c r="Q12" i="2"/>
  <c r="P12" i="2"/>
  <c r="O12" i="2"/>
  <c r="N12" i="2"/>
  <c r="M12" i="2"/>
  <c r="L12" i="2"/>
  <c r="K12" i="2"/>
  <c r="J12" i="2"/>
  <c r="I12" i="2"/>
  <c r="H12" i="2"/>
  <c r="H25" i="2" s="1"/>
  <c r="G12" i="2"/>
  <c r="G25" i="2" s="1"/>
  <c r="F12" i="2"/>
  <c r="V7" i="2" l="1"/>
  <c r="V9" i="2"/>
  <c r="V11" i="2"/>
  <c r="V5" i="2"/>
  <c r="V6" i="2"/>
  <c r="V8" i="2"/>
  <c r="V10" i="2"/>
  <c r="N25" i="2"/>
  <c r="O25" i="2"/>
  <c r="Q25" i="2"/>
  <c r="I25" i="2"/>
  <c r="P25" i="2"/>
  <c r="K25" i="2"/>
  <c r="J25" i="2"/>
  <c r="M25" i="2"/>
  <c r="F25" i="2"/>
  <c r="L25" i="2"/>
</calcChain>
</file>

<file path=xl/sharedStrings.xml><?xml version="1.0" encoding="utf-8"?>
<sst xmlns="http://schemas.openxmlformats.org/spreadsheetml/2006/main" count="57" uniqueCount="57">
  <si>
    <t>`</t>
  </si>
  <si>
    <t>Ngày 21 tháng 11 năm 2025</t>
  </si>
  <si>
    <t>DỰ BÁO NHU CẦU NGUYÊN LIỆU NĂM 2026</t>
  </si>
  <si>
    <t>Đơn vị tính: Tấn</t>
  </si>
  <si>
    <t>Nhóm</t>
  </si>
  <si>
    <t>STT</t>
  </si>
  <si>
    <t>Mã SAP</t>
  </si>
  <si>
    <t>Nguyên liệu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</si>
  <si>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</si>
  <si>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</si>
  <si>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</si>
  <si>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</si>
  <si>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</si>
  <si>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</si>
  <si>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</si>
  <si>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</si>
  <si>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</si>
  <si>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</si>
  <si>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</si>
  <si>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</si>
  <si>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Ghi chú</t>
  </si>
  <si>
    <t>rPET</t>
  </si>
  <si>
    <t>Chai PET B1.1</t>
  </si>
  <si>
    <t>Vảy PET B1_A5.1</t>
  </si>
  <si>
    <t>Chai PET B2.2</t>
  </si>
  <si>
    <t>Chai B2.2 giao về từ trạm</t>
  </si>
  <si>
    <t>Chai PET B4</t>
  </si>
  <si>
    <t>Chai B4 giao về từ trạm</t>
  </si>
  <si>
    <t>Chai PET B5</t>
  </si>
  <si>
    <t>Chai B5 giao về từ trạm</t>
  </si>
  <si>
    <t>Chai PET B6.2</t>
  </si>
  <si>
    <t>Chai B6.2 giao về từ trạm</t>
  </si>
  <si>
    <t>Chai PET B7.1</t>
  </si>
  <si>
    <t>TỔNG PET (Vảy và chai)</t>
  </si>
  <si>
    <t>rHDPE 
Thổi</t>
  </si>
  <si>
    <t>Vảy HD thổi trong L1 HV-01.1_TM</t>
  </si>
  <si>
    <t>Vảy HD Thổi Vàng HV-03.1_TM</t>
  </si>
  <si>
    <t>150000037</t>
  </si>
  <si>
    <t>Vảy HD Thổi Trắng Sữa  HV-02.1</t>
  </si>
  <si>
    <t>150000048</t>
  </si>
  <si>
    <t>Vảy HD Thổi Trắng Sữa  HV-02.2</t>
  </si>
  <si>
    <t>TỔNG HDPE Thổi (Vảy)</t>
  </si>
  <si>
    <t>rHDPE 
Ép</t>
  </si>
  <si>
    <t>Nắp HD Ép Các Màu HDE-06</t>
  </si>
  <si>
    <t>Nắp HD Ép giao về từ trạm</t>
  </si>
  <si>
    <t>Hỗn Hợp B6.2 Vảy-Nắp</t>
  </si>
  <si>
    <t>Vảy Nắp B6.2 giao về từ trạm</t>
  </si>
  <si>
    <t>TỔNG HDPE Ép (Nắp)</t>
  </si>
  <si>
    <t>rPP</t>
  </si>
  <si>
    <t>150000054</t>
  </si>
  <si>
    <t>Vảy PP Đỏ Nhạt PV-10</t>
  </si>
  <si>
    <t>Vảy PP Trắng Sữa PV-02_TM</t>
  </si>
  <si>
    <t>150000063</t>
  </si>
  <si>
    <t>Vảy PP Trong PV-01</t>
  </si>
  <si>
    <t>TỔNG PP</t>
  </si>
  <si>
    <t>TỔNG NGUYÊN LIỆU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</si>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</sst>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_);_(@_)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9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9" fontId="2" fillId="0" borderId="0" xfId="3" applyFont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5" fontId="2" fillId="0" borderId="0" xfId="1" applyNumberFormat="1" applyFont="1" applyAlignment="1">
      <alignment horizontal="righ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165" fontId="2" fillId="0" borderId="5" xfId="4" applyNumberFormat="1" applyFont="1" applyFill="1" applyBorder="1" applyAlignment="1">
      <alignment horizontal="center" vertical="center" wrapText="1"/>
    </xf>
    <xf numFmtId="0" fontId="8" fillId="0" borderId="6" xfId="1" quotePrefix="1" applyFont="1" applyBorder="1" applyAlignment="1">
      <alignment vertical="center" wrapText="1"/>
    </xf>
    <xf numFmtId="165" fontId="4" fillId="0" borderId="0" xfId="1" applyNumberFormat="1" applyFont="1"/>
    <xf numFmtId="166" fontId="4" fillId="0" borderId="0" xfId="1" applyNumberFormat="1" applyFont="1"/>
    <xf numFmtId="0" fontId="4" fillId="0" borderId="0" xfId="1" applyFont="1"/>
    <xf numFmtId="0" fontId="4" fillId="0" borderId="8" xfId="1" applyFont="1" applyBorder="1" applyAlignment="1">
      <alignment horizontal="center" vertical="center" wrapText="1"/>
    </xf>
    <xf numFmtId="0" fontId="2" fillId="0" borderId="8" xfId="1" quotePrefix="1" applyFont="1" applyBorder="1" applyAlignment="1">
      <alignment horizontal="center" vertical="center" wrapText="1"/>
    </xf>
    <xf numFmtId="0" fontId="2" fillId="0" borderId="8" xfId="1" applyFont="1" applyBorder="1" applyAlignment="1">
      <alignment horizontal="left" vertical="center" wrapText="1"/>
    </xf>
    <xf numFmtId="165" fontId="2" fillId="0" borderId="8" xfId="4" applyNumberFormat="1" applyFont="1" applyBorder="1" applyAlignment="1">
      <alignment horizontal="center" vertical="center" wrapText="1"/>
    </xf>
    <xf numFmtId="0" fontId="2" fillId="0" borderId="9" xfId="1" applyFont="1" applyBorder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165" fontId="2" fillId="0" borderId="10" xfId="4" applyNumberFormat="1" applyFont="1" applyBorder="1" applyAlignment="1">
      <alignment horizontal="center" vertical="center" wrapText="1"/>
    </xf>
    <xf numFmtId="0" fontId="2" fillId="0" borderId="9" xfId="1" quotePrefix="1" applyFont="1" applyBorder="1" applyAlignment="1">
      <alignment vertical="center" wrapText="1"/>
    </xf>
    <xf numFmtId="165" fontId="2" fillId="0" borderId="0" xfId="1" applyNumberFormat="1" applyFont="1"/>
    <xf numFmtId="166" fontId="2" fillId="0" borderId="0" xfId="1" applyNumberFormat="1" applyFont="1"/>
    <xf numFmtId="9" fontId="2" fillId="0" borderId="0" xfId="3" applyFont="1"/>
    <xf numFmtId="0" fontId="2" fillId="0" borderId="10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vertical="center" wrapText="1"/>
    </xf>
    <xf numFmtId="165" fontId="4" fillId="2" borderId="12" xfId="1" applyNumberFormat="1" applyFont="1" applyFill="1" applyBorder="1" applyAlignment="1">
      <alignment horizontal="center" vertical="center" wrapText="1"/>
    </xf>
    <xf numFmtId="165" fontId="4" fillId="2" borderId="13" xfId="1" applyNumberFormat="1" applyFont="1" applyFill="1" applyBorder="1" applyAlignment="1">
      <alignment vertical="center" wrapText="1"/>
    </xf>
    <xf numFmtId="0" fontId="4" fillId="0" borderId="15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 wrapText="1"/>
    </xf>
    <xf numFmtId="165" fontId="2" fillId="0" borderId="15" xfId="1" applyNumberFormat="1" applyFont="1" applyBorder="1" applyAlignment="1">
      <alignment horizontal="center" vertical="center" wrapText="1"/>
    </xf>
    <xf numFmtId="0" fontId="8" fillId="0" borderId="16" xfId="1" applyFont="1" applyBorder="1" applyAlignment="1">
      <alignment vertical="center" wrapText="1"/>
    </xf>
    <xf numFmtId="165" fontId="2" fillId="0" borderId="8" xfId="4" applyNumberFormat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vertical="center" wrapText="1"/>
    </xf>
    <xf numFmtId="165" fontId="4" fillId="2" borderId="19" xfId="1" applyNumberFormat="1" applyFont="1" applyFill="1" applyBorder="1" applyAlignment="1">
      <alignment horizontal="center" vertical="center" wrapText="1"/>
    </xf>
    <xf numFmtId="165" fontId="2" fillId="2" borderId="20" xfId="1" applyNumberFormat="1" applyFont="1" applyFill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0" fontId="2" fillId="0" borderId="6" xfId="1" quotePrefix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165" fontId="4" fillId="2" borderId="22" xfId="1" applyNumberFormat="1" applyFont="1" applyFill="1" applyBorder="1" applyAlignment="1">
      <alignment horizontal="center" vertical="center" wrapText="1"/>
    </xf>
    <xf numFmtId="0" fontId="2" fillId="2" borderId="23" xfId="1" quotePrefix="1" applyFont="1" applyFill="1" applyBorder="1" applyAlignment="1">
      <alignment vertical="center" wrapText="1"/>
    </xf>
    <xf numFmtId="165" fontId="2" fillId="0" borderId="15" xfId="4" applyNumberFormat="1" applyFont="1" applyBorder="1" applyAlignment="1">
      <alignment horizontal="center" vertical="center" wrapText="1"/>
    </xf>
    <xf numFmtId="0" fontId="2" fillId="0" borderId="16" xfId="1" quotePrefix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4" fillId="0" borderId="19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left" vertical="center" wrapText="1"/>
    </xf>
    <xf numFmtId="165" fontId="2" fillId="0" borderId="19" xfId="4" applyNumberFormat="1" applyFont="1" applyBorder="1" applyAlignment="1">
      <alignment horizontal="center" vertical="center" wrapText="1"/>
    </xf>
    <xf numFmtId="0" fontId="2" fillId="0" borderId="20" xfId="1" quotePrefix="1" applyFont="1" applyBorder="1" applyAlignment="1">
      <alignment vertical="center" wrapText="1"/>
    </xf>
    <xf numFmtId="165" fontId="4" fillId="2" borderId="25" xfId="1" applyNumberFormat="1" applyFont="1" applyFill="1" applyBorder="1" applyAlignment="1">
      <alignment horizontal="center" vertical="center" wrapText="1"/>
    </xf>
    <xf numFmtId="0" fontId="2" fillId="2" borderId="26" xfId="1" quotePrefix="1" applyFont="1" applyFill="1" applyBorder="1" applyAlignment="1">
      <alignment vertical="center" wrapText="1"/>
    </xf>
    <xf numFmtId="165" fontId="4" fillId="2" borderId="26" xfId="6" applyNumberFormat="1" applyFont="1" applyFill="1" applyBorder="1" applyAlignment="1">
      <alignment horizontal="left" vertical="center" wrapText="1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165" fontId="8" fillId="0" borderId="0" xfId="1" applyNumberFormat="1" applyFont="1" applyAlignment="1">
      <alignment vertic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2" fillId="0" borderId="0" xfId="1" quotePrefix="1" applyFont="1" applyAlignment="1">
      <alignment horizontal="center"/>
    </xf>
    <xf numFmtId="0" fontId="6" fillId="2" borderId="0" xfId="2" applyFont="1" applyFill="1" applyAlignment="1">
      <alignment horizontal="center" vertical="center"/>
    </xf>
    <xf numFmtId="0" fontId="4" fillId="2" borderId="27" xfId="1" applyFont="1" applyFill="1" applyBorder="1" applyAlignment="1">
      <alignment horizontal="center" vertical="center" wrapText="1"/>
    </xf>
    <xf numFmtId="165" fontId="2" fillId="0" borderId="28" xfId="4" applyNumberFormat="1" applyFont="1" applyFill="1" applyBorder="1" applyAlignment="1">
      <alignment horizontal="center" vertical="center" wrapText="1"/>
    </xf>
    <xf numFmtId="165" fontId="2" fillId="0" borderId="29" xfId="4" applyNumberFormat="1" applyFont="1" applyBorder="1" applyAlignment="1">
      <alignment horizontal="center" vertical="center" wrapText="1"/>
    </xf>
    <xf numFmtId="165" fontId="2" fillId="0" borderId="30" xfId="4" applyNumberFormat="1" applyFont="1" applyBorder="1" applyAlignment="1">
      <alignment horizontal="center" vertical="center" wrapText="1"/>
    </xf>
    <xf numFmtId="165" fontId="4" fillId="2" borderId="31" xfId="1" applyNumberFormat="1" applyFont="1" applyFill="1" applyBorder="1" applyAlignment="1">
      <alignment horizontal="center" vertical="center" wrapText="1"/>
    </xf>
    <xf numFmtId="165" fontId="2" fillId="0" borderId="32" xfId="1" applyNumberFormat="1" applyFont="1" applyBorder="1" applyAlignment="1">
      <alignment horizontal="center" vertical="center" wrapText="1"/>
    </xf>
    <xf numFmtId="165" fontId="2" fillId="0" borderId="29" xfId="4" applyNumberFormat="1" applyFont="1" applyFill="1" applyBorder="1" applyAlignment="1">
      <alignment horizontal="center" vertical="center" wrapText="1"/>
    </xf>
    <xf numFmtId="165" fontId="4" fillId="2" borderId="33" xfId="1" applyNumberFormat="1" applyFont="1" applyFill="1" applyBorder="1" applyAlignment="1">
      <alignment horizontal="center" vertical="center" wrapText="1"/>
    </xf>
    <xf numFmtId="165" fontId="2" fillId="0" borderId="28" xfId="1" applyNumberFormat="1" applyFont="1" applyBorder="1" applyAlignment="1">
      <alignment horizontal="center" vertical="center" wrapText="1"/>
    </xf>
    <xf numFmtId="165" fontId="4" fillId="2" borderId="34" xfId="1" applyNumberFormat="1" applyFont="1" applyFill="1" applyBorder="1" applyAlignment="1">
      <alignment horizontal="center" vertical="center" wrapText="1"/>
    </xf>
    <xf numFmtId="165" fontId="2" fillId="0" borderId="32" xfId="4" applyNumberFormat="1" applyFont="1" applyBorder="1" applyAlignment="1">
      <alignment horizontal="center" vertical="center" wrapText="1"/>
    </xf>
    <xf numFmtId="165" fontId="2" fillId="0" borderId="33" xfId="4" applyNumberFormat="1" applyFont="1" applyBorder="1" applyAlignment="1">
      <alignment horizontal="center" vertical="center" wrapText="1"/>
    </xf>
    <xf numFmtId="165" fontId="4" fillId="2" borderId="35" xfId="1" applyNumberFormat="1" applyFont="1" applyFill="1" applyBorder="1" applyAlignment="1">
      <alignment horizontal="center" vertical="center" wrapText="1"/>
    </xf>
    <xf numFmtId="165" fontId="4" fillId="0" borderId="0" xfId="7" applyNumberFormat="1" applyFont="1" applyAlignment="1">
      <alignment vertical="center"/>
    </xf>
    <xf numFmtId="165" fontId="4" fillId="0" borderId="0" xfId="5" applyNumberFormat="1" applyFont="1" applyAlignment="1">
      <alignment vertical="center"/>
    </xf>
    <xf numFmtId="167" fontId="4" fillId="0" borderId="0" xfId="3" applyNumberFormat="1" applyFont="1" applyAlignment="1">
      <alignment vertical="center"/>
    </xf>
    <xf numFmtId="167" fontId="2" fillId="0" borderId="0" xfId="1" applyNumberFormat="1" applyFont="1" applyAlignment="1">
      <alignment vertical="center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</cellXfs>
  <cellStyles count="8">
    <cellStyle name="Comma" xfId="7" builtinId="3"/>
    <cellStyle name="Comma 2" xfId="5" xr:uid="{B0DF33EE-5B08-4F7C-BC86-6EB762974189}"/>
    <cellStyle name="Comma 3 2" xfId="4" xr:uid="{807721DC-1E17-4FC1-964C-7ACF4A266148}"/>
    <cellStyle name="Comma 4" xfId="6" xr:uid="{8F0DA968-C788-4919-885A-B67457FFC671}"/>
    <cellStyle name="Normal" xfId="0" builtinId="0"/>
    <cellStyle name="Normal 2" xfId="2" xr:uid="{E8566422-45DC-44EF-B052-6307D2F617F5}"/>
    <cellStyle name="Normal 3 2" xfId="1" xr:uid="{F1F28B70-72D2-42F6-8B7A-4364E58FB777}"/>
    <cellStyle name="Percent 2" xfId="3" xr:uid="{03BB3FCF-DE5D-42F2-B2EF-C2412AB85B6E}"/>
  </cellStyles>
  <dxfs count="0"/>
  <tableStyles count="1" defaultTableStyle="TableStyleMedium2" defaultPivotStyle="PivotStyleLight16">
    <tableStyle name="Invisible" pivot="0" table="0" count="0" xr9:uid="{40F83229-E6A5-4136-8223-929A6CB5CF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63860</xdr:colOff>
      <xdr:row>0</xdr:row>
      <xdr:rowOff>96983</xdr:rowOff>
    </xdr:from>
    <xdr:to>
      <xdr:col>3</xdr:col>
      <xdr:colOff>143239</xdr:colOff>
      <xdr:row>1</xdr:row>
      <xdr:rowOff>161365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3CAFF-56A7-44BE-9545-A25A0F50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60" y="96983"/>
          <a:ext cx="1199519" cy="2625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.sharepoint.com/sites/DTR-KD/Shared%20Documents/KD/Sales%20Forecast/2025/D&#7921;%20b&#225;o%20b&#225;n%20h&#224;ng%202025.xlsx" TargetMode="External"/><Relationship Id="rId1" Type="http://schemas.openxmlformats.org/officeDocument/2006/relationships/externalLinkPath" Target="/personal/ngovannam_duytanrecycling_com/Documents/1.%20K&#7870;%20HO&#7840;CH/00.%20NAM/2026_Manufacturing%20Planning%20and%20Control/F/D&#7921;%20b&#225;o%20b&#225;n%20h&#224;ng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ovannam_duytanrecycling_com/Documents/1.%20K&#7870;%20HO&#7840;CH/00.%20NAM/2026_Manufacturing%20Planning%20and%20Control/30.09.2025_Vy%20fw%20email%20ch&#7883;%20Th&#7843;o_03.%20Form%20k&#7871;%20ho&#7841;ch%20b&#225;n%20h&#224;ng-1.xlsx" TargetMode="External"/><Relationship Id="rId1" Type="http://schemas.openxmlformats.org/officeDocument/2006/relationships/externalLinkPath" Target="/personal/ngovannam_duytanrecycling_com/Documents/1.%20K&#7870;%20HO&#7840;CH/00.%20NAM/2026_Manufacturing%20Planning%20and%20Control/F/30.09.2025_Vy%20fw%20email%20ch&#7883;%20Th&#7843;o_03.%20Form%20k&#7871;%20ho&#7841;ch%20b&#225;n%20h&#224;ng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"/>
      <sheetName val="Read first"/>
      <sheetName val="Tổng hợp"/>
      <sheetName val="Các option"/>
      <sheetName val="Phân tích"/>
      <sheetName val="Sheet7"/>
      <sheetName val="Dự báo"/>
      <sheetName val="Dropdown list"/>
      <sheetName val="Products-PET"/>
      <sheetName val="Products-HD"/>
      <sheetName val="Products-PP"/>
      <sheetName val="Sheet2"/>
      <sheetName val="Sheet4"/>
      <sheetName val="Phân tích AM (2)"/>
      <sheetName val="Phân tích 12 tháng"/>
      <sheetName val="Dự báo bán hàng 2025"/>
      <sheetName val="Dashboad"/>
      <sheetName val="Phân tích AM"/>
      <sheetName val="Data so sánh"/>
      <sheetName val="Dòng sản phẩm"/>
      <sheetName val="Phân tích PP"/>
      <sheetName val="Phân tích HD"/>
      <sheetName val="Phân tích P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 3 KB"/>
      <sheetName val="Giá bán 2026"/>
      <sheetName val="KB-Tốt"/>
      <sheetName val="KB-TT"/>
      <sheetName val="KB-Xấu"/>
      <sheetName val="Sheet4"/>
      <sheetName val="Sheet2"/>
      <sheetName val="Ghi chú"/>
      <sheetName val="ĐGVC"/>
      <sheetName val="Source_VC"/>
      <sheetName val="Kịch bản"/>
      <sheetName val="Sheet1"/>
      <sheetName val="KH 2026_Tốt"/>
      <sheetName val="KH 2026_TT"/>
      <sheetName val="KH 2026_Xấu"/>
      <sheetName val="DB 2025"/>
      <sheetName val="HTK-31.08"/>
      <sheetName val="MD"/>
      <sheetName val="Asm."/>
      <sheetName val="||"/>
      <sheetName val="PV_Data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/>
      <sheetData sheetId="18">
        <row r="2">
          <cell r="B2">
            <v>26500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EAC2-ED8B-4B7B-91DC-8523D323080C}">
  <sheetPr>
    <tabColor rgb="FFFFFF00"/>
    <pageSetUpPr fitToPage="1"/>
  </sheetPr>
  <dimension ref="B1:AM36"/>
  <sheetViews>
    <sheetView showGridLines="0" tabSelected="1" zoomScale="85" zoomScaleNormal="85" zoomScaleSheetLayoutView="55" workbookViewId="0">
      <pane ySplit="4" topLeftCell="A6" activePane="bottomLeft" state="frozen"/>
      <selection pane="bottomLeft" activeCell="F7" sqref="F7:Q11"/>
    </sheetView>
  </sheetViews>
  <sheetFormatPr defaultColWidth="8.7265625" defaultRowHeight="15.5" x14ac:dyDescent="0.35"/>
  <cols>
    <col min="1" max="1" width="2.7265625" style="1" customWidth="1"/>
    <col min="2" max="2" width="8.1796875" style="1" customWidth="1"/>
    <col min="3" max="3" width="8.26953125" style="1" customWidth="1"/>
    <col min="4" max="4" width="12.7265625" style="1" customWidth="1"/>
    <col min="5" max="5" width="36.7265625" style="1" customWidth="1"/>
    <col min="6" max="6" width="10.1796875" style="1" bestFit="1" customWidth="1"/>
    <col min="7" max="17" width="10" style="1" bestFit="1" customWidth="1"/>
    <col min="18" max="18" width="10" style="1" customWidth="1"/>
    <col min="19" max="19" width="38.7265625" style="1" customWidth="1"/>
    <col min="20" max="20" width="8.7265625" style="1"/>
    <col min="21" max="21" width="14.7265625" style="1" bestFit="1" customWidth="1"/>
    <col min="22" max="23" width="8.7265625" style="1"/>
    <col min="24" max="24" width="10.7265625" style="1" bestFit="1" customWidth="1"/>
    <col min="25" max="16384" width="8.7265625" style="1"/>
  </cols>
  <sheetData>
    <row r="1" spans="2:39" x14ac:dyDescent="0.35">
      <c r="J1" s="1" t="s">
        <v>0</v>
      </c>
      <c r="S1" s="2" t="s">
        <v>1</v>
      </c>
      <c r="T1" s="3"/>
    </row>
    <row r="2" spans="2:39" ht="30" customHeight="1" x14ac:dyDescent="0.35">
      <c r="C2" s="4"/>
      <c r="D2" s="4"/>
      <c r="E2" s="4"/>
      <c r="F2" s="87" t="s">
        <v>2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6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2:39" ht="19.899999999999999" customHeight="1" thickBot="1" x14ac:dyDescent="0.4">
      <c r="B3" s="88" t="s">
        <v>3</v>
      </c>
      <c r="C3" s="88"/>
      <c r="D3" s="88"/>
      <c r="E3" s="88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</row>
    <row r="4" spans="2:39" ht="30" customHeight="1" thickBot="1" x14ac:dyDescent="0.4">
      <c r="B4" s="8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68" t="s">
        <v>56</v>
      </c>
      <c r="S4" s="10" t="s">
        <v>20</v>
      </c>
    </row>
    <row r="5" spans="2:39" s="18" customFormat="1" ht="25.15" customHeight="1" x14ac:dyDescent="0.3">
      <c r="B5" s="89" t="s">
        <v>21</v>
      </c>
      <c r="C5" s="11">
        <v>1</v>
      </c>
      <c r="D5" s="12">
        <v>150000003</v>
      </c>
      <c r="E5" s="13" t="s">
        <v>22</v>
      </c>
      <c r="F5" s="14">
        <v>1500</v>
      </c>
      <c r="G5" s="14">
        <v>1200</v>
      </c>
      <c r="H5" s="14">
        <v>1500</v>
      </c>
      <c r="I5" s="14">
        <v>1500</v>
      </c>
      <c r="J5" s="14">
        <v>1500</v>
      </c>
      <c r="K5" s="14">
        <v>1500</v>
      </c>
      <c r="L5" s="14">
        <v>1500</v>
      </c>
      <c r="M5" s="14">
        <v>1500</v>
      </c>
      <c r="N5" s="14">
        <v>1500</v>
      </c>
      <c r="O5" s="14">
        <v>1500</v>
      </c>
      <c r="P5" s="14">
        <v>1500</v>
      </c>
      <c r="Q5" s="14">
        <v>1500</v>
      </c>
      <c r="R5" s="69">
        <f>SUM(F5:Q5)</f>
        <v>17700</v>
      </c>
      <c r="S5" s="15"/>
      <c r="T5" s="16"/>
      <c r="U5" s="82">
        <f>R5</f>
        <v>17700</v>
      </c>
      <c r="V5" s="83">
        <f>U5/U$12</f>
        <v>0.625</v>
      </c>
      <c r="W5" s="16"/>
      <c r="X5" s="17"/>
    </row>
    <row r="6" spans="2:39" s="18" customFormat="1" ht="25.15" customHeight="1" x14ac:dyDescent="0.3">
      <c r="B6" s="90"/>
      <c r="C6" s="19">
        <v>2</v>
      </c>
      <c r="D6" s="20">
        <v>150000051</v>
      </c>
      <c r="E6" s="21" t="s">
        <v>23</v>
      </c>
      <c r="F6" s="22">
        <v>2400</v>
      </c>
      <c r="G6" s="22">
        <v>2000</v>
      </c>
      <c r="H6" s="22">
        <v>2400</v>
      </c>
      <c r="I6" s="22">
        <v>2400</v>
      </c>
      <c r="J6" s="22">
        <v>2400</v>
      </c>
      <c r="K6" s="22">
        <v>2400</v>
      </c>
      <c r="L6" s="22">
        <v>2400</v>
      </c>
      <c r="M6" s="22">
        <v>2400</v>
      </c>
      <c r="N6" s="22">
        <v>2400</v>
      </c>
      <c r="O6" s="22">
        <v>2400</v>
      </c>
      <c r="P6" s="22">
        <v>2400</v>
      </c>
      <c r="Q6" s="22">
        <v>2400</v>
      </c>
      <c r="R6" s="70">
        <f t="shared" ref="R6:R23" si="0">SUM(F6:Q6)</f>
        <v>28400</v>
      </c>
      <c r="S6" s="23"/>
      <c r="T6" s="16"/>
      <c r="U6" s="82"/>
      <c r="V6" s="83">
        <f t="shared" ref="V6:V12" si="1">U6/U$12</f>
        <v>0</v>
      </c>
    </row>
    <row r="7" spans="2:39" ht="25.15" customHeight="1" x14ac:dyDescent="0.35">
      <c r="B7" s="90"/>
      <c r="C7" s="11">
        <v>3</v>
      </c>
      <c r="D7" s="24">
        <v>150000050</v>
      </c>
      <c r="E7" s="21" t="s">
        <v>24</v>
      </c>
      <c r="F7" s="25">
        <v>200</v>
      </c>
      <c r="G7" s="25">
        <v>150</v>
      </c>
      <c r="H7" s="25">
        <v>200</v>
      </c>
      <c r="I7" s="25">
        <v>200</v>
      </c>
      <c r="J7" s="25">
        <v>200</v>
      </c>
      <c r="K7" s="25">
        <v>200</v>
      </c>
      <c r="L7" s="25">
        <v>200</v>
      </c>
      <c r="M7" s="25">
        <v>200</v>
      </c>
      <c r="N7" s="25">
        <v>200</v>
      </c>
      <c r="O7" s="25">
        <v>200</v>
      </c>
      <c r="P7" s="25">
        <v>200</v>
      </c>
      <c r="Q7" s="25">
        <v>200</v>
      </c>
      <c r="R7" s="71">
        <f t="shared" si="0"/>
        <v>2350</v>
      </c>
      <c r="S7" s="26" t="s">
        <v>25</v>
      </c>
      <c r="T7" s="16"/>
      <c r="U7" s="82">
        <f t="shared" ref="U7:U10" si="2">R7</f>
        <v>2350</v>
      </c>
      <c r="V7" s="84">
        <f t="shared" si="1"/>
        <v>8.2980225988700571E-2</v>
      </c>
    </row>
    <row r="8" spans="2:39" ht="25.15" customHeight="1" x14ac:dyDescent="0.35">
      <c r="B8" s="90"/>
      <c r="C8" s="19">
        <v>4</v>
      </c>
      <c r="D8" s="24">
        <v>150000014</v>
      </c>
      <c r="E8" s="21" t="s">
        <v>26</v>
      </c>
      <c r="F8" s="22">
        <v>50</v>
      </c>
      <c r="G8" s="22">
        <v>35</v>
      </c>
      <c r="H8" s="22">
        <v>50</v>
      </c>
      <c r="I8" s="22">
        <v>50</v>
      </c>
      <c r="J8" s="22">
        <v>50</v>
      </c>
      <c r="K8" s="22">
        <v>50</v>
      </c>
      <c r="L8" s="22">
        <v>50</v>
      </c>
      <c r="M8" s="22">
        <v>50</v>
      </c>
      <c r="N8" s="22">
        <v>50</v>
      </c>
      <c r="O8" s="22">
        <v>50</v>
      </c>
      <c r="P8" s="22">
        <v>50</v>
      </c>
      <c r="Q8" s="22">
        <v>50</v>
      </c>
      <c r="R8" s="70">
        <f t="shared" si="0"/>
        <v>585</v>
      </c>
      <c r="S8" s="26" t="s">
        <v>27</v>
      </c>
      <c r="T8" s="16"/>
      <c r="U8" s="82">
        <f t="shared" si="2"/>
        <v>585</v>
      </c>
      <c r="V8" s="84">
        <f t="shared" si="1"/>
        <v>2.065677966101695E-2</v>
      </c>
      <c r="W8" s="27"/>
      <c r="X8" s="28"/>
    </row>
    <row r="9" spans="2:39" ht="25.15" customHeight="1" x14ac:dyDescent="0.35">
      <c r="B9" s="90"/>
      <c r="C9" s="11">
        <v>5</v>
      </c>
      <c r="D9" s="24">
        <v>150000015</v>
      </c>
      <c r="E9" s="21" t="s">
        <v>28</v>
      </c>
      <c r="F9" s="22">
        <v>50</v>
      </c>
      <c r="G9" s="22">
        <v>35</v>
      </c>
      <c r="H9" s="22">
        <v>50</v>
      </c>
      <c r="I9" s="22">
        <v>50</v>
      </c>
      <c r="J9" s="22">
        <v>50</v>
      </c>
      <c r="K9" s="22">
        <v>50</v>
      </c>
      <c r="L9" s="22">
        <v>50</v>
      </c>
      <c r="M9" s="22">
        <v>50</v>
      </c>
      <c r="N9" s="22">
        <v>50</v>
      </c>
      <c r="O9" s="22">
        <v>50</v>
      </c>
      <c r="P9" s="22">
        <v>50</v>
      </c>
      <c r="Q9" s="22">
        <v>50</v>
      </c>
      <c r="R9" s="70">
        <f t="shared" si="0"/>
        <v>585</v>
      </c>
      <c r="S9" s="26" t="s">
        <v>29</v>
      </c>
      <c r="T9" s="16"/>
      <c r="U9" s="82">
        <f t="shared" si="2"/>
        <v>585</v>
      </c>
      <c r="V9" s="84">
        <f t="shared" si="1"/>
        <v>2.065677966101695E-2</v>
      </c>
      <c r="W9" s="27"/>
      <c r="X9" s="28"/>
    </row>
    <row r="10" spans="2:39" ht="25.15" customHeight="1" x14ac:dyDescent="0.35">
      <c r="B10" s="90"/>
      <c r="C10" s="19">
        <v>6</v>
      </c>
      <c r="D10" s="24">
        <v>150000114</v>
      </c>
      <c r="E10" s="21" t="s">
        <v>30</v>
      </c>
      <c r="F10" s="22">
        <v>600</v>
      </c>
      <c r="G10" s="22">
        <v>500</v>
      </c>
      <c r="H10" s="22">
        <v>600</v>
      </c>
      <c r="I10" s="22">
        <v>600</v>
      </c>
      <c r="J10" s="22">
        <v>600</v>
      </c>
      <c r="K10" s="22">
        <v>600</v>
      </c>
      <c r="L10" s="22">
        <v>600</v>
      </c>
      <c r="M10" s="22">
        <v>600</v>
      </c>
      <c r="N10" s="22">
        <v>600</v>
      </c>
      <c r="O10" s="22">
        <v>600</v>
      </c>
      <c r="P10" s="22">
        <v>600</v>
      </c>
      <c r="Q10" s="22">
        <v>600</v>
      </c>
      <c r="R10" s="70">
        <f t="shared" si="0"/>
        <v>7100</v>
      </c>
      <c r="S10" s="26" t="s">
        <v>31</v>
      </c>
      <c r="T10" s="16"/>
      <c r="U10" s="82">
        <f t="shared" si="2"/>
        <v>7100</v>
      </c>
      <c r="V10" s="84">
        <f t="shared" si="1"/>
        <v>0.25070621468926552</v>
      </c>
    </row>
    <row r="11" spans="2:39" ht="25.15" customHeight="1" thickBot="1" x14ac:dyDescent="0.4">
      <c r="B11" s="90"/>
      <c r="C11" s="11">
        <v>7</v>
      </c>
      <c r="D11" s="30">
        <v>150000010</v>
      </c>
      <c r="E11" s="31" t="s">
        <v>32</v>
      </c>
      <c r="F11" s="25">
        <v>50</v>
      </c>
      <c r="G11" s="25">
        <v>30</v>
      </c>
      <c r="H11" s="25">
        <v>50</v>
      </c>
      <c r="I11" s="25">
        <v>50</v>
      </c>
      <c r="J11" s="25">
        <v>50</v>
      </c>
      <c r="K11" s="25">
        <v>50</v>
      </c>
      <c r="L11" s="25">
        <v>50</v>
      </c>
      <c r="M11" s="25">
        <v>50</v>
      </c>
      <c r="N11" s="25">
        <v>50</v>
      </c>
      <c r="O11" s="25">
        <v>50</v>
      </c>
      <c r="P11" s="25">
        <v>50</v>
      </c>
      <c r="Q11" s="25">
        <v>50</v>
      </c>
      <c r="R11" s="71">
        <f t="shared" si="0"/>
        <v>580</v>
      </c>
      <c r="S11" s="32"/>
      <c r="T11" s="16"/>
      <c r="U11" s="52"/>
      <c r="V11" s="84">
        <f t="shared" si="1"/>
        <v>0</v>
      </c>
    </row>
    <row r="12" spans="2:39" ht="30" customHeight="1" thickBot="1" x14ac:dyDescent="0.4">
      <c r="B12" s="91" t="s">
        <v>33</v>
      </c>
      <c r="C12" s="92"/>
      <c r="D12" s="92"/>
      <c r="E12" s="92"/>
      <c r="F12" s="33">
        <f>SUM(F5:F11)</f>
        <v>4850</v>
      </c>
      <c r="G12" s="33">
        <f t="shared" ref="G12:R12" si="3">SUM(G5:G11)</f>
        <v>3950</v>
      </c>
      <c r="H12" s="33">
        <f t="shared" si="3"/>
        <v>4850</v>
      </c>
      <c r="I12" s="33">
        <f t="shared" si="3"/>
        <v>4850</v>
      </c>
      <c r="J12" s="33">
        <f t="shared" si="3"/>
        <v>4850</v>
      </c>
      <c r="K12" s="33">
        <f t="shared" si="3"/>
        <v>4850</v>
      </c>
      <c r="L12" s="33">
        <f t="shared" si="3"/>
        <v>4850</v>
      </c>
      <c r="M12" s="33">
        <f t="shared" si="3"/>
        <v>4850</v>
      </c>
      <c r="N12" s="33">
        <f t="shared" si="3"/>
        <v>4850</v>
      </c>
      <c r="O12" s="33">
        <f t="shared" si="3"/>
        <v>4850</v>
      </c>
      <c r="P12" s="33">
        <f t="shared" si="3"/>
        <v>4850</v>
      </c>
      <c r="Q12" s="33">
        <f t="shared" si="3"/>
        <v>4850</v>
      </c>
      <c r="R12" s="72">
        <f t="shared" si="3"/>
        <v>57300</v>
      </c>
      <c r="S12" s="34"/>
      <c r="U12" s="81">
        <f t="shared" ref="U12" si="4">SUM(U5:U11)</f>
        <v>28320</v>
      </c>
      <c r="V12" s="84">
        <f t="shared" si="1"/>
        <v>1</v>
      </c>
      <c r="W12" s="27">
        <f>U12/12</f>
        <v>2360</v>
      </c>
    </row>
    <row r="13" spans="2:39" ht="25.15" customHeight="1" x14ac:dyDescent="0.35">
      <c r="B13" s="93" t="s">
        <v>34</v>
      </c>
      <c r="C13" s="35">
        <v>8</v>
      </c>
      <c r="D13" s="36">
        <v>150000106</v>
      </c>
      <c r="E13" s="37" t="s">
        <v>35</v>
      </c>
      <c r="F13" s="38">
        <v>50</v>
      </c>
      <c r="G13" s="38">
        <v>50</v>
      </c>
      <c r="H13" s="38">
        <v>150</v>
      </c>
      <c r="I13" s="38">
        <v>150</v>
      </c>
      <c r="J13" s="38">
        <v>150</v>
      </c>
      <c r="K13" s="38">
        <v>150</v>
      </c>
      <c r="L13" s="38">
        <v>200</v>
      </c>
      <c r="M13" s="38">
        <v>200</v>
      </c>
      <c r="N13" s="38">
        <v>200</v>
      </c>
      <c r="O13" s="38">
        <v>200</v>
      </c>
      <c r="P13" s="38">
        <v>200</v>
      </c>
      <c r="Q13" s="38">
        <v>200</v>
      </c>
      <c r="R13" s="73"/>
      <c r="S13" s="39"/>
    </row>
    <row r="14" spans="2:39" ht="25.15" customHeight="1" x14ac:dyDescent="0.35">
      <c r="B14" s="94"/>
      <c r="C14" s="19">
        <v>9</v>
      </c>
      <c r="D14" s="24">
        <v>150000179</v>
      </c>
      <c r="E14" s="21" t="s">
        <v>36</v>
      </c>
      <c r="F14" s="40">
        <v>40</v>
      </c>
      <c r="G14" s="40">
        <v>40</v>
      </c>
      <c r="H14" s="40">
        <v>40</v>
      </c>
      <c r="I14" s="40">
        <v>40</v>
      </c>
      <c r="J14" s="40">
        <v>40</v>
      </c>
      <c r="K14" s="40">
        <v>40</v>
      </c>
      <c r="L14" s="40">
        <v>40</v>
      </c>
      <c r="M14" s="40">
        <v>40</v>
      </c>
      <c r="N14" s="40">
        <v>40</v>
      </c>
      <c r="O14" s="40">
        <v>40</v>
      </c>
      <c r="P14" s="40">
        <v>40</v>
      </c>
      <c r="Q14" s="40">
        <v>40</v>
      </c>
      <c r="R14" s="74"/>
      <c r="S14" s="41"/>
    </row>
    <row r="15" spans="2:39" ht="25.15" customHeight="1" x14ac:dyDescent="0.35">
      <c r="B15" s="94"/>
      <c r="C15" s="19">
        <v>10</v>
      </c>
      <c r="D15" s="24" t="s">
        <v>37</v>
      </c>
      <c r="E15" s="21" t="s">
        <v>38</v>
      </c>
      <c r="F15" s="40">
        <v>50</v>
      </c>
      <c r="G15" s="40">
        <v>50</v>
      </c>
      <c r="H15" s="40">
        <v>50</v>
      </c>
      <c r="I15" s="40">
        <v>50</v>
      </c>
      <c r="J15" s="40">
        <v>50</v>
      </c>
      <c r="K15" s="40">
        <v>50</v>
      </c>
      <c r="L15" s="40">
        <v>60</v>
      </c>
      <c r="M15" s="40">
        <v>60</v>
      </c>
      <c r="N15" s="40">
        <v>60</v>
      </c>
      <c r="O15" s="40">
        <v>60</v>
      </c>
      <c r="P15" s="40">
        <v>60</v>
      </c>
      <c r="Q15" s="40">
        <v>60</v>
      </c>
      <c r="R15" s="74"/>
      <c r="S15" s="41"/>
    </row>
    <row r="16" spans="2:39" ht="25.15" customHeight="1" x14ac:dyDescent="0.35">
      <c r="B16" s="94"/>
      <c r="C16" s="19">
        <v>11</v>
      </c>
      <c r="D16" s="24" t="s">
        <v>39</v>
      </c>
      <c r="E16" s="21" t="s">
        <v>40</v>
      </c>
      <c r="F16" s="40">
        <v>70</v>
      </c>
      <c r="G16" s="40">
        <v>70</v>
      </c>
      <c r="H16" s="40">
        <v>70</v>
      </c>
      <c r="I16" s="40">
        <v>70</v>
      </c>
      <c r="J16" s="40">
        <v>70</v>
      </c>
      <c r="K16" s="40">
        <v>70</v>
      </c>
      <c r="L16" s="40">
        <v>90</v>
      </c>
      <c r="M16" s="40">
        <v>90</v>
      </c>
      <c r="N16" s="40">
        <v>90</v>
      </c>
      <c r="O16" s="40">
        <v>90</v>
      </c>
      <c r="P16" s="40">
        <v>90</v>
      </c>
      <c r="Q16" s="40">
        <v>90</v>
      </c>
      <c r="R16" s="74"/>
      <c r="S16" s="41"/>
    </row>
    <row r="17" spans="2:20" ht="30" customHeight="1" thickBot="1" x14ac:dyDescent="0.4">
      <c r="B17" s="85" t="s">
        <v>41</v>
      </c>
      <c r="C17" s="86"/>
      <c r="D17" s="86"/>
      <c r="E17" s="86"/>
      <c r="F17" s="42">
        <f>SUM(F13:F16)</f>
        <v>210</v>
      </c>
      <c r="G17" s="42">
        <f t="shared" ref="G17:Q17" si="5">SUM(G13:G16)</f>
        <v>210</v>
      </c>
      <c r="H17" s="42">
        <f t="shared" si="5"/>
        <v>310</v>
      </c>
      <c r="I17" s="42">
        <f t="shared" si="5"/>
        <v>310</v>
      </c>
      <c r="J17" s="42">
        <f t="shared" si="5"/>
        <v>310</v>
      </c>
      <c r="K17" s="42">
        <f t="shared" si="5"/>
        <v>310</v>
      </c>
      <c r="L17" s="42">
        <f t="shared" si="5"/>
        <v>390</v>
      </c>
      <c r="M17" s="42">
        <f t="shared" si="5"/>
        <v>390</v>
      </c>
      <c r="N17" s="42">
        <f t="shared" si="5"/>
        <v>390</v>
      </c>
      <c r="O17" s="42">
        <f t="shared" si="5"/>
        <v>390</v>
      </c>
      <c r="P17" s="42">
        <f t="shared" si="5"/>
        <v>390</v>
      </c>
      <c r="Q17" s="42">
        <f t="shared" si="5"/>
        <v>390</v>
      </c>
      <c r="R17" s="75"/>
      <c r="S17" s="43"/>
    </row>
    <row r="18" spans="2:20" ht="25.15" customHeight="1" x14ac:dyDescent="0.35">
      <c r="B18" s="95" t="s">
        <v>42</v>
      </c>
      <c r="C18" s="11">
        <v>12</v>
      </c>
      <c r="D18" s="12">
        <v>150000072</v>
      </c>
      <c r="E18" s="44" t="s">
        <v>43</v>
      </c>
      <c r="F18" s="45">
        <v>15</v>
      </c>
      <c r="G18" s="45">
        <v>15</v>
      </c>
      <c r="H18" s="45">
        <v>15</v>
      </c>
      <c r="I18" s="45">
        <v>15</v>
      </c>
      <c r="J18" s="45">
        <v>15</v>
      </c>
      <c r="K18" s="45">
        <v>15</v>
      </c>
      <c r="L18" s="45">
        <v>15</v>
      </c>
      <c r="M18" s="45">
        <v>15</v>
      </c>
      <c r="N18" s="45">
        <v>15</v>
      </c>
      <c r="O18" s="45">
        <v>15</v>
      </c>
      <c r="P18" s="45">
        <v>15</v>
      </c>
      <c r="Q18" s="45">
        <v>15</v>
      </c>
      <c r="R18" s="76"/>
      <c r="S18" s="46" t="s">
        <v>44</v>
      </c>
    </row>
    <row r="19" spans="2:20" ht="25.15" customHeight="1" x14ac:dyDescent="0.35">
      <c r="B19" s="94"/>
      <c r="C19" s="19">
        <v>13</v>
      </c>
      <c r="D19" s="24">
        <v>150000172</v>
      </c>
      <c r="E19" s="47" t="s">
        <v>45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76"/>
      <c r="S19" s="26" t="s">
        <v>46</v>
      </c>
    </row>
    <row r="20" spans="2:20" ht="30" customHeight="1" thickBot="1" x14ac:dyDescent="0.4">
      <c r="B20" s="96" t="s">
        <v>47</v>
      </c>
      <c r="C20" s="97"/>
      <c r="D20" s="97"/>
      <c r="E20" s="97"/>
      <c r="F20" s="48">
        <f>SUM(F18:F19)</f>
        <v>30</v>
      </c>
      <c r="G20" s="48">
        <f>SUM(G18:G19)</f>
        <v>30</v>
      </c>
      <c r="H20" s="48">
        <f>SUM(H18:H19)</f>
        <v>30</v>
      </c>
      <c r="I20" s="48">
        <f t="shared" ref="I20:Q20" si="6">SUM(I18:I19)</f>
        <v>30</v>
      </c>
      <c r="J20" s="48">
        <f t="shared" si="6"/>
        <v>30</v>
      </c>
      <c r="K20" s="48">
        <f t="shared" si="6"/>
        <v>30</v>
      </c>
      <c r="L20" s="48">
        <f t="shared" si="6"/>
        <v>30</v>
      </c>
      <c r="M20" s="48">
        <f t="shared" si="6"/>
        <v>30</v>
      </c>
      <c r="N20" s="48">
        <f t="shared" si="6"/>
        <v>30</v>
      </c>
      <c r="O20" s="48">
        <f t="shared" si="6"/>
        <v>30</v>
      </c>
      <c r="P20" s="48">
        <f t="shared" si="6"/>
        <v>30</v>
      </c>
      <c r="Q20" s="48">
        <f t="shared" si="6"/>
        <v>30</v>
      </c>
      <c r="R20" s="77"/>
      <c r="S20" s="49"/>
    </row>
    <row r="21" spans="2:20" ht="25.15" customHeight="1" x14ac:dyDescent="0.35">
      <c r="B21" s="93" t="s">
        <v>48</v>
      </c>
      <c r="C21" s="35">
        <v>14</v>
      </c>
      <c r="D21" s="36" t="s">
        <v>49</v>
      </c>
      <c r="E21" s="37" t="s">
        <v>50</v>
      </c>
      <c r="F21" s="50">
        <v>20</v>
      </c>
      <c r="G21" s="50"/>
      <c r="H21" s="50">
        <v>20</v>
      </c>
      <c r="I21" s="50"/>
      <c r="J21" s="50">
        <v>30</v>
      </c>
      <c r="K21" s="50"/>
      <c r="L21" s="50">
        <v>20</v>
      </c>
      <c r="M21" s="50"/>
      <c r="N21" s="50">
        <v>20</v>
      </c>
      <c r="O21" s="50"/>
      <c r="P21" s="50">
        <v>30</v>
      </c>
      <c r="Q21" s="50"/>
      <c r="R21" s="78"/>
      <c r="S21" s="51"/>
      <c r="T21" s="52"/>
    </row>
    <row r="22" spans="2:20" ht="25.15" customHeight="1" x14ac:dyDescent="0.35">
      <c r="B22" s="94"/>
      <c r="C22" s="19">
        <v>15</v>
      </c>
      <c r="D22" s="24">
        <v>150000186</v>
      </c>
      <c r="E22" s="21" t="s">
        <v>51</v>
      </c>
      <c r="F22" s="22"/>
      <c r="G22" s="22">
        <v>20</v>
      </c>
      <c r="H22" s="22"/>
      <c r="I22" s="22">
        <v>20</v>
      </c>
      <c r="J22" s="22"/>
      <c r="K22" s="22">
        <v>20</v>
      </c>
      <c r="L22" s="22"/>
      <c r="M22" s="22">
        <v>20</v>
      </c>
      <c r="N22" s="22"/>
      <c r="O22" s="22"/>
      <c r="P22" s="22"/>
      <c r="Q22" s="22"/>
      <c r="R22" s="70"/>
      <c r="S22" s="26"/>
      <c r="T22" s="52"/>
    </row>
    <row r="23" spans="2:20" ht="25.15" customHeight="1" thickBot="1" x14ac:dyDescent="0.4">
      <c r="B23" s="98"/>
      <c r="C23" s="53">
        <v>16</v>
      </c>
      <c r="D23" s="54" t="s">
        <v>52</v>
      </c>
      <c r="E23" s="55" t="s">
        <v>53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10</v>
      </c>
      <c r="N23" s="56">
        <v>10</v>
      </c>
      <c r="O23" s="56">
        <v>10</v>
      </c>
      <c r="P23" s="56">
        <v>10</v>
      </c>
      <c r="Q23" s="56">
        <v>10</v>
      </c>
      <c r="R23" s="79"/>
      <c r="S23" s="57"/>
      <c r="T23" s="52"/>
    </row>
    <row r="24" spans="2:20" ht="30" customHeight="1" thickBot="1" x14ac:dyDescent="0.4">
      <c r="B24" s="99" t="s">
        <v>54</v>
      </c>
      <c r="C24" s="100"/>
      <c r="D24" s="100"/>
      <c r="E24" s="100"/>
      <c r="F24" s="58">
        <f>SUM(F21:F23)</f>
        <v>30</v>
      </c>
      <c r="G24" s="58">
        <f>SUM(G21:G23)</f>
        <v>30</v>
      </c>
      <c r="H24" s="58">
        <f t="shared" ref="H24:Q24" si="7">SUM(H21:H23)</f>
        <v>30</v>
      </c>
      <c r="I24" s="58">
        <f t="shared" si="7"/>
        <v>30</v>
      </c>
      <c r="J24" s="58">
        <f t="shared" si="7"/>
        <v>40</v>
      </c>
      <c r="K24" s="58">
        <f t="shared" si="7"/>
        <v>30</v>
      </c>
      <c r="L24" s="58">
        <f t="shared" si="7"/>
        <v>30</v>
      </c>
      <c r="M24" s="58">
        <f t="shared" si="7"/>
        <v>30</v>
      </c>
      <c r="N24" s="58">
        <f t="shared" si="7"/>
        <v>30</v>
      </c>
      <c r="O24" s="58">
        <f t="shared" si="7"/>
        <v>10</v>
      </c>
      <c r="P24" s="58">
        <f t="shared" si="7"/>
        <v>40</v>
      </c>
      <c r="Q24" s="58">
        <f t="shared" si="7"/>
        <v>10</v>
      </c>
      <c r="R24" s="80"/>
      <c r="S24" s="59"/>
    </row>
    <row r="25" spans="2:20" ht="30" customHeight="1" thickBot="1" x14ac:dyDescent="0.4">
      <c r="B25" s="99" t="s">
        <v>55</v>
      </c>
      <c r="C25" s="100"/>
      <c r="D25" s="100"/>
      <c r="E25" s="100"/>
      <c r="F25" s="58">
        <f>SUM(F12,F17,F20,F24)</f>
        <v>5120</v>
      </c>
      <c r="G25" s="58">
        <f>SUM(G12,G17,G20,G24)</f>
        <v>4220</v>
      </c>
      <c r="H25" s="58">
        <f t="shared" ref="H25:Q25" si="8">SUM(H12,H17,H20,H24)</f>
        <v>5220</v>
      </c>
      <c r="I25" s="58">
        <f t="shared" si="8"/>
        <v>5220</v>
      </c>
      <c r="J25" s="58">
        <f t="shared" si="8"/>
        <v>5230</v>
      </c>
      <c r="K25" s="58">
        <f t="shared" si="8"/>
        <v>5220</v>
      </c>
      <c r="L25" s="58">
        <f t="shared" si="8"/>
        <v>5300</v>
      </c>
      <c r="M25" s="58">
        <f t="shared" si="8"/>
        <v>5300</v>
      </c>
      <c r="N25" s="58">
        <f t="shared" si="8"/>
        <v>5300</v>
      </c>
      <c r="O25" s="58">
        <f t="shared" si="8"/>
        <v>5280</v>
      </c>
      <c r="P25" s="58">
        <f t="shared" si="8"/>
        <v>5310</v>
      </c>
      <c r="Q25" s="58">
        <f t="shared" si="8"/>
        <v>5280</v>
      </c>
      <c r="R25" s="80"/>
      <c r="S25" s="60">
        <f>SUM(F25:Q25)</f>
        <v>62000</v>
      </c>
    </row>
    <row r="26" spans="2:20" ht="19.899999999999999" customHeight="1" x14ac:dyDescent="0.35"/>
    <row r="27" spans="2:20" ht="19.899999999999999" customHeight="1" x14ac:dyDescent="0.35"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2:20" x14ac:dyDescent="0.35">
      <c r="C28" s="61"/>
      <c r="D28" s="62"/>
      <c r="E28" s="61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1"/>
    </row>
    <row r="29" spans="2:20" x14ac:dyDescent="0.35">
      <c r="S29" s="64"/>
    </row>
    <row r="30" spans="2:20" x14ac:dyDescent="0.35"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64"/>
    </row>
    <row r="31" spans="2:20" x14ac:dyDescent="0.35">
      <c r="S31" s="64"/>
    </row>
    <row r="32" spans="2:20" x14ac:dyDescent="0.35">
      <c r="S32" s="64"/>
    </row>
    <row r="33" spans="5:19" x14ac:dyDescent="0.35">
      <c r="S33" s="64"/>
    </row>
    <row r="34" spans="5:19" x14ac:dyDescent="0.35">
      <c r="E34" s="65"/>
      <c r="S34" s="66"/>
    </row>
    <row r="35" spans="5:19" x14ac:dyDescent="0.35">
      <c r="S35" s="64"/>
    </row>
    <row r="36" spans="5:19" x14ac:dyDescent="0.35">
      <c r="S36" s="64"/>
    </row>
  </sheetData>
  <mergeCells count="11">
    <mergeCell ref="B18:B19"/>
    <mergeCell ref="B20:E20"/>
    <mergeCell ref="B21:B23"/>
    <mergeCell ref="B24:E24"/>
    <mergeCell ref="B25:E25"/>
    <mergeCell ref="B17:E17"/>
    <mergeCell ref="F2:Q2"/>
    <mergeCell ref="B3:E3"/>
    <mergeCell ref="B5:B11"/>
    <mergeCell ref="B12:E12"/>
    <mergeCell ref="B13:B16"/>
  </mergeCells>
  <pageMargins left="0.25" right="0.25" top="0.75" bottom="0.75" header="0.3" footer="0.3"/>
  <pageSetup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3_MRP_NL 2026</vt:lpstr>
      <vt:lpstr>'3_MRP_NL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Ngô Văn</dc:creator>
  <cp:lastModifiedBy>Huyền, Lữ Ngọc Mỹ</cp:lastModifiedBy>
  <dcterms:created xsi:type="dcterms:W3CDTF">2015-06-05T18:17:20Z</dcterms:created>
  <dcterms:modified xsi:type="dcterms:W3CDTF">2026-01-15T02:23:59Z</dcterms:modified>
</cp:coreProperties>
</file>